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nas.prodam\smdhc_gcmi\REGISTROS\"/>
    </mc:Choice>
  </mc:AlternateContent>
  <xr:revisionPtr revIDLastSave="0" documentId="13_ncr:1_{82AA69FC-1227-4436-AE08-4F2C142F0D37}" xr6:coauthVersionLast="47" xr6:coauthVersionMax="47" xr10:uidLastSave="{00000000-0000-0000-0000-000000000000}"/>
  <bookViews>
    <workbookView xWindow="345" yWindow="0" windowWidth="9390" windowHeight="15585" tabRatio="603" xr2:uid="{00000000-000D-0000-FFFF-FFFF00000000}"/>
  </bookViews>
  <sheets>
    <sheet name="Base de Dados" sheetId="1" r:id="rId1"/>
    <sheet name="TOTAIS" sheetId="8" r:id="rId2"/>
    <sheet name="Base02" sheetId="7" r:id="rId3"/>
    <sheet name="Plan1" sheetId="4" r:id="rId4"/>
    <sheet name="Plan4" sheetId="5" r:id="rId5"/>
    <sheet name="Serviços por Região" sheetId="6" r:id="rId6"/>
  </sheets>
  <definedNames>
    <definedName name="_xlnm._FilterDatabase" localSheetId="0" hidden="1">'Base de Dados'!$A$1393:$C$1394</definedName>
    <definedName name="_xlnm._FilterDatabase" localSheetId="1" hidden="1">TOTAIS!$B$1:$M$33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A1394" i="1" l="1"/>
  <c r="E34" i="8"/>
  <c r="F34" i="8"/>
  <c r="G34" i="8"/>
  <c r="H34" i="8"/>
  <c r="I34" i="8"/>
  <c r="J34" i="8"/>
  <c r="K34" i="8"/>
  <c r="L34" i="8"/>
  <c r="D34" i="8"/>
  <c r="M32" i="8"/>
  <c r="M3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" i="8"/>
  <c r="M2" i="8"/>
  <c r="M34" i="8" l="1"/>
  <c r="F3" i="7" l="1"/>
  <c r="D2" i="7"/>
  <c r="E2" i="7"/>
  <c r="B1397" i="1"/>
  <c r="F2" i="7"/>
  <c r="E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2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2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" i="7"/>
  <c r="B4" i="7"/>
  <c r="B5" i="7"/>
  <c r="B6" i="7"/>
  <c r="B7" i="7"/>
  <c r="B8" i="7"/>
  <c r="B9" i="7"/>
  <c r="B10" i="7"/>
  <c r="B11" i="7"/>
  <c r="B12" i="7"/>
  <c r="B13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Wagner Paulo da Silva</author>
    <author>Karen Adrianne Avelar de Moura</author>
    <author>Gustavo Santos de Oliveira Mancusi</author>
    <author>USER</author>
    <author>Fernanda Paiva de Toledo Fábregues</author>
  </authors>
  <commentList>
    <comment ref="A7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Cancelado conforme Ofício SEFRAS de 19.10.22 - Diretor Presidente</t>
        </r>
      </text>
    </comment>
    <comment ref="A9" authorId="1" shapeId="0" xr:uid="{00000000-0006-0000-0000-000002000000}">
      <text>
        <r>
          <rPr>
            <b/>
            <sz val="9"/>
            <color indexed="81"/>
            <rFont val="Segoe UI"/>
            <family val="2"/>
          </rPr>
          <t>Karen Adrianne Avelar de Moura:</t>
        </r>
        <r>
          <rPr>
            <sz val="9"/>
            <color indexed="81"/>
            <rFont val="Segoe UI"/>
            <family val="2"/>
          </rPr>
          <t xml:space="preserve">
Serviço descontinuado, informado via e-mail em 9/8/24</t>
        </r>
      </text>
    </comment>
    <comment ref="A10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>Karen Adrianne Avelar de Moura:</t>
        </r>
        <r>
          <rPr>
            <sz val="9"/>
            <color indexed="81"/>
            <rFont val="Segoe UI"/>
            <family val="2"/>
          </rPr>
          <t xml:space="preserve">
Serviço descontinuado, informado via e-mail em 9/8/24</t>
        </r>
      </text>
    </comment>
    <comment ref="E54" authorId="2" shapeId="0" xr:uid="{00000000-0006-0000-0000-000004000000}">
      <text>
        <r>
          <rPr>
            <b/>
            <sz val="9"/>
            <color indexed="81"/>
            <rFont val="Segoe UI"/>
            <family val="2"/>
          </rPr>
          <t>Gustavo Santos de Oliveira Mancusi:</t>
        </r>
        <r>
          <rPr>
            <sz val="9"/>
            <color indexed="81"/>
            <rFont val="Segoe UI"/>
            <family val="2"/>
          </rPr>
          <t xml:space="preserve">
Conforme e-mail de 16/01/2025
</t>
        </r>
      </text>
    </comment>
    <comment ref="A163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Termo encerrado com SMADS em 04/05/2020</t>
        </r>
      </text>
    </comment>
    <comment ref="A206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Inativa c/ declaração formal do proprietário</t>
        </r>
      </text>
    </comment>
    <comment ref="E210" authorId="2" shapeId="0" xr:uid="{00000000-0006-0000-0000-000007000000}">
      <text>
        <r>
          <rPr>
            <b/>
            <sz val="9"/>
            <color indexed="81"/>
            <rFont val="Segoe UI"/>
            <family val="2"/>
          </rPr>
          <t>Gustavo Santos de Oliveira Mancusi:</t>
        </r>
        <r>
          <rPr>
            <sz val="9"/>
            <color indexed="81"/>
            <rFont val="Segoe UI"/>
            <family val="2"/>
          </rPr>
          <t xml:space="preserve">
Conforme e-mail de 16/01/2025
</t>
        </r>
      </text>
    </comment>
    <comment ref="A212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Inativa com delcaração do proprietário</t>
        </r>
      </text>
    </comment>
    <comment ref="A223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Enderço e capacidade atualizados por e-mail, em 03/05/23</t>
        </r>
      </text>
    </comment>
    <comment ref="A491" authorId="3" shapeId="0" xr:uid="{00000000-0006-0000-00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Pandemia COVID-19</t>
        </r>
      </text>
    </comment>
    <comment ref="L537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atualizado conforme solicitação via e-mail em 31/08/2023 (Pacini Contabilidade)</t>
        </r>
      </text>
    </comment>
    <comment ref="L538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haverá alteração de endereço, conforme e-mail. Ainda não obtivemos novo endereço</t>
        </r>
      </text>
    </comment>
    <comment ref="L554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Alteração solicitada via e-mail em 13/12/2022</t>
        </r>
      </text>
    </comment>
    <comment ref="A647" authorId="4" shapeId="0" xr:uid="{00000000-0006-0000-0000-00000E000000}">
      <text>
        <r>
          <rPr>
            <b/>
            <sz val="9"/>
            <color indexed="81"/>
            <rFont val="Segoe UI"/>
            <family val="2"/>
          </rPr>
          <t>Fernanda Paiva de Toledo Fábregues:</t>
        </r>
        <r>
          <rPr>
            <sz val="9"/>
            <color indexed="81"/>
            <rFont val="Segoe UI"/>
            <family val="2"/>
          </rPr>
          <t xml:space="preserve">
Primeira concessão da gestão 2021/2023</t>
        </r>
      </text>
    </comment>
    <comment ref="A670" authorId="1" shapeId="0" xr:uid="{00000000-0006-0000-0000-00000F000000}">
      <text>
        <r>
          <rPr>
            <b/>
            <sz val="9"/>
            <color indexed="81"/>
            <rFont val="Segoe UI"/>
            <family val="2"/>
          </rPr>
          <t>Karen Adrianne Avelar de Moura:</t>
        </r>
        <r>
          <rPr>
            <sz val="9"/>
            <color indexed="81"/>
            <rFont val="Segoe UI"/>
            <family val="2"/>
          </rPr>
          <t xml:space="preserve">
E-MAIL ALTERAÇÃO DE ENDEREÇO EM 14/11/2024
RESPOSTA EM 19/11/24</t>
        </r>
      </text>
    </comment>
    <comment ref="A721" authorId="4" shapeId="0" xr:uid="{00000000-0006-0000-0000-000010000000}">
      <text>
        <r>
          <rPr>
            <b/>
            <sz val="9"/>
            <color indexed="81"/>
            <rFont val="Segoe UI"/>
            <family val="2"/>
          </rPr>
          <t>Fernanda Paiva de Toledo Fábregues:</t>
        </r>
        <r>
          <rPr>
            <sz val="9"/>
            <color indexed="81"/>
            <rFont val="Segoe UI"/>
            <family val="2"/>
          </rPr>
          <t xml:space="preserve">
Ainda não iniciou as atividades.</t>
        </r>
      </text>
    </comment>
    <comment ref="L772" authorId="0" shapeId="0" xr:uid="{00000000-0006-0000-0000-000011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Endereço alterado, e-mail de 31/05/23</t>
        </r>
      </text>
    </comment>
    <comment ref="A785" authorId="0" shapeId="0" xr:uid="{00000000-0006-0000-0000-000012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Alteração solicitação em e-mail de 30/03/24</t>
        </r>
      </text>
    </comment>
    <comment ref="A819" authorId="0" shapeId="0" xr:uid="{00000000-0006-0000-0000-000013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Início dos Registro CMI (Novo modelo e nomenclatura)</t>
        </r>
      </text>
    </comment>
    <comment ref="E945" authorId="2" shapeId="0" xr:uid="{00000000-0006-0000-0000-000014000000}">
      <text>
        <r>
          <rPr>
            <b/>
            <sz val="9"/>
            <color indexed="81"/>
            <rFont val="Segoe UI"/>
            <family val="2"/>
          </rPr>
          <t>Gustavo Santos de Oliveira Mancusi:</t>
        </r>
        <r>
          <rPr>
            <sz val="9"/>
            <color indexed="81"/>
            <rFont val="Segoe UI"/>
            <family val="2"/>
          </rPr>
          <t xml:space="preserve">
FORAM ALTERADOS O NOME E O CNPJ DA ILPI (ATUAL OLGA RESIDENCIAL SÊNIOR LTDA - 952/25)
</t>
        </r>
      </text>
    </comment>
    <comment ref="A982" authorId="0" shapeId="0" xr:uid="{00000000-0006-0000-0000-000015000000}">
      <text>
        <r>
          <rPr>
            <b/>
            <sz val="9"/>
            <color indexed="81"/>
            <rFont val="Segoe UI"/>
            <family val="2"/>
          </rPr>
          <t>Wagner Paulo da Silva:</t>
        </r>
        <r>
          <rPr>
            <sz val="9"/>
            <color indexed="81"/>
            <rFont val="Segoe UI"/>
            <family val="2"/>
          </rPr>
          <t xml:space="preserve">
atualizao endereço. E-mail de 25/03/24</t>
        </r>
      </text>
    </comment>
  </commentList>
</comments>
</file>

<file path=xl/sharedStrings.xml><?xml version="1.0" encoding="utf-8"?>
<sst xmlns="http://schemas.openxmlformats.org/spreadsheetml/2006/main" count="24993" uniqueCount="12376">
  <si>
    <t>001/12</t>
  </si>
  <si>
    <t xml:space="preserve">Associação Santo Agostinho - ASA. </t>
  </si>
  <si>
    <t>CENTRO DIA</t>
  </si>
  <si>
    <t>62.272.497/0001-54</t>
  </si>
  <si>
    <t>Oeste</t>
  </si>
  <si>
    <t>002/12</t>
  </si>
  <si>
    <t>Associação dos Familiares e Amigos dos Idosos - AFAI</t>
  </si>
  <si>
    <t>07.852.256/0001-76</t>
  </si>
  <si>
    <t>Vila Mariana</t>
  </si>
  <si>
    <t>Sul</t>
  </si>
  <si>
    <t xml:space="preserve">afaicdi@hotmail.com </t>
  </si>
  <si>
    <t>003/12</t>
  </si>
  <si>
    <t>Associação Franciscana de Solidariedade - SEFRAS</t>
  </si>
  <si>
    <t>NCI</t>
  </si>
  <si>
    <t>11.861.086/0001-63</t>
  </si>
  <si>
    <t>Mooca</t>
  </si>
  <si>
    <t>Leste</t>
  </si>
  <si>
    <t xml:space="preserve">articulacao@sefras.org.br </t>
  </si>
  <si>
    <t>004/13</t>
  </si>
  <si>
    <t>Sociedade Beneficente Equilibrio de Interlagos - SOBEI</t>
  </si>
  <si>
    <t>53.818.191/0011-31</t>
  </si>
  <si>
    <t>Capela do Socorro</t>
  </si>
  <si>
    <t xml:space="preserve">sobei@sobei.org.br </t>
  </si>
  <si>
    <t>MONTANARO</t>
  </si>
  <si>
    <t>53.818.191/0007-55</t>
  </si>
  <si>
    <t>ILPI</t>
  </si>
  <si>
    <t>53.818.191/0020-22</t>
  </si>
  <si>
    <t>Parelheiros</t>
  </si>
  <si>
    <t>005/13</t>
  </si>
  <si>
    <t>Instituto Social, Educativo e Beneficente Novo Signo</t>
  </si>
  <si>
    <t>78.636.974-0004-04</t>
  </si>
  <si>
    <t xml:space="preserve">msemanovosigno@uol.com.br </t>
  </si>
  <si>
    <t>006/13</t>
  </si>
  <si>
    <t>Particular</t>
  </si>
  <si>
    <t>Pensão New Heaven Ltda.</t>
  </si>
  <si>
    <t>02.345.462/0001-76</t>
  </si>
  <si>
    <t>Pinheiros</t>
  </si>
  <si>
    <t>007/13</t>
  </si>
  <si>
    <t>Associação de Assistência a criança deficiênte</t>
  </si>
  <si>
    <t>PROJETOS</t>
  </si>
  <si>
    <t>60.979.457/0001-11</t>
  </si>
  <si>
    <t>008/13</t>
  </si>
  <si>
    <t>Casa de repouso recanto das Araucárias S/C LTDA-ME</t>
  </si>
  <si>
    <t>38.881.538/0001-25</t>
  </si>
  <si>
    <t xml:space="preserve">pauloievorlino@terra.com.br </t>
  </si>
  <si>
    <t>009/13</t>
  </si>
  <si>
    <t>Centro de Promoção Humana Lar Vicentino</t>
  </si>
  <si>
    <t>48.956.742/0001-11</t>
  </si>
  <si>
    <t>Ermelino Matarazzo</t>
  </si>
  <si>
    <t>0010/13</t>
  </si>
  <si>
    <t>UNIGER - Unidade de Internação Geriátrica LTDA</t>
  </si>
  <si>
    <t>RESIDENCIAL TONIOLO MEMORY CARE</t>
  </si>
  <si>
    <t>07.463.596/0001-05</t>
  </si>
  <si>
    <t>Sé</t>
  </si>
  <si>
    <t>Centro</t>
  </si>
  <si>
    <t>0011/14</t>
  </si>
  <si>
    <t>Sindicato Nacional dos Aposentados, Pensionistas e Idosos da Força Sindical</t>
  </si>
  <si>
    <t>04.040.532/0001-03</t>
  </si>
  <si>
    <t>0012/14</t>
  </si>
  <si>
    <t>Casa de Repouso para Idosos Residencial Harmonia LTDA. -  Unidade I</t>
  </si>
  <si>
    <t>07.403.676/0001-75</t>
  </si>
  <si>
    <t>Santo Amaro</t>
  </si>
  <si>
    <t xml:space="preserve">contato@residencialharmonia.com.br  </t>
  </si>
  <si>
    <t>Casa de Repouso para Idosos Residencial Harmonia LTDA. Unidade II (FILIAL)</t>
  </si>
  <si>
    <t>0013/14</t>
  </si>
  <si>
    <t>Recanto do Idoso Anhanguera LTDA - ME</t>
  </si>
  <si>
    <t>04.256.978/0001-70</t>
  </si>
  <si>
    <t>Perus</t>
  </si>
  <si>
    <t>Norte</t>
  </si>
  <si>
    <t xml:space="preserve">idoso@recantodoidoso.com.br </t>
  </si>
  <si>
    <t>0014/14</t>
  </si>
  <si>
    <t>Solar Primavera S/S LTDA - ME</t>
  </si>
  <si>
    <t>03.671.916/0001-61</t>
  </si>
  <si>
    <t xml:space="preserve">helenaportugal@ibest.com.br </t>
  </si>
  <si>
    <t>015.1/14</t>
  </si>
  <si>
    <t>Marlene de Fátima Mendes - EPP / Casa de Repouso Pôr do Sol</t>
  </si>
  <si>
    <t>72.815.863/0001-28</t>
  </si>
  <si>
    <t>015.2/14</t>
  </si>
  <si>
    <t>Marlene de Fátima Mendes - EPP / Residencial Elite (FILIAL)</t>
  </si>
  <si>
    <t>72.815.863/0002-09</t>
  </si>
  <si>
    <t xml:space="preserve">fernandaprizon@ig.com.br </t>
  </si>
  <si>
    <t>0016/14</t>
  </si>
  <si>
    <t>Alvorada Nova Casa de Repouso LTDA - ME</t>
  </si>
  <si>
    <t>17.569.752/0001-70</t>
  </si>
  <si>
    <t>0017/14</t>
  </si>
  <si>
    <t>Residencial Alto da Boa Vista para Idosos LTDA - ME</t>
  </si>
  <si>
    <t>10.248.923/0001-10</t>
  </si>
  <si>
    <t xml:space="preserve">crirahal@ig.com.br </t>
  </si>
  <si>
    <t>0018/14</t>
  </si>
  <si>
    <t>Unidade Gerontológica Ferreira LTDA - ME - Unidade I</t>
  </si>
  <si>
    <t>06.997.875/0001-96</t>
  </si>
  <si>
    <t xml:space="preserve">ugf@ugerontologica.com.br </t>
  </si>
  <si>
    <t>Unidade Gerontológica Ferreira LTDA - ME - Unidade II (FILIAL)</t>
  </si>
  <si>
    <t>06.997.875/0002-77</t>
  </si>
  <si>
    <t>0019/14</t>
  </si>
  <si>
    <t>Casa de Repouso Luz da Manhã SS LTDA - ME</t>
  </si>
  <si>
    <t>00.738.764/0001-89</t>
  </si>
  <si>
    <t>Butantã</t>
  </si>
  <si>
    <t>0020.1/14</t>
  </si>
  <si>
    <t>CROPH - Coordenação Regional de Obras de Promoção Humana</t>
  </si>
  <si>
    <t>43.473.487/0021-86</t>
  </si>
  <si>
    <t xml:space="preserve">croph@uol.com.br </t>
  </si>
  <si>
    <t>0020.2/14</t>
  </si>
  <si>
    <t>43.473.487/0010-23</t>
  </si>
  <si>
    <t>0020.3/14</t>
  </si>
  <si>
    <t>CAEI</t>
  </si>
  <si>
    <t>43.473.487/0020-03</t>
  </si>
  <si>
    <t>0020.4/14</t>
  </si>
  <si>
    <t>43.473.487/0014-57</t>
  </si>
  <si>
    <t>0021/14</t>
  </si>
  <si>
    <t>Associação Nipo-Brasileira de Assistência Social - Enkyo</t>
  </si>
  <si>
    <t>21.161.900/0001-90</t>
  </si>
  <si>
    <t xml:space="preserve">social@enkyo.org.br </t>
  </si>
  <si>
    <t>0022/14</t>
  </si>
  <si>
    <t>Reluz Hospedagem para Idosos LTDA
Antigo: Renata Lucas Giosa Hospedagem para Idosos - ME</t>
  </si>
  <si>
    <t>08.364.900/0001-20</t>
  </si>
  <si>
    <t xml:space="preserve">residencialreluz@hotmail.com </t>
  </si>
  <si>
    <t>0023/14</t>
  </si>
  <si>
    <t>Instituto Brasileiro Filhas de São Camilo</t>
  </si>
  <si>
    <t>12.920.752/0001-50</t>
  </si>
  <si>
    <t xml:space="preserve">administracao@filhasdesaocamilo.com.br </t>
  </si>
  <si>
    <t>0024/15</t>
  </si>
  <si>
    <t>Casa de Repouso Ana Nery LTDA - ME</t>
  </si>
  <si>
    <t>01.607.265/0001-15</t>
  </si>
  <si>
    <t xml:space="preserve">casaderepousoananery@hotmail.com </t>
  </si>
  <si>
    <t>0025/15</t>
  </si>
  <si>
    <t>Associação Beneficente de Amparo ao Idoso Carente Caminho da Vida</t>
  </si>
  <si>
    <t>03.692.295/0001-00</t>
  </si>
  <si>
    <t>Penha</t>
  </si>
  <si>
    <t>0026/15</t>
  </si>
  <si>
    <t>Associação Beneficente Mercedária Santo Antônio</t>
  </si>
  <si>
    <t>33.642.455/0025-37</t>
  </si>
  <si>
    <t xml:space="preserve">larnsmerces@uol.com.br </t>
  </si>
  <si>
    <t>0027/15</t>
  </si>
  <si>
    <t>Residencial Perdizes LTDA - ME</t>
  </si>
  <si>
    <t>53.371.308/0001.00</t>
  </si>
  <si>
    <t>Lapa</t>
  </si>
  <si>
    <t xml:space="preserve">r.perdizes@hotmail.com </t>
  </si>
  <si>
    <t>0028/15</t>
  </si>
  <si>
    <t>Bem Viver Instituição de Longa Permanência para Idosos LTDA-EPP</t>
  </si>
  <si>
    <t>08.926.106/0001-22</t>
  </si>
  <si>
    <t>0029/15</t>
  </si>
  <si>
    <t>Casa de Repouso Vila Lobos LTDA-ME</t>
  </si>
  <si>
    <t>07.714.288/0001-05</t>
  </si>
  <si>
    <t xml:space="preserve">henrique.hgfilho@gmail.com </t>
  </si>
  <si>
    <t>0030/15</t>
  </si>
  <si>
    <t>Sociedade Beneficente Alemã</t>
  </si>
  <si>
    <t>60.794.047/0001-04</t>
  </si>
  <si>
    <t>0031/15</t>
  </si>
  <si>
    <t>FEDERAÇÃO ESPÍRITA DO ESTADO DE SÃO PAULO</t>
  </si>
  <si>
    <t>CASA TRANSITÓRIA FABIANO DE CRISTO – LAR BATUÍRA</t>
  </si>
  <si>
    <t>61.669.966/0001-00</t>
  </si>
  <si>
    <t>feesp@feesp.org.br; presidente@feesp.org.br</t>
  </si>
  <si>
    <t>0032/15</t>
  </si>
  <si>
    <t>E DA SILVA E PENSIONATO - ME</t>
  </si>
  <si>
    <t>CASA DE REPOUSO VIVER BEM</t>
  </si>
  <si>
    <t>09.685.896/0001-64</t>
  </si>
  <si>
    <t xml:space="preserve">eliassilva35@live.com </t>
  </si>
  <si>
    <t>0033/15</t>
  </si>
  <si>
    <t>RESIDENCIAL SÊNIOR LTDA.</t>
  </si>
  <si>
    <t>14.976.538/0001-40</t>
  </si>
  <si>
    <t xml:space="preserve">fabiana@residencialsenior.com.br </t>
  </si>
  <si>
    <t>0034/15</t>
  </si>
  <si>
    <t>CASA DE REPOUSO PRÓ-VITA S/A</t>
  </si>
  <si>
    <t>03.999.246/0001-07</t>
  </si>
  <si>
    <t>Campo Limpo</t>
  </si>
  <si>
    <t xml:space="preserve">lyse@residencialprovita.com.br </t>
  </si>
  <si>
    <t>03.999.246/0002-98</t>
  </si>
  <si>
    <t>0035/15</t>
  </si>
  <si>
    <t>ASSISTÊNCIA VICENTINA DE VILA MASCOTE – LAR PADRE VICENTE MELILLO</t>
  </si>
  <si>
    <t>LAR PADRE VICENTE MELILLO</t>
  </si>
  <si>
    <t>08.678.355/0001-46</t>
  </si>
  <si>
    <t>Jabaquara</t>
  </si>
  <si>
    <t xml:space="preserve">administracao@assistenciadevilamascote.org.br  </t>
  </si>
  <si>
    <t>0036/15</t>
  </si>
  <si>
    <t>CASA DE REPOUSO RECANTO DA TERCEIRA IDADE S/S LTDA-ME</t>
  </si>
  <si>
    <t>03.970.254/0001-20</t>
  </si>
  <si>
    <t>Ipiranga</t>
  </si>
  <si>
    <t xml:space="preserve">delporto1@hotmail.com </t>
  </si>
  <si>
    <t>0037/15</t>
  </si>
  <si>
    <t>ASSOCIAÇÃO GER-AÇÕES</t>
  </si>
  <si>
    <t>09.290.454/0001-19</t>
  </si>
  <si>
    <t xml:space="preserve">geracoes@geracoes.org.br </t>
  </si>
  <si>
    <t>0038/15</t>
  </si>
  <si>
    <t>VIVACE RESIDENCIAL PARA IDOSOS LTDA.</t>
  </si>
  <si>
    <t>20.496.462/0001-59</t>
  </si>
  <si>
    <t>0039/15</t>
  </si>
  <si>
    <t>QUALITÁ ASSISTÊNCIA A SAÚDE LTDA–ME</t>
  </si>
  <si>
    <t>07.463.506/0001-86</t>
  </si>
  <si>
    <t>0040/15</t>
  </si>
  <si>
    <t>CASA DE REPOUSO MOOCA SANTA MADALENA LTDA – EPP</t>
  </si>
  <si>
    <t>15.556.305/0001-51</t>
  </si>
  <si>
    <t>15.556305/0002-32</t>
  </si>
  <si>
    <t>0041/15</t>
  </si>
  <si>
    <t>VILLA DEL POZO INSTITUIÇÃO DE LONGA PERMANÊNCIA PARA IDOSOS LTDA-EPP</t>
  </si>
  <si>
    <t>17.322.040/0001-52</t>
  </si>
  <si>
    <t xml:space="preserve">casaderepouso.villadelpozo@gmail.com </t>
  </si>
  <si>
    <t>0042/15</t>
  </si>
  <si>
    <t>VIVERE RESIDENCIAL PARA IDOSOS LTDA.</t>
  </si>
  <si>
    <t>04.397.294/0001-98</t>
  </si>
  <si>
    <t>0043/15</t>
  </si>
  <si>
    <t>RESIDÊNCIA DE REPOUSO SAYED LTDA ME Antiga:CASA DE REPOUSO SAYED LTDA–ME</t>
  </si>
  <si>
    <t>CASA DE REPOUSO SAYED LTDA–ME</t>
  </si>
  <si>
    <t>05.123.182/0001-01</t>
  </si>
  <si>
    <t>Cidade Ademar</t>
  </si>
  <si>
    <t xml:space="preserve">ilham.sayed@hotmail.com </t>
  </si>
  <si>
    <t>0044/15</t>
  </si>
  <si>
    <t>CASA DE REPOUSO MODELO LTDA-ME</t>
  </si>
  <si>
    <t>11.433.191/0001-00</t>
  </si>
  <si>
    <t>NÃO TEM</t>
  </si>
  <si>
    <t>0045/15</t>
  </si>
  <si>
    <t>ASSOCIAÇÃO BENEFICENTE A MÃO BRANCA DE AMPARO AOS IDOSOS</t>
  </si>
  <si>
    <t>62.299.169/0001-41</t>
  </si>
  <si>
    <t xml:space="preserve">amaobranca@amaobranca.org.br </t>
  </si>
  <si>
    <t>0046/15</t>
  </si>
  <si>
    <t>INSTITUTO VERTER</t>
  </si>
  <si>
    <t>07.470.599/0001-76</t>
  </si>
  <si>
    <t xml:space="preserve">rodrigo@institutoverter.com.br </t>
  </si>
  <si>
    <t>0047/15</t>
  </si>
  <si>
    <t>CASA VIDA – MORADIA ASSISTIDA PARA IDOSOS LTDA-ME</t>
  </si>
  <si>
    <t>12.395.247/0002-14</t>
  </si>
  <si>
    <t>0048/15</t>
  </si>
  <si>
    <t>GRUPO DE ARTICULAÇÃO PARA A CONQUISTA DA MORADIA PARA O IDOSO DA CAPITAL</t>
  </si>
  <si>
    <t>10.548.116/0001-13</t>
  </si>
  <si>
    <t xml:space="preserve">garmic@yahoo.com.br </t>
  </si>
  <si>
    <t>0049/15</t>
  </si>
  <si>
    <t>CASA DE REPOUSO CASA VITA LTDA–ME</t>
  </si>
  <si>
    <t>08.893.447/0001-49</t>
  </si>
  <si>
    <t>0050/15</t>
  </si>
  <si>
    <t>MM. MARPE CASA DE REPOUSO LTDA–ME</t>
  </si>
  <si>
    <t>18.288.235/0001-96</t>
  </si>
  <si>
    <t xml:space="preserve">marcelogallo01@gmail.com </t>
  </si>
  <si>
    <t>0051/15</t>
  </si>
  <si>
    <t>RESIDENCIAL GERIÁTRICA ITACOLOMY EIRELI – ME</t>
  </si>
  <si>
    <t>09.026.019/0001-81</t>
  </si>
  <si>
    <t xml:space="preserve"> itarepouso@gmail.com   </t>
  </si>
  <si>
    <t>0052/15</t>
  </si>
  <si>
    <t>CASA DE REPOUSO E HOSPEDAGEM GERIÁTRICA MANANCIAL LTDA-ME</t>
  </si>
  <si>
    <t xml:space="preserve"> CASA DE REPOUSO MANANCIAL</t>
  </si>
  <si>
    <t>07.947.045/0001-17</t>
  </si>
  <si>
    <t>Vila Prudente</t>
  </si>
  <si>
    <t xml:space="preserve">iaralogarezzi@hotmail.com </t>
  </si>
  <si>
    <t>0053/15</t>
  </si>
  <si>
    <t>GERDIELLE TAMIRES DA CONCEIÇÃO SILVA – ME</t>
  </si>
  <si>
    <t>16.940.588/0001-01</t>
  </si>
  <si>
    <t xml:space="preserve">anjogabriel_repouso@hotmail.com </t>
  </si>
  <si>
    <t>0054/15</t>
  </si>
  <si>
    <t>PENSIONATO DA VOVÓ NENA – LTDA-ME</t>
  </si>
  <si>
    <t>PENSIONATO DA VOVÓ NENA</t>
  </si>
  <si>
    <t>09.048.917/0001-30</t>
  </si>
  <si>
    <t xml:space="preserve">pensionatovovonena@hotmail.com </t>
  </si>
  <si>
    <t>0055/15</t>
  </si>
  <si>
    <t xml:space="preserve">CASA DO IDOSO FELIZ IDADE LTDA – ME </t>
  </si>
  <si>
    <t>13.590.256/0001-48</t>
  </si>
  <si>
    <t>0056/15</t>
  </si>
  <si>
    <t>CONSULTÓRIO MÉDICO CASA GERIÁTRICA SILVEIRA E PEREIRA S/S LTDA-ME</t>
  </si>
  <si>
    <t>03.763.586/0001-34</t>
  </si>
  <si>
    <t>0057/15</t>
  </si>
  <si>
    <t xml:space="preserve">MORADIA ASSISTIDA PARA IDOSOS SÃO GUALTER LTDA-EPP </t>
  </si>
  <si>
    <t>MORADIA ASSISTIDA PARA IDOSOS SÃO GUALTER</t>
  </si>
  <si>
    <t>15.554.598/0001-38</t>
  </si>
  <si>
    <t xml:space="preserve">ricardovaleriote@uol.com.br </t>
  </si>
  <si>
    <t>0058/15</t>
  </si>
  <si>
    <t>CASA DE REPOUSO MORADA DO SOL LTDA - EPP</t>
  </si>
  <si>
    <t>MORADA DO SOL</t>
  </si>
  <si>
    <t>45.844.479/0001-80</t>
  </si>
  <si>
    <t>0059/15</t>
  </si>
  <si>
    <t>CASA DE REPOUSO HIGIENÓPOLIS LTDA - EPP</t>
  </si>
  <si>
    <t>50.587.062/0001-10</t>
  </si>
  <si>
    <t xml:space="preserve">crhigienopolis@terra.com.br </t>
  </si>
  <si>
    <t>0060/15</t>
  </si>
  <si>
    <t>SOLAR DA MATRIZ REPOUSO PARA IDOSOS S/S LTDA–ME</t>
  </si>
  <si>
    <t>09.237.774/0001-05</t>
  </si>
  <si>
    <t>Freguesia do Ó</t>
  </si>
  <si>
    <t>0061/15</t>
  </si>
  <si>
    <t>RESIDENCIAL AQUARIUS LTDA–ME</t>
  </si>
  <si>
    <t>04.136.216/0001-30</t>
  </si>
  <si>
    <t xml:space="preserve">aquarius@aquariuscasaderepouso.com.br </t>
  </si>
  <si>
    <t>0062/15</t>
  </si>
  <si>
    <t>JOÃO PAULO KULESZA–ME</t>
  </si>
  <si>
    <t>RESIDENCIA GERIÁTRICA PANAMBY</t>
  </si>
  <si>
    <t>20.190.020/0001-80</t>
  </si>
  <si>
    <t xml:space="preserve">geripanam@gmail.com </t>
  </si>
  <si>
    <t>0063/15</t>
  </si>
  <si>
    <t>CASA DE REPOUSO NEW LIFE LTDA–ME</t>
  </si>
  <si>
    <t>08.106.869/0001-27</t>
  </si>
  <si>
    <t>0064/15</t>
  </si>
  <si>
    <t>C.I.A.I. – CENTRO INTEGRADO DE ATENDIMENTO AO IDOSO LTDA-EPP</t>
  </si>
  <si>
    <t>61.056.651/0001-98</t>
  </si>
  <si>
    <t>0065/15</t>
  </si>
  <si>
    <t>ASSOCIAÇÃO SUL BRASILEIRA DE EDUCAÇÃO E ASSISTÊNCIA SOCIAL – ASBEAS</t>
  </si>
  <si>
    <t>CENTRO DE REPOUSO SÃO JOSÉ PEDRO SOARES DE ANDRADE</t>
  </si>
  <si>
    <t>15.156.557/0017-50</t>
  </si>
  <si>
    <t>São Miguel Paulista</t>
  </si>
  <si>
    <t>0066/15</t>
  </si>
  <si>
    <t>RESIDENCIAL VILA HARMONIA LTDA - ME</t>
  </si>
  <si>
    <t>17.612.799/0001-70</t>
  </si>
  <si>
    <t>0067/15</t>
  </si>
  <si>
    <t>COMUNIDADE NOVO PENTECOSTES</t>
  </si>
  <si>
    <t>01.796.949/0001-02</t>
  </si>
  <si>
    <t xml:space="preserve">dlmaffia@uol.com.br </t>
  </si>
  <si>
    <t>0068/15</t>
  </si>
  <si>
    <t>RESIDENCIAL SANTA ISABEL S/S LTDA - ME</t>
  </si>
  <si>
    <t>RESIDENCIAL SANTA ISABEL</t>
  </si>
  <si>
    <t>67.832.550/0001-48</t>
  </si>
  <si>
    <t>0069/15</t>
  </si>
  <si>
    <t>FUNDAÇÃO NOSSA SENHORA AUXILIADORA DO IPIRANGA FUNSAI</t>
  </si>
  <si>
    <t>60.737.590/0007-57</t>
  </si>
  <si>
    <t>0070/15</t>
  </si>
  <si>
    <t>EVANDRO GATHAS - ME</t>
  </si>
  <si>
    <t>RESIDENCIAL HARMONY</t>
  </si>
  <si>
    <t>17.812.097/0001-30</t>
  </si>
  <si>
    <t>0071/15</t>
  </si>
  <si>
    <t>PREVENT SENIOR PRIVATE OPERADORA DE SAÚDE LTDA</t>
  </si>
  <si>
    <t>COMITÊ DE ÉTICA EM PESQUISA – PESQUISA, COINOVAÇÃO E DIFUSÃO EM GERIATRIA E GERONTOLOGIA</t>
  </si>
  <si>
    <t>00.461.479/0001-63</t>
  </si>
  <si>
    <t xml:space="preserve">cepps@preventsenior.com.br </t>
  </si>
  <si>
    <t>0072/15</t>
  </si>
  <si>
    <t>ELIZABETH MENDONÇAS - ME</t>
  </si>
  <si>
    <t>12.643.773/0002-56</t>
  </si>
  <si>
    <t xml:space="preserve">homersaude@hotmail.com </t>
  </si>
  <si>
    <t>0073/15</t>
  </si>
  <si>
    <t>CASA DE REPOUSO BELA IDADE – EIRELLI - ME</t>
  </si>
  <si>
    <t>CASA DE REPOUSO BELA IDADE</t>
  </si>
  <si>
    <t>21.583.846/0001-71</t>
  </si>
  <si>
    <t xml:space="preserve">contato@casaderepousobelaidade.com.br </t>
  </si>
  <si>
    <t>0074/16</t>
  </si>
  <si>
    <t>CASA DE REPOUSO ATHENNA EIRELLI - EPP</t>
  </si>
  <si>
    <t xml:space="preserve"> CASA DE REPOUSO ATHENNA</t>
  </si>
  <si>
    <t>02.671.900/0001-96</t>
  </si>
  <si>
    <t xml:space="preserve">casaathenna@provencegestao.com.br  </t>
  </si>
  <si>
    <t>0075/16</t>
  </si>
  <si>
    <t>HADAIANE GOMES GOULART - EPP</t>
  </si>
  <si>
    <t>CLÍNICA GERIÁTRICA NOSSO LAR</t>
  </si>
  <si>
    <t>15.386.562/0001-92</t>
  </si>
  <si>
    <t xml:space="preserve">hadaiane_goulart@hotmail.com </t>
  </si>
  <si>
    <t>0076/16</t>
  </si>
  <si>
    <t>BETEL - PENSIONATO PARA IDOSOS S/S LTDA</t>
  </si>
  <si>
    <t>RESIDENCIAL JARDIM DAS PALMEIRAS</t>
  </si>
  <si>
    <t>03.429.827/0001-03</t>
  </si>
  <si>
    <t xml:space="preserve">deco@jardimdaspalmeiras.com </t>
  </si>
  <si>
    <t>0077/16</t>
  </si>
  <si>
    <t>GRUPO BENEFICENTE DIVINO AMIGO</t>
  </si>
  <si>
    <t>54.220.066/0001-16</t>
  </si>
  <si>
    <t>0078/16</t>
  </si>
  <si>
    <t>CASA DE REPOUSO LAR IRMÃ ROSAURA LTDA - ME</t>
  </si>
  <si>
    <t>09.040.708/0001-40</t>
  </si>
  <si>
    <t>0079/16</t>
  </si>
  <si>
    <t>NOSSA CASA RESIDENCIAL PARA IDOSOS LTDA – ME</t>
  </si>
  <si>
    <t>12.326.957/0002-92</t>
  </si>
  <si>
    <t xml:space="preserve">nossacasa.adm@terra.com.br </t>
  </si>
  <si>
    <t>0080/16</t>
  </si>
  <si>
    <t>ASSOCIAÇÃO UNIÃO DA JUTA</t>
  </si>
  <si>
    <t>67.134.155/0001-91</t>
  </si>
  <si>
    <t xml:space="preserve">uniaodajuta@hotmail.com </t>
  </si>
  <si>
    <t>0081/16</t>
  </si>
  <si>
    <t>CASA DE REPOUSO CANTINHO DA VILA LTDA – ME</t>
  </si>
  <si>
    <t>CANTINHO DA VILA</t>
  </si>
  <si>
    <t>13.344.330/0001-46</t>
  </si>
  <si>
    <t xml:space="preserve">cantonhodavila@yahoo.com.br </t>
  </si>
  <si>
    <t>0082/16</t>
  </si>
  <si>
    <t>CESTARI E SILVEIRA PEREIRA CLÍNICA MÉDICA LTDA - ME</t>
  </si>
  <si>
    <t>07.349.312/0001-54</t>
  </si>
  <si>
    <t>0083/16</t>
  </si>
  <si>
    <t xml:space="preserve">CASA DE REPOUSO RECANTO DOS IDOSOS SÃO JOSÉ LTDA - ME </t>
  </si>
  <si>
    <t>67.808.857/0001-03</t>
  </si>
  <si>
    <t xml:space="preserve">antonio.mgo@terra.com.br </t>
  </si>
  <si>
    <t>0084/16</t>
  </si>
  <si>
    <t>ASILO RESIDENCIAL SOL NASCENTE EIRELI- ME</t>
  </si>
  <si>
    <t>CASA DE REPOUSO RESIDENCIAL SOL NASCENTE</t>
  </si>
  <si>
    <t>08.178.049/0001-40</t>
  </si>
  <si>
    <t xml:space="preserve">enfsolnascente@gmail.com </t>
  </si>
  <si>
    <t>0085/16</t>
  </si>
  <si>
    <t>CASA DE REPOUSO BELLICA LTDA. - ME</t>
  </si>
  <si>
    <t>38.896.627/0001-45</t>
  </si>
  <si>
    <t>0086/16</t>
  </si>
  <si>
    <t>FLOR DE LIZ CLINICA DE LONGA PERMANENCIA LTDA - EPP</t>
  </si>
  <si>
    <t>FLOR DE LIZ CLINICA DE LONGA PERMANENCIA</t>
  </si>
  <si>
    <t>13.678.018/0001-99</t>
  </si>
  <si>
    <t xml:space="preserve">flordeliz.cilmara@gmail.com </t>
  </si>
  <si>
    <t>0087/16</t>
  </si>
  <si>
    <t>FELICITÁ RESIDENCIAL PARA IDOSOS LTDA - ME</t>
  </si>
  <si>
    <t xml:space="preserve">FELICITÁ RESIDENCIAL PARA IDOSOS </t>
  </si>
  <si>
    <t>21.255.365/0001-37</t>
  </si>
  <si>
    <t>0088/16</t>
  </si>
  <si>
    <t>LAREIRA LAR IDEAL PARA SENHORAS PENSIONATO LTDA - ME</t>
  </si>
  <si>
    <t xml:space="preserve">LAREIRA RESIDENCIAL </t>
  </si>
  <si>
    <t>73.347.312/0001-40</t>
  </si>
  <si>
    <t xml:space="preserve">lareiralar@yahoo.com.br </t>
  </si>
  <si>
    <t>0089/16</t>
  </si>
  <si>
    <t>PRORESIDENCE CASA DE REPOUSO LTDA - ME</t>
  </si>
  <si>
    <t>10.942.031/0001-15</t>
  </si>
  <si>
    <t>0090/16</t>
  </si>
  <si>
    <t>CASA DE REPOUSO E HOSPEDARIA MORADA DO SOL LTDA - ME</t>
  </si>
  <si>
    <t>CONVIVA MORADA DO SOL</t>
  </si>
  <si>
    <t>08.028.820/0001-01</t>
  </si>
  <si>
    <t>0091/16</t>
  </si>
  <si>
    <t xml:space="preserve">JARDIM DA MATURIDADE CHEN DE CHRISTO LTDA  </t>
  </si>
  <si>
    <t>17.771.537/0001-58</t>
  </si>
  <si>
    <t xml:space="preserve">ariozorio@terra.com.br </t>
  </si>
  <si>
    <t>0092/16</t>
  </si>
  <si>
    <t>NURSE’S LIFE CUIDADORES LEGAIS LTDA - ME</t>
  </si>
  <si>
    <t>18.275.696/0001-80</t>
  </si>
  <si>
    <t>093.1/16</t>
  </si>
  <si>
    <t xml:space="preserve">ALTRUDA &amp; CABRAL CASA DE REPOUSO LTDA - ME  </t>
  </si>
  <si>
    <t>08.261.066/0001-47</t>
  </si>
  <si>
    <t>093.2/16</t>
  </si>
  <si>
    <t>08.261.066/0002-28</t>
  </si>
  <si>
    <t>093.3/16</t>
  </si>
  <si>
    <t>08.261.066/0003-09</t>
  </si>
  <si>
    <t>094/16</t>
  </si>
  <si>
    <t xml:space="preserve">ASSOCIAÇÃO CONGREGAÇÃO DE SANTA CATARINA  </t>
  </si>
  <si>
    <t>RESIDENCIAL SANTA CATARINA/CRI - CENTRO DE REFERENCIA DO IDOSO DA ZONA NORTE</t>
  </si>
  <si>
    <t>60.922.168/0001-86</t>
  </si>
  <si>
    <t xml:space="preserve">Lila@secretaria.acsc.org.br </t>
  </si>
  <si>
    <t>0095/16</t>
  </si>
  <si>
    <t xml:space="preserve">CASA DE REPOUSO LUZ &amp; VIDA LTDA – ME   </t>
  </si>
  <si>
    <t xml:space="preserve">CASA DE REPOUSO LUZ &amp; VIDA </t>
  </si>
  <si>
    <t>15.920.296/0001-36</t>
  </si>
  <si>
    <t>0096/16</t>
  </si>
  <si>
    <t xml:space="preserve">GAIA GRUPO DE ASSISTÊNCIA AO IDOSO À INFÂNCIA E A ADOLESCÊNCIA   </t>
  </si>
  <si>
    <t>NÚCLEO DE CONVIVÊNCIA DO IDODO GAIA</t>
  </si>
  <si>
    <t>07.040.234/0001-01</t>
  </si>
  <si>
    <t>0097/16</t>
  </si>
  <si>
    <t>ASSOCIAÇÃO ALIANÇA DE MISERICÓRDIA</t>
  </si>
  <si>
    <t>04.186.468/0001-73</t>
  </si>
  <si>
    <t>0098/16</t>
  </si>
  <si>
    <t>EDER SANTOS DE SOUZA - ME</t>
  </si>
  <si>
    <t>21.070.283/0001-18</t>
  </si>
  <si>
    <t>0099/16</t>
  </si>
  <si>
    <t>CLÍNICA DE REPOUSO ESTÂNCIA DA CANTAREIRA LTDA - EPP</t>
  </si>
  <si>
    <t xml:space="preserve">ESTÂNCIA DA CANTAREIRA </t>
  </si>
  <si>
    <t>02.513.461/0001-93</t>
  </si>
  <si>
    <t xml:space="preserve">atendimentoestanciacantareira.com.br  </t>
  </si>
  <si>
    <t>0100/16</t>
  </si>
  <si>
    <t>BENDIAPA INSTITUIÇÃO DE LONGA PERMANÊNCIA PARA IDOSO LTDA - ME</t>
  </si>
  <si>
    <t>20.191.689/0001-96</t>
  </si>
  <si>
    <t>0101/16</t>
  </si>
  <si>
    <t xml:space="preserve">INSTITUTO PRÓ+VIDA SÃO SEBASTIÃO </t>
  </si>
  <si>
    <t>CASA DIVINA PROVIDÊNCIA</t>
  </si>
  <si>
    <t>49.263.528/0001-42</t>
  </si>
  <si>
    <t xml:space="preserve">conselho.administrativo@ipvss.org.br </t>
  </si>
  <si>
    <t>0102/16</t>
  </si>
  <si>
    <t xml:space="preserve">OBRA SOCIAL DOM BOSCO </t>
  </si>
  <si>
    <t>61.882.395/0001-98</t>
  </si>
  <si>
    <t>Itaquera</t>
  </si>
  <si>
    <t>0103/16</t>
  </si>
  <si>
    <t xml:space="preserve">HOSPEDARIA AMOR FRATERNAL LDTA - ME </t>
  </si>
  <si>
    <t>HOSPEDARIA AMOR FRATERNAL</t>
  </si>
  <si>
    <t>20.628.923/0001-08</t>
  </si>
  <si>
    <t>0104.2/16</t>
  </si>
  <si>
    <t xml:space="preserve">SERVIÇOS ASSISTENCIAIS SENHOR BOM JESUS DOS PASSOS </t>
  </si>
  <si>
    <t>MORADA SÃO JOÃO</t>
  </si>
  <si>
    <t>56.100.068/0001-05</t>
  </si>
  <si>
    <t xml:space="preserve">casajoaomoura@gmail.com </t>
  </si>
  <si>
    <t>0104.1/16</t>
  </si>
  <si>
    <t>ILPI BUTANTÃ</t>
  </si>
  <si>
    <t>56.100.068/0001-06</t>
  </si>
  <si>
    <t>0105/16</t>
  </si>
  <si>
    <t>CASA DE REPOUSO RENASCER NA 3ª IDADE LTDA - ME</t>
  </si>
  <si>
    <t>CASA DE REPOUSO RENASCER</t>
  </si>
  <si>
    <t>05.562.427/0001-05</t>
  </si>
  <si>
    <t>0106.1/16</t>
  </si>
  <si>
    <t>SOCIEDADE DE ENSINO PROFISSIONAL E ASSISTÊNCIA SOCIAL - SEPAS</t>
  </si>
  <si>
    <t>IRMÃ SUZANNE CROS</t>
  </si>
  <si>
    <t>47.296.884.0001/37</t>
  </si>
  <si>
    <t xml:space="preserve">sepas@sepas.org.br </t>
  </si>
  <si>
    <t>0106.2/16</t>
  </si>
  <si>
    <t>DOM FERNANDO LEGAL</t>
  </si>
  <si>
    <t>0107/16</t>
  </si>
  <si>
    <t>Lar Santa Isabel da Hungria LTDA
Antigo: ASSOCIAÇÃO BENEFICENTE 30 DE SETEMBRO</t>
  </si>
  <si>
    <t>62.836.812/0002-00</t>
  </si>
  <si>
    <t>0108/16</t>
  </si>
  <si>
    <t>JC NIZA DE ARAÚJO REPOUSO PARA IDOSOS - ME</t>
  </si>
  <si>
    <t>10.527.846/0001-38</t>
  </si>
  <si>
    <t>fisiocorp12@bol.com.br</t>
  </si>
  <si>
    <t>0109/16</t>
  </si>
  <si>
    <t>ASSOCIAÇÃO EVANGÉLICA BENEFICENTE</t>
  </si>
  <si>
    <t>61.705.877/0018-10</t>
  </si>
  <si>
    <t>contato@aeb-brasil.org.br</t>
  </si>
  <si>
    <t>0110/16</t>
  </si>
  <si>
    <t>RESIDENCIAL VIDA PLENA LTDA - ME</t>
  </si>
  <si>
    <t>12.982.412/0001-53</t>
  </si>
  <si>
    <t>0111/16</t>
  </si>
  <si>
    <t>VIDA HOME CARE PRESTAÇÃO DE SERVIÇO EM SAÚDE DOMICILIAR LTDA</t>
  </si>
  <si>
    <t>08.018.373/0001-00</t>
  </si>
  <si>
    <t>0112/16</t>
  </si>
  <si>
    <t>CASA DE REPOUSO CONVIVÊNCIA LTDA-ME</t>
  </si>
  <si>
    <t>18.943.718/0001-87</t>
  </si>
  <si>
    <t>0113/17</t>
  </si>
  <si>
    <t>INSTITUTO TELLUS</t>
  </si>
  <si>
    <t>PESQUISA - INSTITUTO TELLUS</t>
  </si>
  <si>
    <t>12.321.608/0001-05</t>
  </si>
  <si>
    <t xml:space="preserve">gernamo.guimaraes@tellus.org.br </t>
  </si>
  <si>
    <t>0114/17</t>
  </si>
  <si>
    <t>RESIDENCIAL GERIÁTRICO MELHOR IDADE LTDA-ME</t>
  </si>
  <si>
    <t>RESIDENCIAL MELHOR IDADE</t>
  </si>
  <si>
    <t>09.470.459/001-23</t>
  </si>
  <si>
    <t xml:space="preserve">falecommelhoridade@gmail.com </t>
  </si>
  <si>
    <t>0115/17</t>
  </si>
  <si>
    <t>CASA DE REPOUSO RESIDENCIAL DOS NOBRES - LTDA-ME</t>
  </si>
  <si>
    <t>RECANTO DOS NOBRES</t>
  </si>
  <si>
    <t>16.561.527/001-25</t>
  </si>
  <si>
    <t>0116/17</t>
  </si>
  <si>
    <t>CASA DE REPOUSO LEONOR SARDINHA DE BRITO LTDA</t>
  </si>
  <si>
    <t>13.698.084/0001-20</t>
  </si>
  <si>
    <t xml:space="preserve">casaderepousofarol@yahoo.com.br </t>
  </si>
  <si>
    <t>0117/17</t>
  </si>
  <si>
    <t>CASA DE REPOUSO ESPERANÇA S/C LTDA</t>
  </si>
  <si>
    <t>01.126.753/0001-00</t>
  </si>
  <si>
    <t xml:space="preserve">rosangela.portes@gmail.com </t>
  </si>
  <si>
    <t>0118/17</t>
  </si>
  <si>
    <t>OBSERVATÓRIO DA LONGEVIDADE HUMANA E ENVELHECIMENTO - OLHE</t>
  </si>
  <si>
    <t>09.382.343/0001-32</t>
  </si>
  <si>
    <t xml:space="preserve">olheobservatorio@gmail.com </t>
  </si>
  <si>
    <t>0119/17</t>
  </si>
  <si>
    <t>ECOS - ESPAÇO COMUNITÁRIO SOLIDÁRIO ANA SANTOS</t>
  </si>
  <si>
    <t>ECOS</t>
  </si>
  <si>
    <t>11;515;207/001-15</t>
  </si>
  <si>
    <t>Sapopemba</t>
  </si>
  <si>
    <t>0120/17</t>
  </si>
  <si>
    <t>CONGREGAÇÃO ISRAELITA PAULISTA</t>
  </si>
  <si>
    <t>60.766.060/001-41</t>
  </si>
  <si>
    <t>0121/17</t>
  </si>
  <si>
    <t>ASSOCIAÇÃO RECICLÁZARO</t>
  </si>
  <si>
    <t>PROGRAMA DE ATENÇÃO À PESSOA IDOSA</t>
  </si>
  <si>
    <t>03.960.066/0008-98</t>
  </si>
  <si>
    <t>camila@reciclazaro.org.br</t>
  </si>
  <si>
    <t>GUADALUPE</t>
  </si>
  <si>
    <t>03.960.066/0005-45</t>
  </si>
  <si>
    <t>CASA DE SIMEÃO</t>
  </si>
  <si>
    <t>03.960.066/0006-26</t>
  </si>
  <si>
    <t>0122/17</t>
  </si>
  <si>
    <t>ASS ESPÍRITA BENEFICENTE DR. ADOLFO BEZERRA DE MENEZES</t>
  </si>
  <si>
    <t>ABRIGO DA VELHICE DESAMPARADA</t>
  </si>
  <si>
    <t>60.478.245/0001-50</t>
  </si>
  <si>
    <t>0123/17</t>
  </si>
  <si>
    <t>AQUILES DE CASTRO BELLOME- ME</t>
  </si>
  <si>
    <t>07.910.863/0001-45</t>
  </si>
  <si>
    <t>0124/17</t>
  </si>
  <si>
    <t>CASA DE REPOUSO XODÓ DA VOVÓ - ME</t>
  </si>
  <si>
    <t>08.866.490/0001-15</t>
  </si>
  <si>
    <t>ilpxododavovo@hotmail.com</t>
  </si>
  <si>
    <t>0125/17</t>
  </si>
  <si>
    <t>MARICÉLIA RIBEIRO LOPES LOZANO PENSIONATO - ME</t>
  </si>
  <si>
    <t>24.000.655/0001-66</t>
  </si>
  <si>
    <t>0126/17</t>
  </si>
  <si>
    <t xml:space="preserve">ASSOCIAÇÃO BENEFICENTE MORADA DO SOL </t>
  </si>
  <si>
    <t>07.128.455/0001-36</t>
  </si>
  <si>
    <t>não possui</t>
  </si>
  <si>
    <t>0127/17</t>
  </si>
  <si>
    <t>CASA DE REPOUSO SAÚDE &amp; VIDA LTDA - ME</t>
  </si>
  <si>
    <t>UNIDADE I</t>
  </si>
  <si>
    <t>11.414.538/0001-69</t>
  </si>
  <si>
    <t>UNIDADE II</t>
  </si>
  <si>
    <t>11.414.538/0002-40</t>
  </si>
  <si>
    <t>0128/17</t>
  </si>
  <si>
    <t>ILPI - ABRIGO DOS VELHINHOS FREDERICO OZANAM</t>
  </si>
  <si>
    <t>ABRIGO DOS VELHINHOS FREDERICO OZANAM</t>
  </si>
  <si>
    <t>48.221.824/0001-18</t>
  </si>
  <si>
    <t>gerencia@abrigoozanam.org.br</t>
  </si>
  <si>
    <t>0129/17</t>
  </si>
  <si>
    <t>VANESSA IDARGO MUTCHNIK - ME</t>
  </si>
  <si>
    <t>17.814.053/0001-49</t>
  </si>
  <si>
    <t>pasargada.centrodia@gmail.com</t>
  </si>
  <si>
    <t>0130/17</t>
  </si>
  <si>
    <t>ASSOCIAÇÃO BENEFICENTE CANTIHO DA TERCEIRA IDADE</t>
  </si>
  <si>
    <t>CANTINHO DA TERCEIRA IDADE</t>
  </si>
  <si>
    <t>10.507.392/0001-33</t>
  </si>
  <si>
    <t>contato@cantinhodaterceiraidade.com.br</t>
  </si>
  <si>
    <t>0131/17</t>
  </si>
  <si>
    <t>CENTRO INTEGRADO DE PSIQUIATRIA E GERIATRIA ANCIEN LTDA - EPP</t>
  </si>
  <si>
    <t>MENTAL SÊNIOR</t>
  </si>
  <si>
    <t>01.376.214/0001-20</t>
  </si>
  <si>
    <t>0132/17</t>
  </si>
  <si>
    <t>POUSADA FLOR DE LÓTUS</t>
  </si>
  <si>
    <t>67.982.314/0001-08</t>
  </si>
  <si>
    <t>0133/17</t>
  </si>
  <si>
    <t xml:space="preserve">LAR IPIRANGA RESIDENCIAL PARA TERCEIRA IDADE LTDA-ME </t>
  </si>
  <si>
    <t>21.237.564/0001-12</t>
  </si>
  <si>
    <t>teonio@laripiranga.com.br</t>
  </si>
  <si>
    <t>0134/17</t>
  </si>
  <si>
    <t>ASSOCIAÇÃO BENEFICENTE GRUPO DA CARIDADE</t>
  </si>
  <si>
    <t>60.981.073/0002-14</t>
  </si>
  <si>
    <t>0135/17</t>
  </si>
  <si>
    <t>EM FAMÍLIA CASA DE REPOUSO LTDA - EPP</t>
  </si>
  <si>
    <t>20.983.500/0001-06</t>
  </si>
  <si>
    <t>0136/17</t>
  </si>
  <si>
    <t>PROVEDORIA DA COMUNIDADE PORTUGUESA DE SÃO PAULO</t>
  </si>
  <si>
    <t>62.662.077/0001-84</t>
  </si>
  <si>
    <t>0137/17</t>
  </si>
  <si>
    <t>CASA DOS VELHINHOS DE ONDINA LOBO</t>
  </si>
  <si>
    <t>62.788.484/0001-32</t>
  </si>
  <si>
    <t>0138/17</t>
  </si>
  <si>
    <t>CASA DE REPOUSO MAMMA MIA RESIDENCIAL E SEMI-INTERNATO PARA IDOSOS - LTDA ME</t>
  </si>
  <si>
    <t>13.710.938/0001-47</t>
  </si>
  <si>
    <t>0139/17</t>
  </si>
  <si>
    <t>VIVERE ASSISTÊNCIA AO IDOSO LTDA - ME</t>
  </si>
  <si>
    <t>18.575.097/0001-26</t>
  </si>
  <si>
    <t>0140/17</t>
  </si>
  <si>
    <t>CASA HAPPY DAY SERVIÇOS DE SAÚDE LTDA - ME</t>
  </si>
  <si>
    <t>20.649.480/0001-23</t>
  </si>
  <si>
    <t>alexandreiglesia@hotmail.com</t>
  </si>
  <si>
    <t>0141/17</t>
  </si>
  <si>
    <t>CVN - SERVIÇOS E HOSPEDAGEM PARA IDOSOS LTDA - EPP</t>
  </si>
  <si>
    <t>02.181.323/0001-54</t>
  </si>
  <si>
    <t>valdir@institutosaobento.com.br</t>
  </si>
  <si>
    <t>0142/17</t>
  </si>
  <si>
    <t>CASA DE REPOUSO CAPRICHO LTDA - ME</t>
  </si>
  <si>
    <t>26.678.882/0001-10</t>
  </si>
  <si>
    <t>0143/17</t>
  </si>
  <si>
    <t>ENTIDADE DE PROMOÇÃO E ASSISTÊNCIA SOCIAL ESPAÇO ABERTO</t>
  </si>
  <si>
    <t>Jd. Umuarama</t>
  </si>
  <si>
    <t>01.525.749/0001-15</t>
  </si>
  <si>
    <t>0144/17</t>
  </si>
  <si>
    <t>INSTITUTO DAS IRMÃS DA SANTA CRUZ</t>
  </si>
  <si>
    <t>57.035.933/0001-31</t>
  </si>
  <si>
    <t>0145/17</t>
  </si>
  <si>
    <t>HRSV RESIDENCIAL PARA IDOSOS - LTDA</t>
  </si>
  <si>
    <t>24.487.111/0001-32</t>
  </si>
  <si>
    <t>0146/17</t>
  </si>
  <si>
    <t>LANSCHIL CASA DE REPOUSO LTDA - EPP</t>
  </si>
  <si>
    <t>25.275.821/0001-61</t>
  </si>
  <si>
    <t>0147/17</t>
  </si>
  <si>
    <t>CASA DE REPOUSO SANTA FÉ LTDA - ME</t>
  </si>
  <si>
    <t>13.618.246/0001-73</t>
  </si>
  <si>
    <t>casaderepousosantafe@hotmail.com</t>
  </si>
  <si>
    <t>0148/17</t>
  </si>
  <si>
    <t>ANGELS4U SERVIÇOS DE APOIO E ASSISTÊNCIA DOMICILIAR LTDA - ME</t>
  </si>
  <si>
    <t>17.974.381/0001-02</t>
  </si>
  <si>
    <t>contato@angels4u.com.br</t>
  </si>
  <si>
    <t>0149/17</t>
  </si>
  <si>
    <t>CARLOS EDUARDO DA SILVA CASA DE REPOUSO - ME</t>
  </si>
  <si>
    <t>23.285.576/0001-48</t>
  </si>
  <si>
    <t>eduardo.enfermeiro@gmail.com</t>
  </si>
  <si>
    <t>0150/17</t>
  </si>
  <si>
    <t>UNIDADE GERONTOLÓGICA VIDA LTDA</t>
  </si>
  <si>
    <t>18.065.400/0001-40</t>
  </si>
  <si>
    <t>elisasobrinho@gmail.com</t>
  </si>
  <si>
    <t>0151/17</t>
  </si>
  <si>
    <t>PAULO THADEU BORGES MARQUES - ME</t>
  </si>
  <si>
    <t>11.478.233/0001-10</t>
  </si>
  <si>
    <t>0152/17</t>
  </si>
  <si>
    <t>CENTRO COMUNITÁRIO JARDIM AUTÓDROMO</t>
  </si>
  <si>
    <t>57.184.723/0001-05</t>
  </si>
  <si>
    <t>ccja@ccja.org.br</t>
  </si>
  <si>
    <t>0153/17</t>
  </si>
  <si>
    <t xml:space="preserve">GFWC CRÊ-SER </t>
  </si>
  <si>
    <t>07.376.674/0001-34</t>
  </si>
  <si>
    <t>gestaocreser@gmail.com</t>
  </si>
  <si>
    <t>0154/17</t>
  </si>
  <si>
    <t xml:space="preserve"> BRAZIL SENIOR LIVING S.A.</t>
  </si>
  <si>
    <t>CORA RESIDENCIAL UNIDADE VILLA LOBOS</t>
  </si>
  <si>
    <t>17.070.693/0003-53</t>
  </si>
  <si>
    <t>Não consta</t>
  </si>
  <si>
    <t>CORA RESIDENCIAL UNIDADE CAMPO BELO</t>
  </si>
  <si>
    <t>17.070.693/0005-15</t>
  </si>
  <si>
    <t>CORA RESIDENCIAL UNIDADE TATUAPÉ</t>
  </si>
  <si>
    <t>17.070.693/0006-04</t>
  </si>
  <si>
    <t>CORA RESIDENCIAL UNIDADE JARDINS</t>
  </si>
  <si>
    <t>17.070.693/0008-68</t>
  </si>
  <si>
    <t>CORA RESIDENCIAL UNIDADE IPIRANGA</t>
  </si>
  <si>
    <t>17.070.693/0002-72</t>
  </si>
  <si>
    <t>BRAZIL SENIOR LIVING S.A.</t>
  </si>
  <si>
    <t>CORA RESIDENCIAL UNIDADE CHÁCARA SANTO ANTÔNIO</t>
  </si>
  <si>
    <t>17.070.693/0009-49</t>
  </si>
  <si>
    <t>BRASIL SENIOR LIVING S.A.</t>
  </si>
  <si>
    <t>CORA RSIDENCIAL SENIOR UNIDADE HIGIENÓPOLIS</t>
  </si>
  <si>
    <t>17.070.693/0010-82</t>
  </si>
  <si>
    <t>0155/17</t>
  </si>
  <si>
    <t>CASA DE REPOUSO SOLAR LTDA - ME</t>
  </si>
  <si>
    <t>08.074.413/0001-22</t>
  </si>
  <si>
    <t>casaderepousosolar@gmail.com</t>
  </si>
  <si>
    <t>0156/17</t>
  </si>
  <si>
    <t>ASSOCIAÇÃO DE LUTAS E PROMOÇÃO SOCIAL JARDIM ROBRU E ADJACÊNCIAS</t>
  </si>
  <si>
    <t>04.676.010/0001-00</t>
  </si>
  <si>
    <t>0156.2/17</t>
  </si>
  <si>
    <t>04.676.010/0011-74</t>
  </si>
  <si>
    <t>0157/17</t>
  </si>
  <si>
    <t>GISELE APARECIDA PORZELT PEREIRA - ME</t>
  </si>
  <si>
    <t>ÁGAPE CARE</t>
  </si>
  <si>
    <t>21.958.991/0001-90</t>
  </si>
  <si>
    <t>0158/17</t>
  </si>
  <si>
    <t>CASA DE REPOUSO ÁGAPE CARE EIRELI - ME</t>
  </si>
  <si>
    <t>24.261.953/0001-71</t>
  </si>
  <si>
    <t>0159/17</t>
  </si>
  <si>
    <t>J. SANCHEZ DA SILVA CASA DE REPOUSO - ME</t>
  </si>
  <si>
    <t>22.841.268/0001-99</t>
  </si>
  <si>
    <t>0160/17</t>
  </si>
  <si>
    <t>CASA DE REPOUSO NOSSA SENHORA DE FÁTIMA LTDA - ME</t>
  </si>
  <si>
    <t>18.344.543/0001-91</t>
  </si>
  <si>
    <t>18.344.543/0002-72</t>
  </si>
  <si>
    <t>0161/17</t>
  </si>
  <si>
    <t>LENIRA COSTA DE ALMEIDA - ME</t>
  </si>
  <si>
    <t>CASA DE REPOUSO SONHO DE CUIDAR</t>
  </si>
  <si>
    <t>25.564.411/0001-80</t>
  </si>
  <si>
    <t>0162/17</t>
  </si>
  <si>
    <t xml:space="preserve">APOIO - ASSOCIAÇÃO DE AUXÍLIO MÚTUO DA REGIÃO LESTE </t>
  </si>
  <si>
    <t>JAÇANÃ DA GAROA</t>
  </si>
  <si>
    <t>74.087.081/0002-26</t>
  </si>
  <si>
    <t>apoio@qapoio-sp.org.br</t>
  </si>
  <si>
    <t>0163/17</t>
  </si>
  <si>
    <t>ASSOCIAÇÃO BENEFICENTE IRMÃ IDELFRANCA</t>
  </si>
  <si>
    <t>02.537.887/0001-87</t>
  </si>
  <si>
    <t>Itaim Paulista</t>
  </si>
  <si>
    <t>0164/17</t>
  </si>
  <si>
    <t>ABRIGO DE IDOSOS CAPRICHO LTDA - ME</t>
  </si>
  <si>
    <t>15.512.798/0001-28</t>
  </si>
  <si>
    <t>soniamcunha@hotmail.com</t>
  </si>
  <si>
    <t>0165/17</t>
  </si>
  <si>
    <t>RECANTO CAMINHO DAS ROSAS LTDA</t>
  </si>
  <si>
    <t>12.482.132/0001-86</t>
  </si>
  <si>
    <t>recanto.caminhodasrosas@hotmail.com</t>
  </si>
  <si>
    <t>0166/17</t>
  </si>
  <si>
    <t>GIORNI FELICE - CASA DE REPOUSO LTDA - ME</t>
  </si>
  <si>
    <t>02.471.603/0001-05</t>
  </si>
  <si>
    <t>N/C</t>
  </si>
  <si>
    <t>0167/17</t>
  </si>
  <si>
    <t>CASA DE REPOUSO GUSMÃO LTDA - ME</t>
  </si>
  <si>
    <t>22.216.646/00001-43</t>
  </si>
  <si>
    <t>0168/17</t>
  </si>
  <si>
    <t>CASA DE REPOUSO BEM ME QUER SOCIEDADE SIMPLES LTDA - ME</t>
  </si>
  <si>
    <t>CASA DE REPOUSO BEM ME QUER</t>
  </si>
  <si>
    <t>07.033.199/0001-01</t>
  </si>
  <si>
    <t>casaderepousobmq@gmail.com</t>
  </si>
  <si>
    <t>0169/17</t>
  </si>
  <si>
    <t>GONÇALO NUNES CASA DE REPOUSO LONGA PERMANÊNCIA PARA IDOSO LTDA - ME</t>
  </si>
  <si>
    <t>24.098.693/0001-65</t>
  </si>
  <si>
    <t>0170/17</t>
  </si>
  <si>
    <t>CASA DE REPOUSO RESIDENCIAL PENHA DE FRANÇA LTDA - ME</t>
  </si>
  <si>
    <t>MATRIZ</t>
  </si>
  <si>
    <t>09.308.997/0001-16</t>
  </si>
  <si>
    <t>residenciapenhadefranca@uol.com.br</t>
  </si>
  <si>
    <t>FILIAL</t>
  </si>
  <si>
    <t>09.308.997/0002-05</t>
  </si>
  <si>
    <t>0171/17</t>
  </si>
  <si>
    <t>BELA VIDA CENTRO DE CONVIVÊNCIA DO IDOSO LTDA - EPP</t>
  </si>
  <si>
    <t>13.690.468/0001-05</t>
  </si>
  <si>
    <t>contato@belavidaresidencial.com.br</t>
  </si>
  <si>
    <t>0172/17</t>
  </si>
  <si>
    <t>ASSOCIAÇÃO COMUNITÁRIA E BENEFICENTE Pe JOSÉ AUGUSTO MACHADO MOREIRA</t>
  </si>
  <si>
    <t>ILPI - SÃO MATEUS</t>
  </si>
  <si>
    <t>.65.887.382/0001-62</t>
  </si>
  <si>
    <t>São Mateus</t>
  </si>
  <si>
    <t>0173/17</t>
  </si>
  <si>
    <t>CASA DE REPOUSO ESTRELA NASCENTE LTDA - ME</t>
  </si>
  <si>
    <t>13.203.673/0001-90</t>
  </si>
  <si>
    <t>casaderepousoestrelanascente@hotmail.com</t>
  </si>
  <si>
    <t>0174/17</t>
  </si>
  <si>
    <t>SANDRA REGINA BERNARDO DE ARAÚJO - ME</t>
  </si>
  <si>
    <t>CASA DE REPOUSO RECANTO DOS GUERREIROS</t>
  </si>
  <si>
    <t>17.718.525/0001-60</t>
  </si>
  <si>
    <t>sandra.bernardo@globo.com</t>
  </si>
  <si>
    <t>0175/17</t>
  </si>
  <si>
    <t>CASA DE REPOUSO ORQUÍDEA LTDA - ME</t>
  </si>
  <si>
    <t>00.680.176/0001-31</t>
  </si>
  <si>
    <t>076/17</t>
  </si>
  <si>
    <t>PENSIONATO RESIDENCIAL PIRES DE PAULA LTDA - ME</t>
  </si>
  <si>
    <t>15.609.560/0001-15</t>
  </si>
  <si>
    <t>0177/17</t>
  </si>
  <si>
    <t>CASA DE REPOUSO ANJOS DE PLANTÃO LTDA - ME</t>
  </si>
  <si>
    <t>20.038.408/0001-60</t>
  </si>
  <si>
    <t>reginasalve@hotmail.com</t>
  </si>
  <si>
    <t>0178/17</t>
  </si>
  <si>
    <t>ROBERTA LUIZA CALABRO DE SOUZA - ME</t>
  </si>
  <si>
    <t>CASA DO IDOSO ANÁLIA FRANCO</t>
  </si>
  <si>
    <t>24.772.304/0001-35</t>
  </si>
  <si>
    <t>casadoidosoanaliafranco@gmail.com</t>
  </si>
  <si>
    <t>0179/17</t>
  </si>
  <si>
    <t>BENEVENTO &amp; SARTOR CASA DE REPOUSO EIRELI - ME</t>
  </si>
  <si>
    <t>19.566.875/0001-83</t>
  </si>
  <si>
    <t>0180/17</t>
  </si>
  <si>
    <t>NATALY NOGUEIRA - ME</t>
  </si>
  <si>
    <t>D'PÁDUA RESIDENCIAL</t>
  </si>
  <si>
    <t>26.836.539/0001-79</t>
  </si>
  <si>
    <t>contato@dpaduaresidencial.com.br</t>
  </si>
  <si>
    <t>0181/17</t>
  </si>
  <si>
    <t>RESIDENCIAL GERIÁTRICO BROOKLIN LTDA - EPP</t>
  </si>
  <si>
    <t>RESIDENCIAL BROOKLIN</t>
  </si>
  <si>
    <t>11.653.289/0001-64</t>
  </si>
  <si>
    <t>residencialbrooklin@hotmail.com</t>
  </si>
  <si>
    <t>0182/17</t>
  </si>
  <si>
    <t>VILLÁGIO EM FAMÍLIA CASA DE REPOUSO LTDA - EPP</t>
  </si>
  <si>
    <t>26.084.801/0001-76</t>
  </si>
  <si>
    <t>0183/17</t>
  </si>
  <si>
    <t>CASA DE REPOUSO PARA IDOSOS SOLAR DOS ANJOS LTDA - ME</t>
  </si>
  <si>
    <t>13.315.811/0001-23</t>
  </si>
  <si>
    <t>monicaduartesecco@hotmail.com</t>
  </si>
  <si>
    <t>0184/17</t>
  </si>
  <si>
    <t>LEVIMED - INSTITUIÇÃO DE LONGA PERMANÊNCIA PARA IDOSOS EIRELI - ME</t>
  </si>
  <si>
    <t>09.492.298/0001-29</t>
  </si>
  <si>
    <t>0185/17</t>
  </si>
  <si>
    <t>CASA DE REPOUSO AMOREVITTA LTDA - EPP</t>
  </si>
  <si>
    <t>17.970.228/0001-07</t>
  </si>
  <si>
    <t>adm@casaderepousoamorevitta.com.br</t>
  </si>
  <si>
    <t>0186/17</t>
  </si>
  <si>
    <t>ASSOCIAÇÃO CARITATIVA DA SAGRADA FAMÍLIA</t>
  </si>
  <si>
    <t>ABRIGO RAINHA IZABEL</t>
  </si>
  <si>
    <t>61.633.806/0001-01</t>
  </si>
  <si>
    <t>0187/17</t>
  </si>
  <si>
    <t>CASA DE REPOUSO PAIVA LIMA LTDA - ME</t>
  </si>
  <si>
    <t>22.905.318/0001-54</t>
  </si>
  <si>
    <t>22.905.318/0001-35</t>
  </si>
  <si>
    <t>0188/17</t>
  </si>
  <si>
    <t>INSTITUTO AKHANDA</t>
  </si>
  <si>
    <t>13.986.026/0001-00</t>
  </si>
  <si>
    <t>ahkanda@ahkanda.com.br</t>
  </si>
  <si>
    <t>0189/17</t>
  </si>
  <si>
    <t>CASA DE REPOUSO SANTA MONICE S/C LTDA - ME</t>
  </si>
  <si>
    <t>54.463.229/0001-91</t>
  </si>
  <si>
    <t>0190/17</t>
  </si>
  <si>
    <t>RESIDENCIAL VIDA NOVA SERÇOS PARA IDOSOS LTDA - EPP</t>
  </si>
  <si>
    <t>03.147.789/0001-04</t>
  </si>
  <si>
    <t>residencial@grupovidanova.com</t>
  </si>
  <si>
    <t>0191/17</t>
  </si>
  <si>
    <t>CASA DE REPOUSO AMANHECER LTDA - ME</t>
  </si>
  <si>
    <t>RESIDENCIAL AMANHECER</t>
  </si>
  <si>
    <t>08.290.805/0001-29</t>
  </si>
  <si>
    <t>residencialamanhecer@hotmail.com</t>
  </si>
  <si>
    <t>0192/17</t>
  </si>
  <si>
    <t>CAMP PINHEIROS - CENTRO PROFISSIONAL DE MOTIVAÇÃO PROFISSIONAL</t>
  </si>
  <si>
    <t>50.246.529/0001-68</t>
  </si>
  <si>
    <t>0193/17</t>
  </si>
  <si>
    <t>ASSOCIAÇÃO DE MULHERES AMIGAS DE JOVA RURAL</t>
  </si>
  <si>
    <t>00.346.741/0005-52</t>
  </si>
  <si>
    <t>00.346.741/0006-33</t>
  </si>
  <si>
    <t>00.346-741/0004-71</t>
  </si>
  <si>
    <t xml:space="preserve">0194/17 </t>
  </si>
  <si>
    <t>RESIDENCIAL PARA IDOSOS PERSEVERANÇA LTDA - ME</t>
  </si>
  <si>
    <t>24.987.952/0001-09</t>
  </si>
  <si>
    <t>0195/17</t>
  </si>
  <si>
    <t>HOSPCLÍNICA CAMPO BELO RETAGUARDA PARA IDOSOS LTDA - EPP</t>
  </si>
  <si>
    <t>16.881.755/0001-82</t>
  </si>
  <si>
    <t>0196/17</t>
  </si>
  <si>
    <t>CASA DE REPOUSO VIVER BEM EIRELI - EPP</t>
  </si>
  <si>
    <t>26.220.668/0001-38</t>
  </si>
  <si>
    <t>0197/17</t>
  </si>
  <si>
    <t>MAIS SAÚDE MELHOR IDADE INSTITUIÇÃO DE LONGA PERMANÊNCIA PARA IDOSOS LTDA - EPP</t>
  </si>
  <si>
    <t>MAIS SAÚDE MELHOR IDADE</t>
  </si>
  <si>
    <t>01.695.727/0001-01</t>
  </si>
  <si>
    <t>0198/17</t>
  </si>
  <si>
    <t>VILLA DEI FIORI - CENTRO DE CONVIVÊNVIA PARA A TERCEIRA IDADE LTDA-EPP</t>
  </si>
  <si>
    <t>17.489.099/0001-30</t>
  </si>
  <si>
    <t>villaunidade1@gmail.com</t>
  </si>
  <si>
    <t>17.489.099/0002-10</t>
  </si>
  <si>
    <t>0199/17</t>
  </si>
  <si>
    <t>HOTELARIA PARA TERCEIRA IDADE ORQUÍDEA LTDA - ME</t>
  </si>
  <si>
    <t>21.308.700/0001-18</t>
  </si>
  <si>
    <t>0200/17</t>
  </si>
  <si>
    <t>CASA DE REPOUSO MOOCA BEM ME CARE EIRELI - ME</t>
  </si>
  <si>
    <t>11.983.349/0001-07</t>
  </si>
  <si>
    <t>casaderepousobemmecare@gmail.com</t>
  </si>
  <si>
    <t>11.983.349/0002-98</t>
  </si>
  <si>
    <t>0201/17</t>
  </si>
  <si>
    <t>INSTITUTO GERIÁTRICO LIFE CARE EIRELI - EPP</t>
  </si>
  <si>
    <t>24.109.123/0001-23</t>
  </si>
  <si>
    <t>0202/17</t>
  </si>
  <si>
    <t>SOLAR DAS MERCEDES REPOUSO PARA IDOSOS LTDA - ME</t>
  </si>
  <si>
    <t>05.823.660/0001-96</t>
  </si>
  <si>
    <t>solardasmercedes@gmail.com</t>
  </si>
  <si>
    <t>0203/17</t>
  </si>
  <si>
    <t>MARIA ISABEL DE OLIVEIRA CASTRO - ME</t>
  </si>
  <si>
    <t>ENCANTO DOS IDOSOS</t>
  </si>
  <si>
    <t>25.294.9018/0001-11</t>
  </si>
  <si>
    <t>encantodosidosos@gmail.com</t>
  </si>
  <si>
    <t>0204/17</t>
  </si>
  <si>
    <t>LIGA DAS SENHORAS CATÓLICAS DE SÃO PAULO</t>
  </si>
  <si>
    <t>60.597.044/0016-59</t>
  </si>
  <si>
    <t>60.597.044/0020-35</t>
  </si>
  <si>
    <t>0205/18</t>
  </si>
  <si>
    <t>CLÍNICA SÃO GENARO</t>
  </si>
  <si>
    <t>62.611.124/0001-60</t>
  </si>
  <si>
    <t>saogenaro@saogenaro.com.br</t>
  </si>
  <si>
    <t>206/18</t>
  </si>
  <si>
    <t>RESIDENCIAL ANÁLIA PARK LTDA</t>
  </si>
  <si>
    <t>RESIDENCIAL ANÁLIA PARK</t>
  </si>
  <si>
    <t>20.189.461/0001-61</t>
  </si>
  <si>
    <t>207/18</t>
  </si>
  <si>
    <t>LLV RESIDÊNCIA PARA IDOSOS LTDA - ME</t>
  </si>
  <si>
    <t>23.472.949/0001-90</t>
  </si>
  <si>
    <t>208/18</t>
  </si>
  <si>
    <t>ACONCHEGO CASA DO IDOSO LTDA - ME</t>
  </si>
  <si>
    <t>21.476.857/0001-52</t>
  </si>
  <si>
    <t>209/18</t>
  </si>
  <si>
    <t>NR ZERBINI - RESIDÊNCIA PARA IDOSOS E FISIOTERAPIA EIRELI - ME</t>
  </si>
  <si>
    <t>22.545.284/0001-34</t>
  </si>
  <si>
    <t>esperancahmi@gmail.com</t>
  </si>
  <si>
    <t>210/18</t>
  </si>
  <si>
    <t>RESIDENCIAL RECANTO DAS FLORES CENTRO DE CONVIVÊNCIA DA TERCEIRA IDADE LTDA - EPP</t>
  </si>
  <si>
    <t>05.702.664/0001-16</t>
  </si>
  <si>
    <t>211/18</t>
  </si>
  <si>
    <t>CASA DE REPOUSO ADONAI LTDA</t>
  </si>
  <si>
    <t>CASA DE REPOUSO ADONAI</t>
  </si>
  <si>
    <t>00.379.579/0001/45</t>
  </si>
  <si>
    <t>adonaiparaidosos@gmail.com</t>
  </si>
  <si>
    <t>212.1/18</t>
  </si>
  <si>
    <t>FERNANDA M. P. GROBMAN - ME</t>
  </si>
  <si>
    <t>08.351.492/0001-71</t>
  </si>
  <si>
    <t>fernandaprizon@gmail.com</t>
  </si>
  <si>
    <t>212.2/18</t>
  </si>
  <si>
    <t>08.351.492/0002-52</t>
  </si>
  <si>
    <t>213/18</t>
  </si>
  <si>
    <t>CASA DE REPOUSO BRILHO DO SOL - ME</t>
  </si>
  <si>
    <t>CASA DE REPOUSO BRILHO DO SOL</t>
  </si>
  <si>
    <t>07.729.484/0001-07</t>
  </si>
  <si>
    <t>214/18</t>
  </si>
  <si>
    <t>ASILO UNIÃO DOS ANJOS LTDA - ME</t>
  </si>
  <si>
    <t>CASA DE REPOUSO UNIÃO DOS ANJOS</t>
  </si>
  <si>
    <t>10.226.039/0001-85</t>
  </si>
  <si>
    <t>imperiodosanjos@yahoo.com.br</t>
  </si>
  <si>
    <t>215/18</t>
  </si>
  <si>
    <t>MAMÃE ASSOCIAÇÃO DE ASSISTÊNCIA À CRIANÇA SANTAMARENSE</t>
  </si>
  <si>
    <t>NCI MAMÃE</t>
  </si>
  <si>
    <t>62.915.459/0001-72</t>
  </si>
  <si>
    <t>216/18</t>
  </si>
  <si>
    <t>ALEBEL CASA DE REPOUSO LTDA - ME</t>
  </si>
  <si>
    <t>09.247.337/0001-72</t>
  </si>
  <si>
    <t>217/18</t>
  </si>
  <si>
    <t>CASA DE REPOUSO LAR DOCE LAR LTDA - ME</t>
  </si>
  <si>
    <t>CASA DE REPOUSO LAR DOCE LAR</t>
  </si>
  <si>
    <t>25.376.233/0001-14</t>
  </si>
  <si>
    <t>cris.medcon@hotmail.com</t>
  </si>
  <si>
    <t>218/18</t>
  </si>
  <si>
    <t>COMUNIDADE KOLPING SÃO FRANCISCO DE GUAIANASES</t>
  </si>
  <si>
    <t>52.837.093/0001-07</t>
  </si>
  <si>
    <t>Guaianases</t>
  </si>
  <si>
    <t>219/18</t>
  </si>
  <si>
    <t>ASILO LAR DOCE LAR DA TERCEIRA IDADE LTDA - ME</t>
  </si>
  <si>
    <t>05.310.125/0001-31</t>
  </si>
  <si>
    <t>casaderepousodocelar2013@gmail.com</t>
  </si>
  <si>
    <t>220/18</t>
  </si>
  <si>
    <t>RESIDENCIAL PRIMAVERA INSTITUIÇÃO DE LONGA PERMANÊNCIA LTDA</t>
  </si>
  <si>
    <t>15.478.226/0001-70</t>
  </si>
  <si>
    <t>celialimapires@yahoo.com.br</t>
  </si>
  <si>
    <t>221/18</t>
  </si>
  <si>
    <t>ASSOCIAÇÃO MENINO DEUS</t>
  </si>
  <si>
    <t>67.984.864/0001-66</t>
  </si>
  <si>
    <t>associacao.deus@uol.com.br</t>
  </si>
  <si>
    <t>222/18</t>
  </si>
  <si>
    <t>FUNDAÇÃO BRITÂNICA DE BENEFICÊNCIA</t>
  </si>
  <si>
    <t>60.478.344/0001-32</t>
  </si>
  <si>
    <t>223/18</t>
  </si>
  <si>
    <t>YOUSSEF MOHAMED ORRA JUNIOR - ME</t>
  </si>
  <si>
    <t>25.063.879/0001-41</t>
  </si>
  <si>
    <t>224/18</t>
  </si>
  <si>
    <t>RESIDENCIAL BOSQUE DAS FLORES CASA DE REPOUSO LTDA - ME</t>
  </si>
  <si>
    <t>22.183.902/0001-43</t>
  </si>
  <si>
    <t>r.bosquedasflores@gmail.com</t>
  </si>
  <si>
    <t>225/18</t>
  </si>
  <si>
    <t>RESIDENCIAL PARQUE DAS FLORES PARA IDOSOS S/S LTDA - ME</t>
  </si>
  <si>
    <t>08.237.597/0001-02</t>
  </si>
  <si>
    <t>r-parquedasflores@uol.com.br</t>
  </si>
  <si>
    <t>226/18</t>
  </si>
  <si>
    <t>UNIÃO DOS MORADORES E DO COMÉRCIO DE PARAISÓPOLIS</t>
  </si>
  <si>
    <t>53.820.619/0001-09</t>
  </si>
  <si>
    <t>centrodia@paraisopolis.org</t>
  </si>
  <si>
    <t>227/18</t>
  </si>
  <si>
    <t>ESPAÇO GIRASSOL PARA A 3ª IDADE LTDA - ME</t>
  </si>
  <si>
    <t>17.792.137/0001-29</t>
  </si>
  <si>
    <t>228/18</t>
  </si>
  <si>
    <t>INSTITUTO PINHEIRO</t>
  </si>
  <si>
    <t>10.562.871/0001-52</t>
  </si>
  <si>
    <t>229/18</t>
  </si>
  <si>
    <t>PENSIONATO VOVÓ ESPERANÇA LTDA - ME</t>
  </si>
  <si>
    <t>14.668.824/0001-49</t>
  </si>
  <si>
    <t>contato@casavovoesperanca.com</t>
  </si>
  <si>
    <t>230/18</t>
  </si>
  <si>
    <t>LAR RECANTO DOS AVÓS DE VILA RÉ</t>
  </si>
  <si>
    <t>24.343.933/0001-40</t>
  </si>
  <si>
    <t>recantodosavosdevilare@gmail.com</t>
  </si>
  <si>
    <t>231/18</t>
  </si>
  <si>
    <t>CASA DE REPOUSO HOSPITALAR LTDA - EPP</t>
  </si>
  <si>
    <t>23.494.433/0001-46</t>
  </si>
  <si>
    <t>232/18</t>
  </si>
  <si>
    <t>RESIDENCIAL GERIÁTRICO ANAPURUS LTDA - ME</t>
  </si>
  <si>
    <t>12.231.624/0001-07</t>
  </si>
  <si>
    <t>233/18</t>
  </si>
  <si>
    <t>VIVER BEM - CENTRO DE CURTA E LONGA PERMANÊNCIA PARA IDOSOS LTDA - ME</t>
  </si>
  <si>
    <t>28.482.976/0001-67</t>
  </si>
  <si>
    <t>contato@centroviverbem.com.br</t>
  </si>
  <si>
    <t>234/18</t>
  </si>
  <si>
    <t>MARPE CASA DE REPOUSO LTDA - EPP</t>
  </si>
  <si>
    <t>55.212.591/0001-52</t>
  </si>
  <si>
    <t>235/18</t>
  </si>
  <si>
    <t>CASA DE REPOUSO GERIÁTRICO RESIDENCIAL SOLAR DA MOOCA LTDA - ME</t>
  </si>
  <si>
    <t>09.403.124/0001-92</t>
  </si>
  <si>
    <t>administrativo@solardamooca.com.br</t>
  </si>
  <si>
    <t>236/18</t>
  </si>
  <si>
    <t>CASA DE REPOUSO ÁGAPE - EIRELI - ME</t>
  </si>
  <si>
    <t>25.583.931/0001-52</t>
  </si>
  <si>
    <t>luciana.enf@gmail.com</t>
  </si>
  <si>
    <t>237/18</t>
  </si>
  <si>
    <t>HOTEL RESIDENCIAL BOA VIDA - LTDA - ME</t>
  </si>
  <si>
    <t>02.274.997/0001-01</t>
  </si>
  <si>
    <t>edununao31@gmail.com</t>
  </si>
  <si>
    <t>238/18</t>
  </si>
  <si>
    <t>M. DE SOUZA CAVALCANTI - PENSIONATO - EIRELI - ME</t>
  </si>
  <si>
    <t>15.640.603/0001-25</t>
  </si>
  <si>
    <t>lpc_lm@hotmail.com</t>
  </si>
  <si>
    <t>239/18</t>
  </si>
  <si>
    <t>GOLDEN CARE CLÍNICA E RESIDÊNCIA GERIÁTRICA - LTDA</t>
  </si>
  <si>
    <t>23.085.507/0001-90</t>
  </si>
  <si>
    <t>casagoldencare@gmail.com</t>
  </si>
  <si>
    <t>240/18</t>
  </si>
  <si>
    <t>RESIDENCIAL BEM CUIDAR - EIRELI - ME</t>
  </si>
  <si>
    <t>21.707.428/0001-49</t>
  </si>
  <si>
    <t>residencialbemcuidar@hotmail.com</t>
  </si>
  <si>
    <t>241/18</t>
  </si>
  <si>
    <t>CASA DE REPOUSO RECANTO VÓ ELPÍDIA - LTDA</t>
  </si>
  <si>
    <t>17.302.113/0001-44</t>
  </si>
  <si>
    <t>recantovoelpidia@gmail.com</t>
  </si>
  <si>
    <t>242/18</t>
  </si>
  <si>
    <t>INSTITUTO ROSALES CASA DE REPOUSO - LTDA - ME</t>
  </si>
  <si>
    <t>26.381.503/0001-48</t>
  </si>
  <si>
    <t>instituto-rosales@outlook.com</t>
  </si>
  <si>
    <t>243/18</t>
  </si>
  <si>
    <t xml:space="preserve">SANDRA REGINA GABRIEL </t>
  </si>
  <si>
    <t>01.873.229/0001-01</t>
  </si>
  <si>
    <t>sandrareginagabriel@gmail.com</t>
  </si>
  <si>
    <t>244/18</t>
  </si>
  <si>
    <t>A VIDA É BELA SAÚDE - EIRELI - ME</t>
  </si>
  <si>
    <t>17.880.277/0001-59</t>
  </si>
  <si>
    <t>avidaebelaresidencial@gmail.com</t>
  </si>
  <si>
    <t>245/18</t>
  </si>
  <si>
    <t>CASA DE REPOUSO JAÇANA - LTDA - ME</t>
  </si>
  <si>
    <t>10.445.277/0001-81</t>
  </si>
  <si>
    <t>casa-repouso-jaçana@hotmail.com.br</t>
  </si>
  <si>
    <t>246/18</t>
  </si>
  <si>
    <t>CASA DE REPOUSO FERNANDA - LTDA</t>
  </si>
  <si>
    <t>05.336.937/0001-56</t>
  </si>
  <si>
    <t>eliteresidencial@gmail.com</t>
  </si>
  <si>
    <t>247.1/18</t>
  </si>
  <si>
    <t>UNIÃO BRASILEIRO-ISRAELITA DO BEM-ESTAR SOCIAL - UNIBES</t>
  </si>
  <si>
    <t>60.978.723/0001-91</t>
  </si>
  <si>
    <t>unibes@unibes.org.br</t>
  </si>
  <si>
    <t>247.2/18</t>
  </si>
  <si>
    <t>247.3/18</t>
  </si>
  <si>
    <t>60.978.723/0014-06</t>
  </si>
  <si>
    <t>247.4/18</t>
  </si>
  <si>
    <t>ILPI UNIBES</t>
  </si>
  <si>
    <t>60.978.723/0015-97</t>
  </si>
  <si>
    <t>248/18</t>
  </si>
  <si>
    <t>JMC VIANA CASA DE REPOUSO</t>
  </si>
  <si>
    <t>25.117.727/0001-84</t>
  </si>
  <si>
    <t>249/18</t>
  </si>
  <si>
    <t>SAFE CARE RESIDENCIAL E HOTELARIA PARA IDOSOS - EIRELI</t>
  </si>
  <si>
    <t>27.463.016/0001-97</t>
  </si>
  <si>
    <t>adm@safecaresp.com.br</t>
  </si>
  <si>
    <t>250/18</t>
  </si>
  <si>
    <t>CASA DE REPOUSO SANT'ANNA LTDA - ME</t>
  </si>
  <si>
    <t>03.106.335/0001-87</t>
  </si>
  <si>
    <t>casaderepousosantanna@hotmail.com</t>
  </si>
  <si>
    <t>251/18</t>
  </si>
  <si>
    <t>F A PIERETTI PENSIONATO</t>
  </si>
  <si>
    <t>24.618.943/0001-40</t>
  </si>
  <si>
    <t>Aricanduva/Formosa/Carrão</t>
  </si>
  <si>
    <t>252/18</t>
  </si>
  <si>
    <t>VITA CARE UNIVERSO DA MELHOR IDADE - LTDA</t>
  </si>
  <si>
    <t>VITA CARE</t>
  </si>
  <si>
    <t>09.367.787/0001-07</t>
  </si>
  <si>
    <t>anafontarba@gmail.com</t>
  </si>
  <si>
    <t>253/18</t>
  </si>
  <si>
    <t>CASA DE REPOUSO MÃOS QUE CUIDAM - LTDA</t>
  </si>
  <si>
    <t>CASA DE REPOUSO MÃOS QUE CUIDAM</t>
  </si>
  <si>
    <t>17.659.043/0001-86</t>
  </si>
  <si>
    <t>maosquecuidam@gmail.com</t>
  </si>
  <si>
    <t>254/18</t>
  </si>
  <si>
    <t>CASA DA TERCEIRA IDADE TEREZA BUGOLIM</t>
  </si>
  <si>
    <t>TEREZA BUGOLIM</t>
  </si>
  <si>
    <t>02.406.322/0001-60</t>
  </si>
  <si>
    <t>bugolim@gmail.com</t>
  </si>
  <si>
    <t>255/18</t>
  </si>
  <si>
    <t>SOCIEDADE AMIGOS DA 3ª IDADE SÃO FRANCISCO DE ASSIS</t>
  </si>
  <si>
    <t>NCI CASA DA MELHOR IDADE DONA DIVA</t>
  </si>
  <si>
    <t>05.160.708/0001-23</t>
  </si>
  <si>
    <t>marachutti@hotmail.com</t>
  </si>
  <si>
    <t>256/18</t>
  </si>
  <si>
    <t>RESIDENCIAL PARA IDOSOS TAMANDARÁ - LTDA</t>
  </si>
  <si>
    <t>RESIDENCIAL TAMANDARÉ</t>
  </si>
  <si>
    <t>27.863.301/0001-03</t>
  </si>
  <si>
    <t>edelcio@residencialtamandare.com.br</t>
  </si>
  <si>
    <t>257/18</t>
  </si>
  <si>
    <t>SOCIEDADE PEQUENO JESUS</t>
  </si>
  <si>
    <t>00.287.534/0001-40</t>
  </si>
  <si>
    <t>pequenojesus2013@gmail.com</t>
  </si>
  <si>
    <t>258/18</t>
  </si>
  <si>
    <t>ANDRADE &amp; FERREIRA CASA DE REPOUSO LTDA - ME</t>
  </si>
  <si>
    <t>RESIDENCIAL GERIÁTRICO ROSA</t>
  </si>
  <si>
    <t>09.395.766/0001-97</t>
  </si>
  <si>
    <t>residencialrosa1@gmail.com</t>
  </si>
  <si>
    <t>259/19</t>
  </si>
  <si>
    <t>HOSPITAL E CASA DE REPOUSO SAINTE-MARIE</t>
  </si>
  <si>
    <t>04.588.288/0001-18</t>
  </si>
  <si>
    <t>smm@grupoipcsaude.com.br</t>
  </si>
  <si>
    <t>260/19</t>
  </si>
  <si>
    <t>CHERUBINS CASA DE REPOUSO LTDA - ME</t>
  </si>
  <si>
    <t>11.437.252/0001-07</t>
  </si>
  <si>
    <t>contato@clinicacherubins.com.br</t>
  </si>
  <si>
    <t>261/19</t>
  </si>
  <si>
    <t>PENSIONATO RESIDENCIAL SANCHEZ LTDA - ME</t>
  </si>
  <si>
    <t>PENSIONATO RESIDENCIAL MORADA DO SOL</t>
  </si>
  <si>
    <t>18.288.329/0001-65</t>
  </si>
  <si>
    <t>262/19</t>
  </si>
  <si>
    <t>VIP SÊNIOR RESIDENCIAL DE LONGA PERMANÊNCIA ILPI LTDA</t>
  </si>
  <si>
    <t>RESIDENCIAL VIP SÊNIOR</t>
  </si>
  <si>
    <t>23.909.505/0001-79</t>
  </si>
  <si>
    <t>residencialvipsenior@hotmail.com</t>
  </si>
  <si>
    <t>263/19</t>
  </si>
  <si>
    <t>VITHALLIS CUIDADORES DE PESSOAS LTDA</t>
  </si>
  <si>
    <t>CASA DE REPOUSO MENORAH</t>
  </si>
  <si>
    <t>13.479.133/0001-34</t>
  </si>
  <si>
    <t>eltonvilar@gmail.com</t>
  </si>
  <si>
    <t>264/19</t>
  </si>
  <si>
    <t>RECANTO ALEGRE REPOUSO PARA IDOSOS LTDA</t>
  </si>
  <si>
    <t>20.686.280/0001-40</t>
  </si>
  <si>
    <t>265/19</t>
  </si>
  <si>
    <t>CASA PRÓ IDOSO LTDA - EPP</t>
  </si>
  <si>
    <t>50.105.477/0001-00</t>
  </si>
  <si>
    <t>pro_idoso@hotmail.com</t>
  </si>
  <si>
    <t>266/19</t>
  </si>
  <si>
    <t>SOCIEDADE BENEFICENTE ISRAELITA BRASIELIRA HOSPITAL ALBERT EINSTEIN</t>
  </si>
  <si>
    <t>RESIDENCIAL ALBERT EINSTEIN</t>
  </si>
  <si>
    <t>60.765/823/0001-30</t>
  </si>
  <si>
    <t>267/19</t>
  </si>
  <si>
    <t>CASA DE REPOUSO SAN RAPHAEL LTDA</t>
  </si>
  <si>
    <t>CASA DE REPOUSO SAN RAPHAEL</t>
  </si>
  <si>
    <t>19.367.026/0001-09</t>
  </si>
  <si>
    <t>adenildes@casaderepousosanraphael.com.br</t>
  </si>
  <si>
    <t>268/19</t>
  </si>
  <si>
    <t>CASA DE REPOUSO RENOVAR LTDA - ME</t>
  </si>
  <si>
    <t>CASA DE REPOUSO RESIDENCIAL VITÓRIA</t>
  </si>
  <si>
    <t>17.706.361/0001-50</t>
  </si>
  <si>
    <t>crrvitoria@hotmail.com</t>
  </si>
  <si>
    <t>269/19</t>
  </si>
  <si>
    <t>L. DE PAULA PENSIONATO - ME</t>
  </si>
  <si>
    <t>20.383.310/0001-40</t>
  </si>
  <si>
    <t>270/19</t>
  </si>
  <si>
    <t>RESIDENCIAL NOVOS AMIGOS LTDA</t>
  </si>
  <si>
    <t>07.746.110/0001-73</t>
  </si>
  <si>
    <t>271/19</t>
  </si>
  <si>
    <t>CASA DE REPOUSO RESIDENCIAL DA VILA - EIRELI</t>
  </si>
  <si>
    <t>RESIDENCIAL IPIRANGA</t>
  </si>
  <si>
    <t>20.237.605/0001-08</t>
  </si>
  <si>
    <t>faleconosco@residencialipiranga.com.br</t>
  </si>
  <si>
    <t>272/19</t>
  </si>
  <si>
    <t>CLÍNICA DE REPOUSO JARDIM DA SAÚDE LTDA</t>
  </si>
  <si>
    <t>CLÍNICA DE REPOUSO SERENIDADE</t>
  </si>
  <si>
    <t>18.328.980/0001-11</t>
  </si>
  <si>
    <t>273/19</t>
  </si>
  <si>
    <t>D'PÁDUA RESIDENCIAL SENIOR LTDA - ME</t>
  </si>
  <si>
    <t>28.905.509/0001-17</t>
  </si>
  <si>
    <t>274/19</t>
  </si>
  <si>
    <t>HOTEL E HOSPEDAGEM PARA 3ª IDADE LIGHT LIFE LTDA</t>
  </si>
  <si>
    <t>13.479.389/0001-41</t>
  </si>
  <si>
    <t>lu4060@hotmail.com</t>
  </si>
  <si>
    <t>275/19</t>
  </si>
  <si>
    <t>SENIOR VITA SERVIÇOS PARA TERCEIRA IDADE LTDA</t>
  </si>
  <si>
    <t>SENIOR VITA</t>
  </si>
  <si>
    <t>25.205.617/0001-74</t>
  </si>
  <si>
    <t>ale.benitez@seniorvita.com.br</t>
  </si>
  <si>
    <t>276/19</t>
  </si>
  <si>
    <t xml:space="preserve">C A DE SOUZA JUNIOR PENSIONATO </t>
  </si>
  <si>
    <t>SOLAR DOS NOBRES</t>
  </si>
  <si>
    <t>26.510.155/0001-61</t>
  </si>
  <si>
    <t>contato@solardosnobres.com.br</t>
  </si>
  <si>
    <t>277/19</t>
  </si>
  <si>
    <t>SOCIAL BOM JESUS</t>
  </si>
  <si>
    <t>47.468.186/0001-71</t>
  </si>
  <si>
    <t>278/19</t>
  </si>
  <si>
    <t>RESIDENCIAL PARA IDOSOS VELEIROS LTDA</t>
  </si>
  <si>
    <t>30.308.143/0001-26</t>
  </si>
  <si>
    <t>residencialparaidososveleiros@gmail.com</t>
  </si>
  <si>
    <t>279/19</t>
  </si>
  <si>
    <t>ELAINE RODRIGUES DOMINGUES CASA DE REPOUSO - ME</t>
  </si>
  <si>
    <t>CASA DE REPOUSO JARDIM DAS MARGARIDAS</t>
  </si>
  <si>
    <t>27.816.687/0001-94</t>
  </si>
  <si>
    <t>elainedomingues46@yahoo.com.br</t>
  </si>
  <si>
    <t>280/19</t>
  </si>
  <si>
    <t>ORDEM AUXILIADORA DAS SENHORAS IDOSAS EVANGÉLICAS OASE</t>
  </si>
  <si>
    <t>OASE</t>
  </si>
  <si>
    <t>60.761.657/0001-01</t>
  </si>
  <si>
    <t>ordemoase@uol.com.br</t>
  </si>
  <si>
    <t>281/19</t>
  </si>
  <si>
    <t>CASA DE REPOUSO VO ZELINDA LTDA</t>
  </si>
  <si>
    <t>18.587.273/0001-40</t>
  </si>
  <si>
    <t>282/19</t>
  </si>
  <si>
    <t>CASA DE ACOLHIDA FILHOS PREDILETOS</t>
  </si>
  <si>
    <t>05.334.779/0001-03</t>
  </si>
  <si>
    <t>283/19</t>
  </si>
  <si>
    <t>HOTEL DA VOVO LTDA</t>
  </si>
  <si>
    <t>09.385.310/0001-46</t>
  </si>
  <si>
    <t>advleliabarris@gmail.com</t>
  </si>
  <si>
    <t>284/19</t>
  </si>
  <si>
    <t>D'VERAS RESIDENCIAL E SERVIÇOS DE HOSPEDAGEM LTDA</t>
  </si>
  <si>
    <t>08.442.211/0001-96</t>
  </si>
  <si>
    <t>dverasresidencial@gmail.com</t>
  </si>
  <si>
    <t>285/19</t>
  </si>
  <si>
    <t>SEM EFEITO</t>
  </si>
  <si>
    <t>286/19</t>
  </si>
  <si>
    <t>JOSIANI FERNANDES DA SILVA</t>
  </si>
  <si>
    <t>15.505.412/0001-50</t>
  </si>
  <si>
    <t>sem email</t>
  </si>
  <si>
    <t>287/19</t>
  </si>
  <si>
    <t>REGINA DE SOUZA FERNANDES SALOMÃO - ME</t>
  </si>
  <si>
    <t>RD DOCE LAR CASA DE REPOUSO</t>
  </si>
  <si>
    <t>12.678.767/0001-53</t>
  </si>
  <si>
    <t>regina@casaderepousorddocelar.com.br</t>
  </si>
  <si>
    <t>288/19</t>
  </si>
  <si>
    <t>RESIDENCIAL VILLA MATHILDE LTDA</t>
  </si>
  <si>
    <t>25.017.862/0001-58</t>
  </si>
  <si>
    <t>residencialdvillamathilde@hotmail.com</t>
  </si>
  <si>
    <t>289/19</t>
  </si>
  <si>
    <t xml:space="preserve">VIVA VIDA - CENTRO DE CONVIVÊNCIA PARA IDOSOS LTDA - ME </t>
  </si>
  <si>
    <t>21.521.469/0001-46</t>
  </si>
  <si>
    <t>centrodeconcivenciaparaidosos@gmail.com</t>
  </si>
  <si>
    <t>290/19</t>
  </si>
  <si>
    <t>CENTRO DE PROMOÇÃO HUMANA E ASSISTÊNCIA SOCIAL DA PARÓQUIA DE SANT’ANA CEPHAS</t>
  </si>
  <si>
    <t>60.671.963/0001-49</t>
  </si>
  <si>
    <t>291/19</t>
  </si>
  <si>
    <t xml:space="preserve">SANTA ANA – INSTITUIÇÃO DE LONGA PERMANÊNCIA PARA IDOSOS </t>
  </si>
  <si>
    <t>12.941.733/0001-00</t>
  </si>
  <si>
    <t>292/19</t>
  </si>
  <si>
    <t xml:space="preserve">CÓLMEIA RECREATIVA CULTURAL E SOCIAL </t>
  </si>
  <si>
    <t>00.126.650/0001-88</t>
  </si>
  <si>
    <t xml:space="preserve">Sul </t>
  </si>
  <si>
    <t xml:space="preserve">colmeiaculturalesocial@gmail.com </t>
  </si>
  <si>
    <t>293/19</t>
  </si>
  <si>
    <t xml:space="preserve">RESIDENCIAL VIDA PARA IDOSOS LTDA </t>
  </si>
  <si>
    <t xml:space="preserve">ILPI </t>
  </si>
  <si>
    <t>29.790.970/0001-10</t>
  </si>
  <si>
    <t xml:space="preserve">residencialvida2018@gmail.com </t>
  </si>
  <si>
    <t>294/19</t>
  </si>
  <si>
    <t xml:space="preserve">ASSOCIAÇÃO GRUPO VIVA VIDA DE VILA CURUÇÁ VELHA </t>
  </si>
  <si>
    <t>07.109.931/0001-16</t>
  </si>
  <si>
    <t xml:space="preserve">gerencia.grupovivavida@hotmail.com </t>
  </si>
  <si>
    <t>295/19</t>
  </si>
  <si>
    <t>DENISE OLIVEIRA DA SILVA - ME</t>
  </si>
  <si>
    <t>18.327.827/0001-70</t>
  </si>
  <si>
    <t xml:space="preserve">Leste </t>
  </si>
  <si>
    <t xml:space="preserve">deniseoliveiracamargo@hotmail.com </t>
  </si>
  <si>
    <t>296/19</t>
  </si>
  <si>
    <t>CENTRO SOCIAL COMUNITÁRIO JARDIM PRIMAVERA</t>
  </si>
  <si>
    <t>47.424.296/0001-31</t>
  </si>
  <si>
    <t>centrosocialprimavera@gmail.com</t>
  </si>
  <si>
    <t>297/19</t>
  </si>
  <si>
    <t>CASA DE REPOUSO CRYSTAL LTDA</t>
  </si>
  <si>
    <t>20.431.372/0001-80</t>
  </si>
  <si>
    <t>anapaulamaciels@gmail.com</t>
  </si>
  <si>
    <t>298/19</t>
  </si>
  <si>
    <t>SOCIEDADE BENEFICIENTE SANTO EXPEDITO</t>
  </si>
  <si>
    <t>74.126.582/0001-93</t>
  </si>
  <si>
    <t>299/19</t>
  </si>
  <si>
    <t>DULCINEIA GOMES CASA DE REPOUSO</t>
  </si>
  <si>
    <t>26.174.620/0001-30</t>
  </si>
  <si>
    <t>restrelasbrilhantes@gmail.com</t>
  </si>
  <si>
    <t>300/19</t>
  </si>
  <si>
    <t>IRENE DE OLIN PERESTRELO</t>
  </si>
  <si>
    <t>17.747.110/0001-14</t>
  </si>
  <si>
    <t>301/19</t>
  </si>
  <si>
    <t>CLINICA DE LONGA PERMANENCIA LAR BELLA BENTO LTDA</t>
  </si>
  <si>
    <t>24.681.429/0001-50</t>
  </si>
  <si>
    <t>larbellabento@hotmail.com</t>
  </si>
  <si>
    <t>302/19</t>
  </si>
  <si>
    <t>CLINICA DE REPOUSO HORTO FLORESTAL LTDA</t>
  </si>
  <si>
    <t>43.299.759/0001-20</t>
  </si>
  <si>
    <t>303/19</t>
  </si>
  <si>
    <t>CASA DE REPOUSO E HOSPEDAGEM D'ANGELO E LEPISCOPO LTDA</t>
  </si>
  <si>
    <t>15.780.112/0001-80</t>
  </si>
  <si>
    <t>304/19</t>
  </si>
  <si>
    <t xml:space="preserve">INSTITUTO BEM MAIOR </t>
  </si>
  <si>
    <t>11.566.483/0001-02</t>
  </si>
  <si>
    <t>ibm@institutobemmaior.org.br</t>
  </si>
  <si>
    <t>305/19</t>
  </si>
  <si>
    <t>APOIO CASA DE REPOUSO EIRELI</t>
  </si>
  <si>
    <t>56.994.627/0001-60</t>
  </si>
  <si>
    <t>gestao@apoiocr.com.br</t>
  </si>
  <si>
    <t>306/19</t>
  </si>
  <si>
    <t>RESIDENCIAL MAIS VIDA LTDA</t>
  </si>
  <si>
    <t>24.565.722/0001-51</t>
  </si>
  <si>
    <t>contato@residencialmaisvida.com.br</t>
  </si>
  <si>
    <t>307/19</t>
  </si>
  <si>
    <t>CASA DE REPOUSO ROSERAL LTDA</t>
  </si>
  <si>
    <t>08.023.284/0001-43</t>
  </si>
  <si>
    <t>roseralrepouso@gmail.com</t>
  </si>
  <si>
    <t>308/19</t>
  </si>
  <si>
    <t>CASA DE REPOUSO RECANTO PRIMAVERAS LTDA - ME</t>
  </si>
  <si>
    <t>08.890.454/0001-97</t>
  </si>
  <si>
    <t>pris-fa@hotmail.com</t>
  </si>
  <si>
    <t>309/19</t>
  </si>
  <si>
    <t>CASA DE REPOUSO  E HOSPEDAGEM IDEAL LTDA</t>
  </si>
  <si>
    <t>22.298.402/0001-57</t>
  </si>
  <si>
    <t>contato@casaderepousonocarrao.com.br</t>
  </si>
  <si>
    <t>310/19</t>
  </si>
  <si>
    <t>ASSOCIAÇÃO BENEFICENTE CAMINHO DE LUZ - ABECAL</t>
  </si>
  <si>
    <t>05.000.703/0001-33</t>
  </si>
  <si>
    <t>abecal@abecal.org.br</t>
  </si>
  <si>
    <t>311/19</t>
  </si>
  <si>
    <t>RESIDENCIAL GERIÁTRICO PREMIUM LTDA</t>
  </si>
  <si>
    <t>28.763.448/0001-86</t>
  </si>
  <si>
    <t>residencialpremiumsenior@gmail.com</t>
  </si>
  <si>
    <t>312/19</t>
  </si>
  <si>
    <t>RONY ANDERSON DOS SANTOS</t>
  </si>
  <si>
    <t>21.724.774/0001-35</t>
  </si>
  <si>
    <t>ronyanderson35@gmail.com</t>
  </si>
  <si>
    <t>313/19</t>
  </si>
  <si>
    <t>CASA DE REPOUSO RESIDENCIL VILA ZELINA EIRELI - ME</t>
  </si>
  <si>
    <t>28.284.449/0001-25</t>
  </si>
  <si>
    <t>residencialzelina@hotmail.com</t>
  </si>
  <si>
    <t>314.1/19</t>
  </si>
  <si>
    <t>JOSEFA SIONE DA SILVA PEREIRA - CASA DE REPOUSO</t>
  </si>
  <si>
    <t>17.831.169/0001-96</t>
  </si>
  <si>
    <t>paraisodospais@uol.com.br</t>
  </si>
  <si>
    <t>314.2/19</t>
  </si>
  <si>
    <t>17.831.169/0002-77</t>
  </si>
  <si>
    <t>315/19</t>
  </si>
  <si>
    <t>INSTITUTO ANIMA SOCIESC DE INOVAÇÃO, PESQUISA E CULTURA</t>
  </si>
  <si>
    <t>07.749.605/0001-29</t>
  </si>
  <si>
    <t>www.nossoinstitutoanima.com.br</t>
  </si>
  <si>
    <t>316/19</t>
  </si>
  <si>
    <t>SOUZA &amp; ALENCAR CASA DE REPOUSO LTDA</t>
  </si>
  <si>
    <t>08.854.918/0001-37</t>
  </si>
  <si>
    <t>abelinosouza@yahoo.com</t>
  </si>
  <si>
    <t>317/19</t>
  </si>
  <si>
    <t xml:space="preserve">SEM EFEITO </t>
  </si>
  <si>
    <t>renatopcampos@gmail.com</t>
  </si>
  <si>
    <t>318/19</t>
  </si>
  <si>
    <t>RESIDENCIAL GERIÁTRICO PAULISTA LTDA - ME</t>
  </si>
  <si>
    <t>09.458.014/0001-28</t>
  </si>
  <si>
    <t>gerencia@geriatrico.com.br</t>
  </si>
  <si>
    <t>319/19</t>
  </si>
  <si>
    <t xml:space="preserve">ASSOCIAÇÃO DE DIABETES JUVENIL </t>
  </si>
  <si>
    <t>43.576.809/0001-02</t>
  </si>
  <si>
    <t>320.1/19</t>
  </si>
  <si>
    <t xml:space="preserve">SAMARITANO SÃO FRANCISCO DE ASSIS </t>
  </si>
  <si>
    <t>002.627.820/0005-67</t>
  </si>
  <si>
    <t>320.2/19</t>
  </si>
  <si>
    <t>02.627.820/0007-29</t>
  </si>
  <si>
    <t>sfassis@terra.com.br</t>
  </si>
  <si>
    <t>321/19</t>
  </si>
  <si>
    <t>RESIDENCIAL SÃO LUIS CASA DE REPOUSO PARA IDOSOS LTDA</t>
  </si>
  <si>
    <t>31.597.002/0001-04</t>
  </si>
  <si>
    <t>322/19</t>
  </si>
  <si>
    <t>323/19</t>
  </si>
  <si>
    <t xml:space="preserve">VIVER BEM - RESIDENCIAL PARA IDOSOS S/S LTDA </t>
  </si>
  <si>
    <t>08.829.344/0001-10</t>
  </si>
  <si>
    <t>324/19</t>
  </si>
  <si>
    <t>VIVA BEM PENSIONATO PARA TERCEIRA IDADE LTDA</t>
  </si>
  <si>
    <t>10.861.617/0001-55</t>
  </si>
  <si>
    <t>325/19</t>
  </si>
  <si>
    <t xml:space="preserve">NEW CARE RESIDENCIAL PARA IDOSOS LTDA </t>
  </si>
  <si>
    <t>16.701.566/0001-80</t>
  </si>
  <si>
    <t>326/19</t>
  </si>
  <si>
    <t>CASA DE REPOUSO R T I LTDA</t>
  </si>
  <si>
    <t>11.879.815/0001-09</t>
  </si>
  <si>
    <t>327/19</t>
  </si>
  <si>
    <t xml:space="preserve">PENSIONATO LAÇOS ETERNOS LTDA </t>
  </si>
  <si>
    <t>10.685.609/0001-03</t>
  </si>
  <si>
    <t>328/19</t>
  </si>
  <si>
    <t>INSTITUTO VIVER A VIDA - IVV</t>
  </si>
  <si>
    <t>13.164.669/0001-60</t>
  </si>
  <si>
    <t xml:space="preserve">institutoviveravida@yahoo.com.br </t>
  </si>
  <si>
    <t>329/19</t>
  </si>
  <si>
    <t xml:space="preserve">BERNARDETE CARVALHO </t>
  </si>
  <si>
    <t>25.297.518/0001-60</t>
  </si>
  <si>
    <t>330/19</t>
  </si>
  <si>
    <t>RESIDENICAL RAIO DE LUZ ASSISTÊNCIA AO IDOSO EIRELI - ME</t>
  </si>
  <si>
    <t>21.181.223/0001-72</t>
  </si>
  <si>
    <t>rayoflight@outlook.com.br</t>
  </si>
  <si>
    <t>331/19</t>
  </si>
  <si>
    <t xml:space="preserve">CENTRO ESPÍRITA JESUS REDIVIVO </t>
  </si>
  <si>
    <t>51.205.094/0002-57</t>
  </si>
  <si>
    <t>332/19</t>
  </si>
  <si>
    <t xml:space="preserve">RESIDENCIAL COLIBRI CASA DE REPOUSO LTDA </t>
  </si>
  <si>
    <t>27.151.078/0001-63</t>
  </si>
  <si>
    <t>mari_medeiros@yahoo.com.br</t>
  </si>
  <si>
    <t>333.1/19</t>
  </si>
  <si>
    <t xml:space="preserve">FILOMENA MARIA RIBEIRO SAVIANO EIRELI </t>
  </si>
  <si>
    <t>21.182.755/0001-24</t>
  </si>
  <si>
    <t>contato@casaderepousofilo.com.br</t>
  </si>
  <si>
    <t>333.2/19</t>
  </si>
  <si>
    <t>334/19</t>
  </si>
  <si>
    <t>TRICOTANDO CASA CENTRO DE CONVIVÊNCIA DE LONGA E CURTA PERMANÊNCIA PARA IDOSOS EIRELI</t>
  </si>
  <si>
    <t>21.967.726/0001-78</t>
  </si>
  <si>
    <t>contato@tricotandocasa.com.br</t>
  </si>
  <si>
    <t>335/19</t>
  </si>
  <si>
    <t xml:space="preserve">CASA DE REPOUSO SIRIUS EIRELI </t>
  </si>
  <si>
    <t>25.063.978/0001-23</t>
  </si>
  <si>
    <t>336/19</t>
  </si>
  <si>
    <t>MARIA FERNANDES FIGUEIREDO NETA</t>
  </si>
  <si>
    <t>19.035.365/0001-80</t>
  </si>
  <si>
    <t>fernadesidoso@gmail.com</t>
  </si>
  <si>
    <t>337/19</t>
  </si>
  <si>
    <t xml:space="preserve">CASA DE REPOUSO RECANTO DO ACONCHEGO LTDA </t>
  </si>
  <si>
    <t>08.719.856/001-23</t>
  </si>
  <si>
    <t>recantodoaconchego@yahoo.com.br</t>
  </si>
  <si>
    <t>338/19</t>
  </si>
  <si>
    <t xml:space="preserve">CASA DE REPOUSO JS VITORIA LTDA - ME </t>
  </si>
  <si>
    <t>12.291.036/0001-50</t>
  </si>
  <si>
    <t>339/19</t>
  </si>
  <si>
    <t>CASA DE REPOUSO SILKAVA LTDA- ME</t>
  </si>
  <si>
    <t>07.740.761/0001-29</t>
  </si>
  <si>
    <t>340/19</t>
  </si>
  <si>
    <t>SELMA PERES LONGA PERMANENCIA DE IDOSOS</t>
  </si>
  <si>
    <t>13.054.508/0001-14</t>
  </si>
  <si>
    <t>341/19</t>
  </si>
  <si>
    <t xml:space="preserve">CASA DE REPOUSO GERIATRICOS RESIDENCIAL LARES LTDA </t>
  </si>
  <si>
    <t>30.842.133/0001-76</t>
  </si>
  <si>
    <t>susi.vitorino@yahoo.com.br</t>
  </si>
  <si>
    <t>342/19</t>
  </si>
  <si>
    <t xml:space="preserve">RESIDENCIAL VILLA MANÁ - EIRELI </t>
  </si>
  <si>
    <t>19.450.695/0001-31</t>
  </si>
  <si>
    <t>villamana@outlook.com</t>
  </si>
  <si>
    <t>343/19</t>
  </si>
  <si>
    <t>344/19</t>
  </si>
  <si>
    <t>TOP SENIOR RESIDENCIAL PARA IDOSOS EIRELI</t>
  </si>
  <si>
    <t>29.622.507/0001-69</t>
  </si>
  <si>
    <t>contato@residencialtopsenior.com.br</t>
  </si>
  <si>
    <t>345/19</t>
  </si>
  <si>
    <t>RESIDENCIAL REAL LTDA</t>
  </si>
  <si>
    <t>25.287.831/0001-17</t>
  </si>
  <si>
    <t>maria.silva1904@gmail.com</t>
  </si>
  <si>
    <t>346/19</t>
  </si>
  <si>
    <t>OLHAR HOLÍSTICO CASA DE REPOUSO LTDA</t>
  </si>
  <si>
    <t>30.098.138/0001-36</t>
  </si>
  <si>
    <t>347/19</t>
  </si>
  <si>
    <t>CASA DE REPOUSO AMOR AO IDOSO LTDA</t>
  </si>
  <si>
    <t>28.840.120/0001-16</t>
  </si>
  <si>
    <t>residencial.amoraoidoso@gmail.com</t>
  </si>
  <si>
    <t>348/19</t>
  </si>
  <si>
    <t>CASA DE REPOUSO E HOSPEDAGEM MONT'ALVÃO E D'ANGELO LTDA</t>
  </si>
  <si>
    <t>23.697.513/0001-07</t>
  </si>
  <si>
    <t>349/19</t>
  </si>
  <si>
    <t>4EVER CASA DE REPOUSO LTDA</t>
  </si>
  <si>
    <t>30.128.264/0001-96</t>
  </si>
  <si>
    <t>ilpi4ever@yahoo.com</t>
  </si>
  <si>
    <t>350/19</t>
  </si>
  <si>
    <t xml:space="preserve">CASA DE REPOUSO JARDIM FRANÇA </t>
  </si>
  <si>
    <t>25.061.750/000-02</t>
  </si>
  <si>
    <t xml:space="preserve">casaderepousojardimfranca@gmail.com </t>
  </si>
  <si>
    <t>351/19</t>
  </si>
  <si>
    <t xml:space="preserve">PRO-VIDA CASA DE REPOUSO LTDA-ME </t>
  </si>
  <si>
    <t>27.504.495/0001-42</t>
  </si>
  <si>
    <t>neto.gattolin@gmail.com</t>
  </si>
  <si>
    <t>352/19</t>
  </si>
  <si>
    <t>CASA DE REPOUSO STYLLO LTDA</t>
  </si>
  <si>
    <t>59.094.813/0001-30</t>
  </si>
  <si>
    <t>casastyllo@uol.com.br</t>
  </si>
  <si>
    <t>353/19</t>
  </si>
  <si>
    <t xml:space="preserve">KAMILA OLIVEIRA DE CARVALHO </t>
  </si>
  <si>
    <t>27.157.241/0001-03</t>
  </si>
  <si>
    <t>cr.aparecida@hotmail.com</t>
  </si>
  <si>
    <t>354/19</t>
  </si>
  <si>
    <t>CASA DE REPOUSO LAR IDA TEIXEIRA DA CRUZ LTDA</t>
  </si>
  <si>
    <t>22.077.957/0001-79</t>
  </si>
  <si>
    <t>casaderepousoidacruz@gmail.com</t>
  </si>
  <si>
    <t>355/19</t>
  </si>
  <si>
    <t xml:space="preserve">CASA DE REPOUSO JARAGUÁ LTDA - ME </t>
  </si>
  <si>
    <t>19.076.952/0001-17</t>
  </si>
  <si>
    <t>356/19</t>
  </si>
  <si>
    <t>CASA DE REPOUSO NOSSA SENHORA CONCEIÇÃO APARECIDA LTDA</t>
  </si>
  <si>
    <t>06.040.913/0001-18</t>
  </si>
  <si>
    <t>357/20</t>
  </si>
  <si>
    <t>CASA DE REPOUSO BORBA GATO LTDA</t>
  </si>
  <si>
    <t>61.580.932/0001-45</t>
  </si>
  <si>
    <t>358/20</t>
  </si>
  <si>
    <t>IPA BRASIL - ASSOCIAÇÃO BRASILEIRA PELO DIREITO DO BRINCAR E À CULTURA</t>
  </si>
  <si>
    <t>01.963.173/0001-78</t>
  </si>
  <si>
    <t>contato@ipabrasil.org</t>
  </si>
  <si>
    <t>359/20</t>
  </si>
  <si>
    <t>BIOMÉDICA APOIO À SAÚDE LTDA</t>
  </si>
  <si>
    <t>06.913.412/0001-90</t>
  </si>
  <si>
    <t>gloria@residencialroyale.com.br</t>
  </si>
  <si>
    <t>360/20</t>
  </si>
  <si>
    <t>NOSSO CANTINHO RESIDÊNCIA PARA IDOSOS LTDA</t>
  </si>
  <si>
    <t>23.956.143/0001-77</t>
  </si>
  <si>
    <t>nossocantinho.nossocantinho@gmail.com</t>
  </si>
  <si>
    <t>361/20</t>
  </si>
  <si>
    <t>EDEM CENTRO DE CONVIVÊNCIA E CENTRO DIA PARA IDOSOS LTDA</t>
  </si>
  <si>
    <t>362/20</t>
  </si>
  <si>
    <t>VILLA DEI FIORI BONFIGLIOLI - CENTRO DE CONVIVÊNVIA PARA A TERCEIRA IDADE LTDA</t>
  </si>
  <si>
    <t>363/20</t>
  </si>
  <si>
    <t>CASA ROSADA CASA DE REPOUSO LTDA - EPP</t>
  </si>
  <si>
    <t>62.975.172/0001-38</t>
  </si>
  <si>
    <t>364/20</t>
  </si>
  <si>
    <t>LAR PARA IDOSOS MORADA DOS PÁSSAROS LTDA</t>
  </si>
  <si>
    <t>24.701.624/0001-02</t>
  </si>
  <si>
    <t>365/20</t>
  </si>
  <si>
    <t>FÁTIMA MAGALI DE FREITAS DOS SANTOS</t>
  </si>
  <si>
    <t>24.685.436/0001-20</t>
  </si>
  <si>
    <t>366/20</t>
  </si>
  <si>
    <t>RESIDENCIAL PARA IDOSOS LTDA</t>
  </si>
  <si>
    <t>09.039.390/0001-88</t>
  </si>
  <si>
    <t>367/20</t>
  </si>
  <si>
    <t>PENSIONATO PEDRA BRANCA LTDA</t>
  </si>
  <si>
    <t>08.428.072/0001-46</t>
  </si>
  <si>
    <t>casaderepousocidinha@gmail.com</t>
  </si>
  <si>
    <t>368.1/20</t>
  </si>
  <si>
    <t>CENTRO DE REPOUSO VILA MARIANA</t>
  </si>
  <si>
    <t>56.815.236/0001-30</t>
  </si>
  <si>
    <t>368.2/20</t>
  </si>
  <si>
    <t xml:space="preserve">CENTRO DE REPOUSO VILA MARIANA </t>
  </si>
  <si>
    <t>369.1/20</t>
  </si>
  <si>
    <t>ASSOCIAÇÃO BENEFICENTE SÍRIA</t>
  </si>
  <si>
    <t>60.453.024/0001-28</t>
  </si>
  <si>
    <t>369.2/20</t>
  </si>
  <si>
    <t>370/20</t>
  </si>
  <si>
    <t>IGREJA BATISTA REVIVER</t>
  </si>
  <si>
    <t>31.512.186/0001-91</t>
  </si>
  <si>
    <t>ireviver3projetos@gmail.com</t>
  </si>
  <si>
    <t>371/20</t>
  </si>
  <si>
    <t>ASSOCIAÇÃO DA UNIÃO DAS MULHERES DALVA PAIXÃO</t>
  </si>
  <si>
    <t>67.131.698/0001-55</t>
  </si>
  <si>
    <t>adumdalvapaixao@yahoo.com.br</t>
  </si>
  <si>
    <t>372/20</t>
  </si>
  <si>
    <t>DANILO DE PAIVA RIBEIRO</t>
  </si>
  <si>
    <t>29.252.280/0001-07</t>
  </si>
  <si>
    <t>REGISTRO</t>
  </si>
  <si>
    <t>VIGÊNCIA</t>
  </si>
  <si>
    <t>NOME INSTITUCIONAL</t>
  </si>
  <si>
    <t>PROGRAMA</t>
  </si>
  <si>
    <t>NOME FANTASIA</t>
  </si>
  <si>
    <t>SUBPREFEITURA</t>
  </si>
  <si>
    <t>REGIÃO</t>
  </si>
  <si>
    <t>E-MAIL</t>
  </si>
  <si>
    <t>TELEFONE</t>
  </si>
  <si>
    <t>MODALIDADE</t>
  </si>
  <si>
    <t>Total de Programas Registrados</t>
  </si>
  <si>
    <t>Rótulos de Linha</t>
  </si>
  <si>
    <t>(vazio)</t>
  </si>
  <si>
    <t>Total geral</t>
  </si>
  <si>
    <t>Programa</t>
  </si>
  <si>
    <t>Qtde</t>
  </si>
  <si>
    <t>Contar de REGISTRO</t>
  </si>
  <si>
    <t>OSC</t>
  </si>
  <si>
    <t>DATA</t>
  </si>
  <si>
    <t>CONVÊNIO</t>
  </si>
  <si>
    <t>010/13</t>
  </si>
  <si>
    <t>011/14</t>
  </si>
  <si>
    <t>013/14</t>
  </si>
  <si>
    <t>014/14</t>
  </si>
  <si>
    <t>016/14</t>
  </si>
  <si>
    <t>017/14</t>
  </si>
  <si>
    <t>018/14</t>
  </si>
  <si>
    <t>019/14</t>
  </si>
  <si>
    <t>020.1/14</t>
  </si>
  <si>
    <t>020.2/14</t>
  </si>
  <si>
    <t>020.3/14</t>
  </si>
  <si>
    <t>020.4/14</t>
  </si>
  <si>
    <t>021/14</t>
  </si>
  <si>
    <t>022/14</t>
  </si>
  <si>
    <t>023/14</t>
  </si>
  <si>
    <t>024/15</t>
  </si>
  <si>
    <t>025/15</t>
  </si>
  <si>
    <t>026/15</t>
  </si>
  <si>
    <t>027/15</t>
  </si>
  <si>
    <t>028/15</t>
  </si>
  <si>
    <t>029/15</t>
  </si>
  <si>
    <t>030/15</t>
  </si>
  <si>
    <t>031/15</t>
  </si>
  <si>
    <t>032/15</t>
  </si>
  <si>
    <t>033/15</t>
  </si>
  <si>
    <t>035/15</t>
  </si>
  <si>
    <t>036/15</t>
  </si>
  <si>
    <t>037/15</t>
  </si>
  <si>
    <t>038/15</t>
  </si>
  <si>
    <t>039/15</t>
  </si>
  <si>
    <t>041/15</t>
  </si>
  <si>
    <t>043/15</t>
  </si>
  <si>
    <t>044/15</t>
  </si>
  <si>
    <t>046/15</t>
  </si>
  <si>
    <t>047/15</t>
  </si>
  <si>
    <t>048/15</t>
  </si>
  <si>
    <t>049/15</t>
  </si>
  <si>
    <t>050/15</t>
  </si>
  <si>
    <t>051/15</t>
  </si>
  <si>
    <t>052/15</t>
  </si>
  <si>
    <t>053/15</t>
  </si>
  <si>
    <t>054/15</t>
  </si>
  <si>
    <t>055/15</t>
  </si>
  <si>
    <t>056/15</t>
  </si>
  <si>
    <t>057/15</t>
  </si>
  <si>
    <t>058/15</t>
  </si>
  <si>
    <t>059/15</t>
  </si>
  <si>
    <t>060/15</t>
  </si>
  <si>
    <t>061/15</t>
  </si>
  <si>
    <t>062/15</t>
  </si>
  <si>
    <t>063/15</t>
  </si>
  <si>
    <t>064/15</t>
  </si>
  <si>
    <t>065/15</t>
  </si>
  <si>
    <t>066/15</t>
  </si>
  <si>
    <t>067/15</t>
  </si>
  <si>
    <t>068/15</t>
  </si>
  <si>
    <t>069/15</t>
  </si>
  <si>
    <t>070/15</t>
  </si>
  <si>
    <t>071/15</t>
  </si>
  <si>
    <t>072/15</t>
  </si>
  <si>
    <t>073/15</t>
  </si>
  <si>
    <t>074/16</t>
  </si>
  <si>
    <t>075/16</t>
  </si>
  <si>
    <t>076/16</t>
  </si>
  <si>
    <t>078/16</t>
  </si>
  <si>
    <t>079/16</t>
  </si>
  <si>
    <t>080/16</t>
  </si>
  <si>
    <t>081/16</t>
  </si>
  <si>
    <t>082/16</t>
  </si>
  <si>
    <t>084/16</t>
  </si>
  <si>
    <t>085/16</t>
  </si>
  <si>
    <t>086/16</t>
  </si>
  <si>
    <t>087/16</t>
  </si>
  <si>
    <t>088/16</t>
  </si>
  <si>
    <t>089/16</t>
  </si>
  <si>
    <t>090/16</t>
  </si>
  <si>
    <t>091/16</t>
  </si>
  <si>
    <t>092/16</t>
  </si>
  <si>
    <t>095/16</t>
  </si>
  <si>
    <t>096/16</t>
  </si>
  <si>
    <t>097/16</t>
  </si>
  <si>
    <t>098/16</t>
  </si>
  <si>
    <t>099/16</t>
  </si>
  <si>
    <t>100/16</t>
  </si>
  <si>
    <t>101/16</t>
  </si>
  <si>
    <t>102/16</t>
  </si>
  <si>
    <t>103/16</t>
  </si>
  <si>
    <t>104.2/16</t>
  </si>
  <si>
    <t>104.1/16</t>
  </si>
  <si>
    <t>105/16</t>
  </si>
  <si>
    <t>106.1/16</t>
  </si>
  <si>
    <t>106.2/16</t>
  </si>
  <si>
    <t>107/16</t>
  </si>
  <si>
    <t>108/16</t>
  </si>
  <si>
    <t>110/16</t>
  </si>
  <si>
    <t>111/16</t>
  </si>
  <si>
    <t>112/16</t>
  </si>
  <si>
    <t>113/17</t>
  </si>
  <si>
    <t>114/17</t>
  </si>
  <si>
    <t>115/17</t>
  </si>
  <si>
    <t>116/17</t>
  </si>
  <si>
    <t>117/17</t>
  </si>
  <si>
    <t>119/17</t>
  </si>
  <si>
    <t>120/17</t>
  </si>
  <si>
    <t>122/17</t>
  </si>
  <si>
    <t>123/17</t>
  </si>
  <si>
    <t>124/17</t>
  </si>
  <si>
    <t>125/17</t>
  </si>
  <si>
    <t>126/17</t>
  </si>
  <si>
    <t>128/17</t>
  </si>
  <si>
    <t>129/17</t>
  </si>
  <si>
    <t>130/17</t>
  </si>
  <si>
    <t>131/17</t>
  </si>
  <si>
    <t>132/17</t>
  </si>
  <si>
    <t>133/17</t>
  </si>
  <si>
    <t>134/17</t>
  </si>
  <si>
    <t>135/17</t>
  </si>
  <si>
    <t>136/17</t>
  </si>
  <si>
    <t>138/17</t>
  </si>
  <si>
    <t>139/17</t>
  </si>
  <si>
    <t>140/17</t>
  </si>
  <si>
    <t>141/17</t>
  </si>
  <si>
    <t>142/17</t>
  </si>
  <si>
    <t>144/17</t>
  </si>
  <si>
    <t>145/17</t>
  </si>
  <si>
    <t>146/17</t>
  </si>
  <si>
    <t>147/17</t>
  </si>
  <si>
    <t>148/17</t>
  </si>
  <si>
    <t>149/17</t>
  </si>
  <si>
    <t>150/17</t>
  </si>
  <si>
    <t>151/17</t>
  </si>
  <si>
    <t>152/17</t>
  </si>
  <si>
    <t>153/17</t>
  </si>
  <si>
    <t>155/17</t>
  </si>
  <si>
    <t>156/17</t>
  </si>
  <si>
    <t>156.2/17</t>
  </si>
  <si>
    <t>157/17</t>
  </si>
  <si>
    <t>158/17</t>
  </si>
  <si>
    <t>159/17</t>
  </si>
  <si>
    <t>160/17</t>
  </si>
  <si>
    <t>161/17</t>
  </si>
  <si>
    <t>164/17</t>
  </si>
  <si>
    <t>165/17</t>
  </si>
  <si>
    <t>166/17</t>
  </si>
  <si>
    <t>167/17</t>
  </si>
  <si>
    <t>168/17</t>
  </si>
  <si>
    <t>169/17</t>
  </si>
  <si>
    <t>171/17</t>
  </si>
  <si>
    <t>173/17</t>
  </si>
  <si>
    <t>174/17</t>
  </si>
  <si>
    <t>175/17</t>
  </si>
  <si>
    <t>176/17</t>
  </si>
  <si>
    <t>177/17</t>
  </si>
  <si>
    <t>178/17</t>
  </si>
  <si>
    <t>179/17</t>
  </si>
  <si>
    <t>181/17</t>
  </si>
  <si>
    <t>182/17</t>
  </si>
  <si>
    <t>183/17</t>
  </si>
  <si>
    <t>184/17</t>
  </si>
  <si>
    <t>185/17</t>
  </si>
  <si>
    <t>186/17</t>
  </si>
  <si>
    <t>187/17</t>
  </si>
  <si>
    <t>188/17</t>
  </si>
  <si>
    <t>189/17</t>
  </si>
  <si>
    <t>190/17</t>
  </si>
  <si>
    <t>191/17</t>
  </si>
  <si>
    <t>192/17</t>
  </si>
  <si>
    <t xml:space="preserve">194/17 </t>
  </si>
  <si>
    <t>195/17</t>
  </si>
  <si>
    <t>197/17</t>
  </si>
  <si>
    <t>199/17</t>
  </si>
  <si>
    <t>201/17</t>
  </si>
  <si>
    <t>202/17</t>
  </si>
  <si>
    <t>203/17</t>
  </si>
  <si>
    <t>205/18</t>
  </si>
  <si>
    <t>373/20</t>
  </si>
  <si>
    <t>CASA DE REPOUSO RECANTO FLORES DA VIDA LTDA</t>
  </si>
  <si>
    <t>29.956.759/0001-24</t>
  </si>
  <si>
    <t>Não</t>
  </si>
  <si>
    <t>2251-6315</t>
  </si>
  <si>
    <t>e.amorim.ribeiro@bol.com.br</t>
  </si>
  <si>
    <t>374/20</t>
  </si>
  <si>
    <t>CASA DE REPOUSO AMPARO LTDA</t>
  </si>
  <si>
    <t>30.726.875/0001-36</t>
  </si>
  <si>
    <t>2501-0064</t>
  </si>
  <si>
    <t>adm@casaderepousoamparo.com.br</t>
  </si>
  <si>
    <t>375/20</t>
  </si>
  <si>
    <t>CASA DE REPOUSO JACWILL LTDA</t>
  </si>
  <si>
    <t>15.487.494/0001-58</t>
  </si>
  <si>
    <t xml:space="preserve">MOCA - MOVIMENTO DE ORIENTAÇÃO À CRIANÇA E AO ADOLESCENTE </t>
  </si>
  <si>
    <t>73.386.070/0001-01</t>
  </si>
  <si>
    <t>moca.sede@uol.com.br</t>
  </si>
  <si>
    <t>376.1/20</t>
  </si>
  <si>
    <t>376.2/20</t>
  </si>
  <si>
    <t>377/20</t>
  </si>
  <si>
    <t>29.170.155/0001-58</t>
  </si>
  <si>
    <t>Cidade Tiradentes</t>
  </si>
  <si>
    <t>378/20</t>
  </si>
  <si>
    <t>CASA DE REPOUSO PARA IDOSOS SAÚDE EM AÇÃO</t>
  </si>
  <si>
    <t>21.083.525/0001-08</t>
  </si>
  <si>
    <t>379/20</t>
  </si>
  <si>
    <t>SERTHA CLÍNICA RESIDENCIAL PARA IDOSOS LTDA</t>
  </si>
  <si>
    <t>CRGC - CENTRO DE RECREAÇÃO E DESENVOLVIMENTO DA CRIANÇA ESPECIAL</t>
  </si>
  <si>
    <t>08.926.150/0004-85</t>
  </si>
  <si>
    <t>Rua Saturnino Pereira, nº 387- Vila Santa Cruz / CEP: 08411-000</t>
  </si>
  <si>
    <t>2074-6085</t>
  </si>
  <si>
    <t>gama_edi@yahoo.com.br</t>
  </si>
  <si>
    <t>07.396.491/0001-80</t>
  </si>
  <si>
    <t>382/20</t>
  </si>
  <si>
    <t>CASA DE REPOUSO NOVA CANTAREIRA LTDA</t>
  </si>
  <si>
    <t>22.922.484/0001-69</t>
  </si>
  <si>
    <t>383/20</t>
  </si>
  <si>
    <t>CASA DE REPOUSO SANTA CLARA LTDA</t>
  </si>
  <si>
    <t>54.871.124/0001-71</t>
  </si>
  <si>
    <t>crsantaclara@uol.com.br</t>
  </si>
  <si>
    <t>384/20</t>
  </si>
  <si>
    <t>RESIDENCIAL NOSSO LAR LTDA</t>
  </si>
  <si>
    <t>10.416.562/0001-74</t>
  </si>
  <si>
    <t>residencialnossolar@uol.com.br</t>
  </si>
  <si>
    <t>385/20</t>
  </si>
  <si>
    <t>AILDA ARAUJO MELO</t>
  </si>
  <si>
    <t>NEW ÁGAPE</t>
  </si>
  <si>
    <t>26.033.177/0001-88</t>
  </si>
  <si>
    <t>aildamelo@gmail.com</t>
  </si>
  <si>
    <t>380.1/20</t>
  </si>
  <si>
    <t>380.2/20</t>
  </si>
  <si>
    <t>386/20</t>
  </si>
  <si>
    <t>RESIDENCIAL NOVO TEMPO LTDA</t>
  </si>
  <si>
    <t>RESIDENCIAL NOVO TEMPO</t>
  </si>
  <si>
    <t>27.492.944/0001-80</t>
  </si>
  <si>
    <t>387/20</t>
  </si>
  <si>
    <t xml:space="preserve">RENATO PEREIRA CAMPOS CLÍNICA DE REPOUSO </t>
  </si>
  <si>
    <t>15.811.269/0001-25</t>
  </si>
  <si>
    <t>388/20</t>
  </si>
  <si>
    <t>21.730.878/0001-52</t>
  </si>
  <si>
    <t>389/20</t>
  </si>
  <si>
    <t xml:space="preserve">INSTITUTO DE EDUCAÇÃO E TECNOLOGIA VALE DO RIBEIRA </t>
  </si>
  <si>
    <t>07.939.922/0001-52</t>
  </si>
  <si>
    <t>FOCO FINANÇAS - FERRAMENTAS DE ORIENTAÇÃO E CONSULTORIA EM FINANÇAS</t>
  </si>
  <si>
    <t>2294-7686</t>
  </si>
  <si>
    <t>invar@invar.org.br</t>
  </si>
  <si>
    <t>FUNDAÇÃO JULITA</t>
  </si>
  <si>
    <t>62.805.759/0001-07</t>
  </si>
  <si>
    <t>5853-2050</t>
  </si>
  <si>
    <t>administração@fundaçãojulita.org.br</t>
  </si>
  <si>
    <t>391/20</t>
  </si>
  <si>
    <t>07.676.917/0001-50</t>
  </si>
  <si>
    <t>institutonua@hotmail.com</t>
  </si>
  <si>
    <t>392/20</t>
  </si>
  <si>
    <t>CASA DE REPOUSO MORADA DOS LÍRIOS -  EIRELI</t>
  </si>
  <si>
    <t>13.479.400/0001-73</t>
  </si>
  <si>
    <t>Rua Brigadeiro Gavião Peixoto, nº 220 - Lapa / CEP: 05078-000</t>
  </si>
  <si>
    <t>3641-1511</t>
  </si>
  <si>
    <t>moradadoslirios@gmail.com</t>
  </si>
  <si>
    <t>393/20</t>
  </si>
  <si>
    <t>CASA DE REPOUSO VILLA SÊNIOR LTDA</t>
  </si>
  <si>
    <t>31.679.428/0001-36</t>
  </si>
  <si>
    <t>2996-5872</t>
  </si>
  <si>
    <t>crvillasenior@gmail.com</t>
  </si>
  <si>
    <t>034.1/15</t>
  </si>
  <si>
    <t>034.2/15</t>
  </si>
  <si>
    <t>CAPACIDADE</t>
  </si>
  <si>
    <t>ATENDIDOS</t>
  </si>
  <si>
    <t>3021-5971</t>
  </si>
  <si>
    <t>045.1/15</t>
  </si>
  <si>
    <t>045.2/15</t>
  </si>
  <si>
    <t>62.299.169/0001-42</t>
  </si>
  <si>
    <t>Rua Polignano Amare, nº 51, Brás, CEP: 03005-040</t>
  </si>
  <si>
    <t>3228-8114</t>
  </si>
  <si>
    <t>045.3/15</t>
  </si>
  <si>
    <t>Estrada do M'Boi Mirim, nº 10080 - Jardim ângela - CEP: 04932-060</t>
  </si>
  <si>
    <t>5873-7434</t>
  </si>
  <si>
    <t>045.4/15</t>
  </si>
  <si>
    <t>Av. Prof. Leitão da Cunha, nº 15, Pq. Regina - CEP: 05775-200</t>
  </si>
  <si>
    <t>5842-6327</t>
  </si>
  <si>
    <t>045.5/15</t>
  </si>
  <si>
    <t>VIVERE ASSISTÊNCIA AO IDOSO LTDA</t>
  </si>
  <si>
    <t>143.1/17</t>
  </si>
  <si>
    <t>143.2/17</t>
  </si>
  <si>
    <t>143.3/17</t>
  </si>
  <si>
    <t>Avenida das Garoupas, nº 208-B - Balneário São Francisco - CEP: 04473-100</t>
  </si>
  <si>
    <t>5560-2187</t>
  </si>
  <si>
    <t>143.4/17</t>
  </si>
  <si>
    <t>Avenida Batista Maciel, nº 105 - Vila Portela - CEP: 04455-110</t>
  </si>
  <si>
    <t>2985-4726</t>
  </si>
  <si>
    <t>163.1/17</t>
  </si>
  <si>
    <t>163.2/17</t>
  </si>
  <si>
    <t>163.3/17</t>
  </si>
  <si>
    <t>2966-4498</t>
  </si>
  <si>
    <t>giornifelice@uol.com.br</t>
  </si>
  <si>
    <t>204.3/17</t>
  </si>
  <si>
    <t>204.4/17</t>
  </si>
  <si>
    <t>60.597.044/0008-49</t>
  </si>
  <si>
    <t>60.597.044/0044-02</t>
  </si>
  <si>
    <t>3873-2911</t>
  </si>
  <si>
    <t>A VIDA É BELA SAÚDE - EIRELI</t>
  </si>
  <si>
    <t>244.1/18</t>
  </si>
  <si>
    <t>394/20</t>
  </si>
  <si>
    <t>395/20</t>
  </si>
  <si>
    <t>396/20</t>
  </si>
  <si>
    <t>397/20</t>
  </si>
  <si>
    <t>398/20</t>
  </si>
  <si>
    <t>399/20</t>
  </si>
  <si>
    <t>400/20</t>
  </si>
  <si>
    <t xml:space="preserve">CLÍNICA MÉDICA GERIÁTRICA MÁRIO MOSCA LTDA </t>
  </si>
  <si>
    <t>CGM</t>
  </si>
  <si>
    <t>09.256.289/0001-89</t>
  </si>
  <si>
    <t>5051-2372</t>
  </si>
  <si>
    <t>andremosca83@gmail.com</t>
  </si>
  <si>
    <t xml:space="preserve">CASA DE REPOUSO SAN RAFFAEL LTDA </t>
  </si>
  <si>
    <t>09.170.561/0001-03</t>
  </si>
  <si>
    <t>Pirituba/Jaraguá</t>
  </si>
  <si>
    <t>3903-5457</t>
  </si>
  <si>
    <t>Av. Miruna, nº 758 - Indianópolis / CEP: 04082-002</t>
  </si>
  <si>
    <t>Travessa Paulo Maria Vidal, nº 53 - Jaraguá / CEP:05181-035</t>
  </si>
  <si>
    <t xml:space="preserve">CLÍNICA DE REPOUSO BEM VIVER LTDA </t>
  </si>
  <si>
    <t>20.656.599/0001-23</t>
  </si>
  <si>
    <t>aleconsolo2015@gmail.com</t>
  </si>
  <si>
    <t>sanraffael@hotmail.com</t>
  </si>
  <si>
    <t xml:space="preserve">CASA DE REPOUSO E HOSPEDAGEM NOVA PETRÓPOLES LTDA </t>
  </si>
  <si>
    <t>06.967.347/0001-94</t>
  </si>
  <si>
    <t>Rua Paraupava, nº 335 - Pq da Mooca / CEP: 03171-060</t>
  </si>
  <si>
    <t>4111-7045 (inexistente)</t>
  </si>
  <si>
    <t>Não indicado</t>
  </si>
  <si>
    <t>CASA DE REPOUSO ALVORECER LTDA</t>
  </si>
  <si>
    <t>09.130.247/0001-05</t>
  </si>
  <si>
    <t>BELLA MOOCA RESIDENCIAL PARA IDOSOS EIRELI</t>
  </si>
  <si>
    <t>32.003.227/0001-87</t>
  </si>
  <si>
    <t>jcdellavalle@uol.com.br</t>
  </si>
  <si>
    <t>MA &amp; RE CASA DE REPOUSO EIRELI</t>
  </si>
  <si>
    <t>04.450.894/0001-72</t>
  </si>
  <si>
    <t>Rua Onze de Junho, nº 571 - Vl. Clementino / CEP: 04041-052</t>
  </si>
  <si>
    <t>5083-1213</t>
  </si>
  <si>
    <t>marecasaderepouso@uol.com.br</t>
  </si>
  <si>
    <t>401/21</t>
  </si>
  <si>
    <t>402/21</t>
  </si>
  <si>
    <t>403/21</t>
  </si>
  <si>
    <t>404/21</t>
  </si>
  <si>
    <t>405/21</t>
  </si>
  <si>
    <t>406/21</t>
  </si>
  <si>
    <t>407/21</t>
  </si>
  <si>
    <t>408/21</t>
  </si>
  <si>
    <t>409/21</t>
  </si>
  <si>
    <t>410/21</t>
  </si>
  <si>
    <t>57.811.309/0001-89</t>
  </si>
  <si>
    <t>clautorralles@hotmail.com</t>
  </si>
  <si>
    <t>RESIDENCIAL RECANTO INSTITUIÇÃO DE LONGA PERMANÊNCIA PARA IDOSOS EIRELI</t>
  </si>
  <si>
    <t>22.898.790/0001-07</t>
  </si>
  <si>
    <t>2857-9770</t>
  </si>
  <si>
    <t>residencialrecantodoaconchego@gmail.com</t>
  </si>
  <si>
    <t xml:space="preserve">CLEUSA MARIA DE MATOS </t>
  </si>
  <si>
    <t>23.821.340/0001-89</t>
  </si>
  <si>
    <t>Rua do Horto, nº 306 - Tremembé / CEP: 02377-000</t>
  </si>
  <si>
    <t>Jaçanã/Tremembé</t>
  </si>
  <si>
    <t>3213-0755</t>
  </si>
  <si>
    <t>cleusammatos@gmail.com</t>
  </si>
  <si>
    <t>04.468.626/0001-88</t>
  </si>
  <si>
    <t>adm@casaderepousopaineiras.com.br</t>
  </si>
  <si>
    <t>CASA DE REPOUSO OS SETE FILHOS DE MARIA LTDA</t>
  </si>
  <si>
    <t>32.766.462/0001-00</t>
  </si>
  <si>
    <t>josineide-maria2012@hotmail.com</t>
  </si>
  <si>
    <t>RESIDENCIAL CASA NOVA PARA IDOSOS S/S LTDA</t>
  </si>
  <si>
    <t>07.975.478/0001-86</t>
  </si>
  <si>
    <t>Rua Verbo Divino, nº 415 - Granja Julieta / CEP: 04719-001</t>
  </si>
  <si>
    <t>5182-1878 (inexistente)</t>
  </si>
  <si>
    <t>?</t>
  </si>
  <si>
    <t>eliclic@hotmail.com (indisponível)</t>
  </si>
  <si>
    <t>RESIDENCIAL GERIÁTRICO OLIVEIRAS LTDA</t>
  </si>
  <si>
    <t>31.714.797/0001-12</t>
  </si>
  <si>
    <t>contato@casaderepousooliveiras.com.br</t>
  </si>
  <si>
    <t>LAR APÓSTOLO SIMÃO PEDRO</t>
  </si>
  <si>
    <t>larsimaopedro@gmail.com</t>
  </si>
  <si>
    <t>17.906.914/0001-19</t>
  </si>
  <si>
    <t>admmoradadosavos@gmail.com</t>
  </si>
  <si>
    <t>JOSÉ AURÉLIO PEREIRA INSTITUTO DE LONGA PERMANÊNCIA</t>
  </si>
  <si>
    <t>99610-7573</t>
  </si>
  <si>
    <t>nenamahipereira@gmail.com</t>
  </si>
  <si>
    <t>30.018.016/0001-92</t>
  </si>
  <si>
    <t>Rua Xiró, nº 73 - Jd. das laranjeiras / CEP: 02517-030</t>
  </si>
  <si>
    <t>ASSOCIAÇÃO DAS DAMAS DA CARIDADE DE SÃO VICENTE DE PAULO</t>
  </si>
  <si>
    <t>60.904.711/0002-01</t>
  </si>
  <si>
    <t>411/21</t>
  </si>
  <si>
    <t>SOCIEDADE FILANTRÓPICA PAULISTA</t>
  </si>
  <si>
    <t>412/21</t>
  </si>
  <si>
    <t>62.437.595/0001-02</t>
  </si>
  <si>
    <t>413/21</t>
  </si>
  <si>
    <t>CASA DE REPOUSO BELA VIDA LTDA</t>
  </si>
  <si>
    <t>29.056.572/0001-74</t>
  </si>
  <si>
    <t>414/21</t>
  </si>
  <si>
    <t>415/21</t>
  </si>
  <si>
    <t>416/21</t>
  </si>
  <si>
    <t>417/21</t>
  </si>
  <si>
    <t>418/21</t>
  </si>
  <si>
    <t>419/21</t>
  </si>
  <si>
    <t>420/21</t>
  </si>
  <si>
    <t>421/21</t>
  </si>
  <si>
    <t>422/21</t>
  </si>
  <si>
    <t>423/21</t>
  </si>
  <si>
    <t>RESIDENCIAL TATUAPÉ PARA TERCEIRA IDADE EIRELI</t>
  </si>
  <si>
    <t>14.158.853/0001-60</t>
  </si>
  <si>
    <t>Rua Coronel Gustavo Santiago, nº 73 -Tatuapé / CEP: 03069-030</t>
  </si>
  <si>
    <t>2092-7305</t>
  </si>
  <si>
    <t>mariana.azevedo.7136@gmail.com</t>
  </si>
  <si>
    <t>VOVÓ LAURA CASA DE REPOUSO LTDA</t>
  </si>
  <si>
    <t>21.298.121/0001-78</t>
  </si>
  <si>
    <t>vovolaura.casaderepouso@gmail.com</t>
  </si>
  <si>
    <t>CASA DE REPOUSO FAMÍLIA FELIZ LTDA</t>
  </si>
  <si>
    <t>casaderepousofamiliafeliz@gmail.com</t>
  </si>
  <si>
    <t>ANNI AZZURRI INSTITUIÇÃO DE LONGA PERMANÊNCIA PARA IDOSOS LTDA</t>
  </si>
  <si>
    <t>30.527.775/0001-80</t>
  </si>
  <si>
    <t>thais@anniazzurri.com.br</t>
  </si>
  <si>
    <t>ALL TIME SAÚDE LTDA</t>
  </si>
  <si>
    <t>21.768.584/0001-10</t>
  </si>
  <si>
    <t>Rua das Pitombeiras, nº 107 - Vl. Pq. Jabaquara / CEP: 04321-160</t>
  </si>
  <si>
    <t>5575-7148</t>
  </si>
  <si>
    <t>contato@alltimesaude.com.br</t>
  </si>
  <si>
    <t>MEU ACONCHEGO INSTITUIÇÃO DE LONGA PERMANÊNCIA PARA IDOSOS LTDA</t>
  </si>
  <si>
    <t>30.981.753/0001-96</t>
  </si>
  <si>
    <t>4507-7000</t>
  </si>
  <si>
    <t>Rua Higino Anglés, nº 15 - Vl. Vazani - CEP: 05710-040</t>
  </si>
  <si>
    <t>contato@meuaconchego.com.br</t>
  </si>
  <si>
    <t>15.551.228/0001-47</t>
  </si>
  <si>
    <t>2096-4702</t>
  </si>
  <si>
    <t>everton@grupopacini.com.br</t>
  </si>
  <si>
    <t>RESIDENCIAL EL SHADAY LTDA</t>
  </si>
  <si>
    <t>23.955.650/0001-96</t>
  </si>
  <si>
    <t>CASA DE REPOUSO MORADA DA REALEZA LTDA</t>
  </si>
  <si>
    <t>25.292.407/0001-60</t>
  </si>
  <si>
    <t>residencialmoradadarealeza@gmail.com</t>
  </si>
  <si>
    <t>INSTITUTO RENOVAÇÃO</t>
  </si>
  <si>
    <t>casaderepousovirgemmaria@gmail.com</t>
  </si>
  <si>
    <t>424/21</t>
  </si>
  <si>
    <t>425/21</t>
  </si>
  <si>
    <t>426/21</t>
  </si>
  <si>
    <t>427/21</t>
  </si>
  <si>
    <t>428/21</t>
  </si>
  <si>
    <t>429/21</t>
  </si>
  <si>
    <t>430/21</t>
  </si>
  <si>
    <t>432/21</t>
  </si>
  <si>
    <t>433/21</t>
  </si>
  <si>
    <t>434/21</t>
  </si>
  <si>
    <t>435/21</t>
  </si>
  <si>
    <t>436/21</t>
  </si>
  <si>
    <t>437/21</t>
  </si>
  <si>
    <t>438/21</t>
  </si>
  <si>
    <t>439/21</t>
  </si>
  <si>
    <t>440/21</t>
  </si>
  <si>
    <t>441/21</t>
  </si>
  <si>
    <t>442/21</t>
  </si>
  <si>
    <t>443/21</t>
  </si>
  <si>
    <t>444/21</t>
  </si>
  <si>
    <t>445/21</t>
  </si>
  <si>
    <t>446/21</t>
  </si>
  <si>
    <t>447/21</t>
  </si>
  <si>
    <t>448/21</t>
  </si>
  <si>
    <t>449/21</t>
  </si>
  <si>
    <t>RITRO CLINICA RESIDENCIAL PARA IDOSOS LTDA</t>
  </si>
  <si>
    <t>28.346.961/0001-71</t>
  </si>
  <si>
    <t>Rua Quintana, n° 636</t>
  </si>
  <si>
    <t>casaflormelhoridade@gmail.com</t>
  </si>
  <si>
    <t>ALERTA SAUDE 24 HORAS LTDA</t>
  </si>
  <si>
    <t>18.845.129/0001-66</t>
  </si>
  <si>
    <t>alertasaude24horas@hotmail.com</t>
  </si>
  <si>
    <t>CASA GERIÁTRICA ARCANJO GABRIEL – SOCIEDADE SIMPLES LTDA</t>
  </si>
  <si>
    <t>09.081.516/0001-82</t>
  </si>
  <si>
    <t>Rua Dona Joaquina de Jesus, n° 114</t>
  </si>
  <si>
    <t>casaarcanjogabriel@hotmail.com</t>
  </si>
  <si>
    <t>CASA DE REPOUSO AZALEIA LTDA</t>
  </si>
  <si>
    <t>03.967.740/0001-90</t>
  </si>
  <si>
    <t>Rua Antônio de Macedo Soares, nº 1.538</t>
  </si>
  <si>
    <t>5543-7805</t>
  </si>
  <si>
    <t>azalearepouso@hotmail.com</t>
  </si>
  <si>
    <t>13.971.988/0001-88</t>
  </si>
  <si>
    <t>Avenida Eliseu de Almeida, n° 742</t>
  </si>
  <si>
    <t>CASA DE REPOUSO CAMPO BELO LTDA</t>
  </si>
  <si>
    <t>29.012.298/0001-31</t>
  </si>
  <si>
    <t>08.770.450/0001-75</t>
  </si>
  <si>
    <t>Rua Hilário Ribeiro, n° 87</t>
  </si>
  <si>
    <t>cidadevargas@hotmail.com</t>
  </si>
  <si>
    <t>CASA DE REPOUSO DOCE VIDA LTDA</t>
  </si>
  <si>
    <t>12.488.843/0001-68</t>
  </si>
  <si>
    <t>Rua do Alto, n° 368</t>
  </si>
  <si>
    <t>monahmourad@hotmail.com</t>
  </si>
  <si>
    <t>CASA DE REPOUSO ESPERANÇA E PROSPERIDADE LTDA</t>
  </si>
  <si>
    <t>32.149.272/0001-44</t>
  </si>
  <si>
    <t>25.093.727/0001-91</t>
  </si>
  <si>
    <t>Rua Coronel Marcílio Franco, n° 145</t>
  </si>
  <si>
    <t>2367-3186</t>
  </si>
  <si>
    <t>casaderepousolardamelhoridade@gmail.com</t>
  </si>
  <si>
    <t>LAR DA MELHOR IDADE LTDA</t>
  </si>
  <si>
    <t>Rua Claudionor Barbieri, n° 125</t>
  </si>
  <si>
    <t>15.838.169/0001-92</t>
  </si>
  <si>
    <t>CASA DE REPOUSO MONTE HOREBE LTDA</t>
  </si>
  <si>
    <t>01.137.380/0001-73</t>
  </si>
  <si>
    <t>Rua Visconde de Indaiatuba, n° 246</t>
  </si>
  <si>
    <t>3834-0036</t>
  </si>
  <si>
    <t>casaderepousomontehorebe@gmail.com</t>
  </si>
  <si>
    <t>CASA DE REPOUSO QUALIDADE DE VIVER LTDA</t>
  </si>
  <si>
    <t>18.435.926/0001-75</t>
  </si>
  <si>
    <t>Rua Anjo Custódio, n° 342</t>
  </si>
  <si>
    <t>2679-1517</t>
  </si>
  <si>
    <t>contato@qualidadedeviver.com.br</t>
  </si>
  <si>
    <t>TATIANE MACEDO DE MESQUITA</t>
  </si>
  <si>
    <t>22.154.070/0001-37</t>
  </si>
  <si>
    <t>Rua Maria Amália Lopes Azevedo, n° 3.174</t>
  </si>
  <si>
    <t>tatianemacedo121@gmail.com</t>
  </si>
  <si>
    <t>CASA DE REPOUSO SAN THIAGO LTDA</t>
  </si>
  <si>
    <t>13.165.814/0001-28</t>
  </si>
  <si>
    <t>Avenida Elísio Cordeiro de Siqueira, n° 627</t>
  </si>
  <si>
    <t xml:space="preserve">3903-7047	</t>
  </si>
  <si>
    <t>CASA DE REPOUSO TOTAL CARE LTDA</t>
  </si>
  <si>
    <t>19.374.642/0001-89</t>
  </si>
  <si>
    <t>Estrada Três Cruzes, nº 180</t>
  </si>
  <si>
    <t>casarepousovilaverde@gmail.com</t>
  </si>
  <si>
    <t>CENTRO DE CUIDADO AO IDOSO DA PENHA EIRELI</t>
  </si>
  <si>
    <t>13.577.047/0001-64</t>
  </si>
  <si>
    <t>Avenida Lineu de Paula Machado, n° 474</t>
  </si>
  <si>
    <t>Estrada de Mogi das Cruzes, n° 455</t>
  </si>
  <si>
    <t>2641-4043</t>
  </si>
  <si>
    <t>residencialcarinhoso@hotmail.com</t>
  </si>
  <si>
    <t>CASA DE REPOUSO CORACAO DE JESUS LTDA</t>
  </si>
  <si>
    <t>Avenida Mercedes, n° 347</t>
  </si>
  <si>
    <t>09.247.275/0001-07</t>
  </si>
  <si>
    <t>marina@casaderepousocoracaodejesus.com.br</t>
  </si>
  <si>
    <t>22.645.677/0001-10</t>
  </si>
  <si>
    <t>Rua Paulo Maldi, n° 147</t>
  </si>
  <si>
    <t>3530-1302/ 3477-0008</t>
  </si>
  <si>
    <t>contato@ecrecantodoslirios.com.br</t>
  </si>
  <si>
    <t>19.257.145/0001-09</t>
  </si>
  <si>
    <t>Rua Bernardo de Araújo Carvalhal, nº 93</t>
  </si>
  <si>
    <t>RESIDENCIAL CLUB LEGER LTDA</t>
  </si>
  <si>
    <t>30.010.794/0001-35</t>
  </si>
  <si>
    <t>Rua Antônio Cardoso Nogueira, n° 859</t>
  </si>
  <si>
    <t>RESIDENCIAL CORA CORALINA CASA DE REPOUSO LTDA</t>
  </si>
  <si>
    <t>17.203.627/0001-42</t>
  </si>
  <si>
    <t>Rua dos Mártires Armênios, n° 1.080</t>
  </si>
  <si>
    <t>2261-2307</t>
  </si>
  <si>
    <t>residencialcoracoralina@gmail.com</t>
  </si>
  <si>
    <t>RESIDENCIAL MARIA FIGUEIREDO LTDA</t>
  </si>
  <si>
    <t>financeiro@residencialmariafigueiredo.com.br</t>
  </si>
  <si>
    <t>MARQUES &amp; ALVES PENSIONATO PARA IDOSOS VILA CITY AMERICA LTDA</t>
  </si>
  <si>
    <t>29.749.114/0001-10</t>
  </si>
  <si>
    <t>Avenida Agenor Couto de Magalhães, n° 319</t>
  </si>
  <si>
    <t>20.345.968/0001-67</t>
  </si>
  <si>
    <t>3473-6013</t>
  </si>
  <si>
    <t>vilacityamerica@gmail.com</t>
  </si>
  <si>
    <t>38.883.732/0001-40</t>
  </si>
  <si>
    <t>Avenida Inácio Monteiro, nº 1.114</t>
  </si>
  <si>
    <t>2079-0461</t>
  </si>
  <si>
    <t>Vila Maria/Vila Guilherme</t>
  </si>
  <si>
    <t>CEP</t>
  </si>
  <si>
    <t>BAIRRO</t>
  </si>
  <si>
    <t>SITE</t>
  </si>
  <si>
    <t>450/21</t>
  </si>
  <si>
    <t>453/21</t>
  </si>
  <si>
    <t>454/21</t>
  </si>
  <si>
    <t>455/21</t>
  </si>
  <si>
    <t>456/21</t>
  </si>
  <si>
    <t>457/21</t>
  </si>
  <si>
    <t>458/21</t>
  </si>
  <si>
    <t>459/21</t>
  </si>
  <si>
    <t>460/21</t>
  </si>
  <si>
    <t>461/21</t>
  </si>
  <si>
    <t>462/21</t>
  </si>
  <si>
    <t>465/21</t>
  </si>
  <si>
    <t>466/21</t>
  </si>
  <si>
    <t>LAR DE ALICE CASA DE REPOUSO - EIRELI</t>
  </si>
  <si>
    <t>31.496.798/0001-38</t>
  </si>
  <si>
    <t>Rua das Oiticicas, nº 390</t>
  </si>
  <si>
    <t>04346-090</t>
  </si>
  <si>
    <t>55.216.915/0001-20</t>
  </si>
  <si>
    <t>Rua Ponta Porã, nº 618</t>
  </si>
  <si>
    <t>05058-000</t>
  </si>
  <si>
    <t>Vl. Ipojuca</t>
  </si>
  <si>
    <t>3644-9832</t>
  </si>
  <si>
    <t>contato@genesiscasaderepouso.com.br</t>
  </si>
  <si>
    <t>www.genesiscasaderepouso.com.br</t>
  </si>
  <si>
    <t>GENESIS CASA DE REPOUSO - LTDA</t>
  </si>
  <si>
    <t>Rua Sebastião Carneiro, nº 411</t>
  </si>
  <si>
    <t>01543-020</t>
  </si>
  <si>
    <t>Aclimação</t>
  </si>
  <si>
    <t>3628-9710</t>
  </si>
  <si>
    <t>www.centrodia-pasargada.com.br</t>
  </si>
  <si>
    <t>A. E. PELEGRINA - PENSIONATO</t>
  </si>
  <si>
    <t>31.070.658/0001-01</t>
  </si>
  <si>
    <t>Rua Artur Mendonça, n° 65</t>
  </si>
  <si>
    <t>03067-040</t>
  </si>
  <si>
    <t>Tatuapé</t>
  </si>
  <si>
    <t>www.tatuaperesidencialsenior.com.br</t>
  </si>
  <si>
    <t>J.C. DE SOUZA - CASA DE REPOUSO LTDA</t>
  </si>
  <si>
    <t>23.887597/0001-33</t>
  </si>
  <si>
    <t>23.887597/0002-14</t>
  </si>
  <si>
    <t>Av. Nova Cantareira, n° 5622</t>
  </si>
  <si>
    <t>02340-002</t>
  </si>
  <si>
    <t>Tremembé</t>
  </si>
  <si>
    <t>2206-1292</t>
  </si>
  <si>
    <t>www.repousorecantodosavos.com.br</t>
  </si>
  <si>
    <t>sfelixprado@gmail.com</t>
  </si>
  <si>
    <t>Av. Nova Cantareira, n° 5476</t>
  </si>
  <si>
    <t>COMPLEXO ASSISTENCIAL CAIRBAR SCHUTEL</t>
  </si>
  <si>
    <t>62.909.114/0001-06</t>
  </si>
  <si>
    <t>Rua Francisco Preto n° 213</t>
  </si>
  <si>
    <t>05623-010</t>
  </si>
  <si>
    <t>Vila Morse</t>
  </si>
  <si>
    <t>cdi@cairbarschutel.org</t>
  </si>
  <si>
    <t>HOM</t>
  </si>
  <si>
    <t>52.026.838/0002-39</t>
  </si>
  <si>
    <t>Rua Dona Elfrida, n°264</t>
  </si>
  <si>
    <t>02462-000</t>
  </si>
  <si>
    <t>Santana</t>
  </si>
  <si>
    <t>Santana/Tucuruvi</t>
  </si>
  <si>
    <t xml:space="preserve">I. S. R PRESTAÇÃO DE SERVIÇOS DE SAÚDE LTDA </t>
  </si>
  <si>
    <t>10.347.545/0001-22</t>
  </si>
  <si>
    <t>467/21</t>
  </si>
  <si>
    <t>Rua Brigadeiro Henrique Fontenelle, n° 1201</t>
  </si>
  <si>
    <t>05125-001</t>
  </si>
  <si>
    <t>Pq. São Domingos</t>
  </si>
  <si>
    <t>residencial.liriosdapaz@gmail.com</t>
  </si>
  <si>
    <t>468/21</t>
  </si>
  <si>
    <t>61.876.868/0005-78</t>
  </si>
  <si>
    <t>03128-140</t>
  </si>
  <si>
    <t>www.ocirculo.org.br</t>
  </si>
  <si>
    <t>469/21</t>
  </si>
  <si>
    <t>Travessa Cacique Apoena, n° 482</t>
  </si>
  <si>
    <t>02307-330</t>
  </si>
  <si>
    <t>Tucuruvi</t>
  </si>
  <si>
    <t xml:space="preserve">BELA VIDA CENTRO DE CONVIVÊNCIA DO IDOSO LTDA </t>
  </si>
  <si>
    <t>Rua Conde de Itu, n° 525</t>
  </si>
  <si>
    <t>04741-000</t>
  </si>
  <si>
    <t>Jd. Santo Amaro</t>
  </si>
  <si>
    <t>www.belavidaresidencial.com.br</t>
  </si>
  <si>
    <t>Rua dos Lírios, n° 282</t>
  </si>
  <si>
    <t>04047-040</t>
  </si>
  <si>
    <t>Mirandópolis</t>
  </si>
  <si>
    <t>gestaodeparcerias@ligasolidaria.org.br</t>
  </si>
  <si>
    <t>www.ligasolidaria.org.br</t>
  </si>
  <si>
    <t>204.1/17</t>
  </si>
  <si>
    <t>204.2/17</t>
  </si>
  <si>
    <t>R Bernarda Luis, n° 129</t>
  </si>
  <si>
    <t>05448-020</t>
  </si>
  <si>
    <t>Jd. Atibaia</t>
  </si>
  <si>
    <t>3970-2911</t>
  </si>
  <si>
    <t xml:space="preserve">CÍRCULO DE TRABALHADORES CRISTÃOS DE VILA PRUDENTE </t>
  </si>
  <si>
    <t>INSTITUTO BRASILEIRO ARTE TERAPIA E FELICIDADE</t>
  </si>
  <si>
    <t>17.938.831/0001-01</t>
  </si>
  <si>
    <t>R. José Luiz da Silva, nº 68</t>
  </si>
  <si>
    <t>03446-070</t>
  </si>
  <si>
    <t>SOCIEDADE BRASILEIRA DE CULTURA JAPONESA E DE ASSISTENCIA SOCIAL</t>
  </si>
  <si>
    <t>61.511.127/0001-60</t>
  </si>
  <si>
    <t>R. São Joaquim, nº 381</t>
  </si>
  <si>
    <t>01508-001</t>
  </si>
  <si>
    <t>Liberdade</t>
  </si>
  <si>
    <t>secretaria@bunkyo.org.br</t>
  </si>
  <si>
    <t>www.bunkyo.org.br</t>
  </si>
  <si>
    <t>38.168.022./0001-38</t>
  </si>
  <si>
    <t>Três Cruzes</t>
  </si>
  <si>
    <t>02285-000</t>
  </si>
  <si>
    <t>451.1/21</t>
  </si>
  <si>
    <t>451.2/21</t>
  </si>
  <si>
    <t>451.3/21</t>
  </si>
  <si>
    <t>451.4/21</t>
  </si>
  <si>
    <t>ASSOCIAÇÃO DE AMPARO AO IDOSO</t>
  </si>
  <si>
    <t>04.589.879/0001-00</t>
  </si>
  <si>
    <t>Itaim Bibi</t>
  </si>
  <si>
    <t>www.velhoamigo.org.br</t>
  </si>
  <si>
    <t>CASA DE REPOUSO SPS LTDA</t>
  </si>
  <si>
    <t>CENTRO SOCIAL LEAO XIII</t>
  </si>
  <si>
    <t>COUTO &amp; SILVA PENSIONATO PARA IDOSOS LTDA</t>
  </si>
  <si>
    <t>HOSPEDAGEM TOMÉ DE SOUZA LTDA</t>
  </si>
  <si>
    <t>IVANILDE ASSIS ANDRADE</t>
  </si>
  <si>
    <t>CENTRO SOCIAL NOSSA SENHORA DO BOM PARTO</t>
  </si>
  <si>
    <t>15.469.179/0001-06</t>
  </si>
  <si>
    <t>Rua Joaquim Nabuco, n° 1.484</t>
  </si>
  <si>
    <t>04621-005</t>
  </si>
  <si>
    <t>23.073.921/0001-80</t>
  </si>
  <si>
    <t>Rua Evaldo Calabrez, n° 112</t>
  </si>
  <si>
    <t>08410-070</t>
  </si>
  <si>
    <t>Vila Princesa Isabel</t>
  </si>
  <si>
    <t>60.980.364/0007-00</t>
  </si>
  <si>
    <t>Rua Santa Maria Goretti, n° 179</t>
  </si>
  <si>
    <t>02131-110</t>
  </si>
  <si>
    <t>Vila Maria Alta</t>
  </si>
  <si>
    <t>2954-4480/ 2954-2176</t>
  </si>
  <si>
    <t>www.csleao13.org.br</t>
  </si>
  <si>
    <t>07.324.121/0001-38</t>
  </si>
  <si>
    <t>Avenida Professor Papini, n° 413</t>
  </si>
  <si>
    <t>04805-300</t>
  </si>
  <si>
    <t>Cidade Dutra</t>
  </si>
  <si>
    <t>5669-2392</t>
  </si>
  <si>
    <t>clinicageriatricabetel@outlook.com</t>
  </si>
  <si>
    <t>71.839.302/0001-04</t>
  </si>
  <si>
    <t>Rua Japiaçoia, n° 192</t>
  </si>
  <si>
    <t>05455-060</t>
  </si>
  <si>
    <t>Alto de Pinheiros</t>
  </si>
  <si>
    <t>pinheiros@residencialpinheiros.com.br</t>
  </si>
  <si>
    <t>www.residencialpinheiros.com.br</t>
  </si>
  <si>
    <t>32.553.024/0001-64</t>
  </si>
  <si>
    <t>Rua Umberto Boccioni, n° 14</t>
  </si>
  <si>
    <t>02441-150</t>
  </si>
  <si>
    <t>Lauzane Paulista</t>
  </si>
  <si>
    <t>2278-0426</t>
  </si>
  <si>
    <t>ivanildeaa@gmail.com/ rubenscharpinel@hotmail.com</t>
  </si>
  <si>
    <t>www.ruivailp.com</t>
  </si>
  <si>
    <t>62.264.494/0001-79</t>
  </si>
  <si>
    <t>Rua Manuel Onha, n° 425</t>
  </si>
  <si>
    <t>Vila Oratório</t>
  </si>
  <si>
    <t>www.bompar.org.br</t>
  </si>
  <si>
    <t>Rua Ministro Ferreira Alves, nº 90</t>
  </si>
  <si>
    <t>05009-060</t>
  </si>
  <si>
    <t>5642-4040</t>
  </si>
  <si>
    <t>www.casaderepousovivace.com.br</t>
  </si>
  <si>
    <t>042.1/15</t>
  </si>
  <si>
    <t>042.2/15</t>
  </si>
  <si>
    <t>VIVERE RESIDENCIAL PARA IDOSOS LTDA</t>
  </si>
  <si>
    <t>Rua Palacete das Águias, n° 160</t>
  </si>
  <si>
    <t>Vila Alexandria</t>
  </si>
  <si>
    <t>Rua Palacete das Águias, n° 169</t>
  </si>
  <si>
    <t>Praça Pinheiro da Cunha, nº 467</t>
  </si>
  <si>
    <t>04275-050</t>
  </si>
  <si>
    <t>Vila Dom Predro I</t>
  </si>
  <si>
    <t>www.geriatricapanamby.com.br</t>
  </si>
  <si>
    <t>Avenida Antônio Barbosa da Silva Sandoval, nº 257</t>
  </si>
  <si>
    <t>04783-000</t>
  </si>
  <si>
    <t>Interlagos</t>
  </si>
  <si>
    <t>4562-3100</t>
  </si>
  <si>
    <t>www.casaderepousobelaidade.com.br</t>
  </si>
  <si>
    <t>Rua Baceúnas, nº 170</t>
  </si>
  <si>
    <t>03127-060</t>
  </si>
  <si>
    <t>2272-8358</t>
  </si>
  <si>
    <t>Av. Diógenes Ribeiro de Lima, nº 1.268</t>
  </si>
  <si>
    <t>05458-001</t>
  </si>
  <si>
    <t>4171-2099</t>
  </si>
  <si>
    <t>www.dpaduaresidencial.com.br</t>
  </si>
  <si>
    <t>Rua Guaraiuva, nº 1.416</t>
  </si>
  <si>
    <t>04569-003</t>
  </si>
  <si>
    <t>Cidade Monções</t>
  </si>
  <si>
    <t>5543-0975</t>
  </si>
  <si>
    <t>www.casaderepousobrooklin.com.b</t>
  </si>
  <si>
    <t>Avenida Leonardo na Vinci, n° 2.650</t>
  </si>
  <si>
    <t>04313-002</t>
  </si>
  <si>
    <t>Vila Guarani</t>
  </si>
  <si>
    <t>2548-1523</t>
  </si>
  <si>
    <t>www.institutoakhanda.com</t>
  </si>
  <si>
    <t xml:space="preserve"> ---</t>
  </si>
  <si>
    <t>470/21</t>
  </si>
  <si>
    <t>471/21</t>
  </si>
  <si>
    <t>472/21</t>
  </si>
  <si>
    <t>473/21</t>
  </si>
  <si>
    <t>474/21</t>
  </si>
  <si>
    <t>475/21</t>
  </si>
  <si>
    <t>476/21</t>
  </si>
  <si>
    <t>477/21</t>
  </si>
  <si>
    <t>Rua Anan Alvim, n° 214</t>
  </si>
  <si>
    <t>04710-100</t>
  </si>
  <si>
    <t>5181-3706</t>
  </si>
  <si>
    <t>chendechristo@terra.com.br</t>
  </si>
  <si>
    <t>03804-110</t>
  </si>
  <si>
    <t>www.larvicentino.org.br</t>
  </si>
  <si>
    <t>adminsitracao@larvicentino.org.br</t>
  </si>
  <si>
    <t>Rua Ovídio Lopes, n° 253</t>
  </si>
  <si>
    <t>Rua Francisco Garcia, n°45/61</t>
  </si>
  <si>
    <t>08230-560</t>
  </si>
  <si>
    <t>Vila Verde</t>
  </si>
  <si>
    <t xml:space="preserve">lda@lardivinoamigo.org.br </t>
  </si>
  <si>
    <t>www.lardivinoamigo.org.br</t>
  </si>
  <si>
    <t>PAULO THADEU BORGES MARQUES</t>
  </si>
  <si>
    <t>??</t>
  </si>
  <si>
    <t>Rua Guararapes n° 1005</t>
  </si>
  <si>
    <t>Brooklin</t>
  </si>
  <si>
    <t>04561-001</t>
  </si>
  <si>
    <t>5561-3542</t>
  </si>
  <si>
    <t xml:space="preserve">vivendasantafe@gmail.com </t>
  </si>
  <si>
    <t>www.vivendasantafe.com.br</t>
  </si>
  <si>
    <t>CONSULTÓRIO MÉDICO CASA GERIÁTRICA SILVEIRA E PEREIRA S/S LTDA</t>
  </si>
  <si>
    <t>Rua Itabaiana, n° 696</t>
  </si>
  <si>
    <t>03171-010</t>
  </si>
  <si>
    <t>Belenzinho</t>
  </si>
  <si>
    <t>2604-6871</t>
  </si>
  <si>
    <t>mariacarlotamel@gmail.com</t>
  </si>
  <si>
    <t>www.clinicacestarisilveira.com.br</t>
  </si>
  <si>
    <t>478/21</t>
  </si>
  <si>
    <t>LAR DE IDOSOS JARDIM JAPÃO LTDA</t>
  </si>
  <si>
    <t>Rua Yokoama, n° 22</t>
  </si>
  <si>
    <t>02132-140</t>
  </si>
  <si>
    <t>Jardim Japão</t>
  </si>
  <si>
    <t>lardeidososjdjapao@gmail.com</t>
  </si>
  <si>
    <t>CASA DE REPOUSO RESIDENCIAL L&amp;D LTDA</t>
  </si>
  <si>
    <t>29.409.101/0001-00</t>
  </si>
  <si>
    <t>Rua Plínio Augusto de Camargo, n° 111</t>
  </si>
  <si>
    <t>03607-020</t>
  </si>
  <si>
    <t>Vl. São Geraldo</t>
  </si>
  <si>
    <t>479/21</t>
  </si>
  <si>
    <t>24.117.980/0001-75</t>
  </si>
  <si>
    <t>480/21</t>
  </si>
  <si>
    <t>CENTRO DE VIVÊNCIA RECANTO DOS AVÓS LTDA</t>
  </si>
  <si>
    <t>Rua Aracê, n° 120</t>
  </si>
  <si>
    <t>03362-050</t>
  </si>
  <si>
    <t>Vl. Formosa</t>
  </si>
  <si>
    <t>2743-5312</t>
  </si>
  <si>
    <t>serprocon@globo.com</t>
  </si>
  <si>
    <t>M. L. PEREIRA CLÍNICA DE LONGA PERMANÊNCIA</t>
  </si>
  <si>
    <t>34.808.851/0001-87</t>
  </si>
  <si>
    <t>Rua Monguba, n° 473</t>
  </si>
  <si>
    <t>03438-000</t>
  </si>
  <si>
    <t>Vila Carrão</t>
  </si>
  <si>
    <t>2036-8437</t>
  </si>
  <si>
    <t>residencialjardimdavida@hotmail.com</t>
  </si>
  <si>
    <t>www.jardimdavida.com.br</t>
  </si>
  <si>
    <t>481/21</t>
  </si>
  <si>
    <t>MARIA APARECIDA RODRIGUES FERREIRA</t>
  </si>
  <si>
    <t>15.473.081/0001-14</t>
  </si>
  <si>
    <t>Rua Dom Henrique Mourão, n° 114</t>
  </si>
  <si>
    <t>05337-020</t>
  </si>
  <si>
    <t>Jd. Peri Peri</t>
  </si>
  <si>
    <t>3741-0803</t>
  </si>
  <si>
    <t>casadhermonnipo@gmail.com</t>
  </si>
  <si>
    <t>CASA DE REPOUSO VÓ ELIZABETH LTDA</t>
  </si>
  <si>
    <t>482/21</t>
  </si>
  <si>
    <t>23.518.737/0001-04</t>
  </si>
  <si>
    <t>Rua Casa Forte, n° 773</t>
  </si>
  <si>
    <t>02336-040</t>
  </si>
  <si>
    <t>Água Fria</t>
  </si>
  <si>
    <t>483/21</t>
  </si>
  <si>
    <t>CASA DE REPOUSO NAIM LTDA</t>
  </si>
  <si>
    <t>32.900.539/0001-93</t>
  </si>
  <si>
    <t>Rua Luiz Carlos Gentile de Laet, n° 1378</t>
  </si>
  <si>
    <t>02378-000</t>
  </si>
  <si>
    <t>Horto Florestal</t>
  </si>
  <si>
    <t>2996-7749</t>
  </si>
  <si>
    <t>casaderepousonaim@outlook.com</t>
  </si>
  <si>
    <t>484/21</t>
  </si>
  <si>
    <t>33.928.174/0001-78</t>
  </si>
  <si>
    <t>Rua Dr. João Batista de Lacerda, n° 240</t>
  </si>
  <si>
    <t>03177-010</t>
  </si>
  <si>
    <t>Quarta Parada</t>
  </si>
  <si>
    <t>2605-5090</t>
  </si>
  <si>
    <t>seniorangil@outlook.com</t>
  </si>
  <si>
    <t>Rua Itaúna, n° 799</t>
  </si>
  <si>
    <t>02111-031</t>
  </si>
  <si>
    <t>Vila Maria</t>
  </si>
  <si>
    <t>98056-4288</t>
  </si>
  <si>
    <t>193.1/17</t>
  </si>
  <si>
    <t>193.2/17</t>
  </si>
  <si>
    <t>193.3/17</t>
  </si>
  <si>
    <t>RESIDENCIAL SENIOR ANGIL SILVEIRA LTDA</t>
  </si>
  <si>
    <t>003.1/12</t>
  </si>
  <si>
    <t>003.2/12</t>
  </si>
  <si>
    <t>Rua Serra de Jairé, n° 316</t>
  </si>
  <si>
    <t>Belém</t>
  </si>
  <si>
    <t>2604-5688</t>
  </si>
  <si>
    <t xml:space="preserve">www.sefras.org.br </t>
  </si>
  <si>
    <t>Rua Valentim Magalhães, n° 311</t>
  </si>
  <si>
    <t>03184-090</t>
  </si>
  <si>
    <t>Alto da Mooca</t>
  </si>
  <si>
    <t>Rua Basílio Alves Morango, n° 1.460</t>
  </si>
  <si>
    <t>Parque Edu Chaves</t>
  </si>
  <si>
    <t>02222-001</t>
  </si>
  <si>
    <t>Rua Roberto Lanari, n° 998</t>
  </si>
  <si>
    <t>02281-209</t>
  </si>
  <si>
    <t>Jova Rural</t>
  </si>
  <si>
    <t>05079-000</t>
  </si>
  <si>
    <t>https://residencialorquidea.com.br/</t>
  </si>
  <si>
    <t>200.1/17</t>
  </si>
  <si>
    <t>200.2/17</t>
  </si>
  <si>
    <t>Rua Manuel Vieira de Sousa, n° 258</t>
  </si>
  <si>
    <t>03124-110</t>
  </si>
  <si>
    <t xml:space="preserve">www.casaderepousobemmecare.com.br </t>
  </si>
  <si>
    <t>Rua Guaimbé, n° 570</t>
  </si>
  <si>
    <t>03118-030</t>
  </si>
  <si>
    <t>CASA DE REPOUSO SAMARIAS LTDA</t>
  </si>
  <si>
    <t>Rua Alvares Lobo, n° 69</t>
  </si>
  <si>
    <t>Jd. Dom Bosco</t>
  </si>
  <si>
    <t>INSTITUTO PILAR</t>
  </si>
  <si>
    <t>ISABELA BORDIN SILVA</t>
  </si>
  <si>
    <t>JOSENILDA FRANCISCA DOS SANTOS</t>
  </si>
  <si>
    <t>MAURO ZAFFARANI</t>
  </si>
  <si>
    <t>RESIDENCIAL 60+ LTDA</t>
  </si>
  <si>
    <t>WALTER DE BRITTO</t>
  </si>
  <si>
    <t>04896-300</t>
  </si>
  <si>
    <t>24.416.111/0001-41</t>
  </si>
  <si>
    <t>Rua Leonel Martiniano, nº 8</t>
  </si>
  <si>
    <t>Chácara Maria Trindade</t>
  </si>
  <si>
    <t>22.706.282/0001-80</t>
  </si>
  <si>
    <t>05275-065</t>
  </si>
  <si>
    <t>05.875.060/0001-71</t>
  </si>
  <si>
    <t>Rua das Variações Musicais, n° 100</t>
  </si>
  <si>
    <t>Jardim Kagohara</t>
  </si>
  <si>
    <t>04938-010</t>
  </si>
  <si>
    <t>contato@institutopilar.org.br</t>
  </si>
  <si>
    <t>13.432.879/0001-92</t>
  </si>
  <si>
    <t>Rua Laurindo de Brito, n° 515</t>
  </si>
  <si>
    <t>05078-100</t>
  </si>
  <si>
    <t>isabela_bordin@hotmail.com</t>
  </si>
  <si>
    <t>33.447.547/0001-99</t>
  </si>
  <si>
    <t>Avenida Damasceno Vieira, nº 437</t>
  </si>
  <si>
    <t>Vila Mascote</t>
  </si>
  <si>
    <t>04363-040</t>
  </si>
  <si>
    <t>5678-8966</t>
  </si>
  <si>
    <t>27.653.358/0001-70</t>
  </si>
  <si>
    <t>Rua General Nestor Passos, n° 268</t>
  </si>
  <si>
    <t>Jardim Paraíso</t>
  </si>
  <si>
    <t>02417-140</t>
  </si>
  <si>
    <t>2283-2934</t>
  </si>
  <si>
    <t>casaderepouso@residencialviladossonhos.com</t>
  </si>
  <si>
    <t xml:space="preserve">www.residencialviladossonhos.com.br </t>
  </si>
  <si>
    <t>33.346.286/0001-10</t>
  </si>
  <si>
    <t>Rua Candido do Nascimento, n° 91</t>
  </si>
  <si>
    <t>Jardim Paulista</t>
  </si>
  <si>
    <t>04503-090</t>
  </si>
  <si>
    <t>3051-2182</t>
  </si>
  <si>
    <t>contato@residencial60mais.com.br</t>
  </si>
  <si>
    <t xml:space="preserve">www.residencial60mais.com.br </t>
  </si>
  <si>
    <t>21.762.386/0001-49</t>
  </si>
  <si>
    <t>Avenida Ajarani, n° 199</t>
  </si>
  <si>
    <t>Cidade Patriarca</t>
  </si>
  <si>
    <t>03548-000</t>
  </si>
  <si>
    <t>4561-7624</t>
  </si>
  <si>
    <t>lardadonacida@gmail.com</t>
  </si>
  <si>
    <t>485/21</t>
  </si>
  <si>
    <t>487/21</t>
  </si>
  <si>
    <t>488/21</t>
  </si>
  <si>
    <t>489/21</t>
  </si>
  <si>
    <t>490/21</t>
  </si>
  <si>
    <t>ASSOCIAÇÃO SOCIOASSISTENCIAL SÃO VICENTE DE PAULO</t>
  </si>
  <si>
    <t>BELLA SENIOR RESIDENCE LTDA</t>
  </si>
  <si>
    <t>MORADA PRIMAVERA CASA DE REPOUSO LTDA</t>
  </si>
  <si>
    <t>PATRONATO ASSISTENCIAL IMIGRANTES ITALIANOS</t>
  </si>
  <si>
    <t>STYLLO CASA DE REPOUSO S/C LTDA</t>
  </si>
  <si>
    <t>TEMPO DE AMAR NA MELHOR IDADE LTDA</t>
  </si>
  <si>
    <t>WANIA MARTINS ROMANO</t>
  </si>
  <si>
    <t>492/21</t>
  </si>
  <si>
    <t>06.654.572/0001-70</t>
  </si>
  <si>
    <t>Rua Tomé de Souza, nº 1301</t>
  </si>
  <si>
    <t>05079-200</t>
  </si>
  <si>
    <t>Alto da Lapa</t>
  </si>
  <si>
    <t>3831-9665</t>
  </si>
  <si>
    <t>danielmendes@casaderepousoreviver.com.br</t>
  </si>
  <si>
    <t>493/21</t>
  </si>
  <si>
    <t>CASA DE REPOUSO FILHO GABRIEL LTDA</t>
  </si>
  <si>
    <t>10.293.743/0001-50</t>
  </si>
  <si>
    <t>Rua Dr. Jesuino Maciel, n° 1359</t>
  </si>
  <si>
    <t>04615-003</t>
  </si>
  <si>
    <t>Campo Belo</t>
  </si>
  <si>
    <t>casaderepousofilhogabriel@outlook.com</t>
  </si>
  <si>
    <t>62.915.459/0005-04</t>
  </si>
  <si>
    <t>Rua Getúlio Vargas Filho, nº 27</t>
  </si>
  <si>
    <t>04318-030</t>
  </si>
  <si>
    <t>Cidade Vargas</t>
  </si>
  <si>
    <t>www.mamae.org.br</t>
  </si>
  <si>
    <t>03410-010</t>
  </si>
  <si>
    <t>Chácara Santo Antônio</t>
  </si>
  <si>
    <t>srfavato@gmail.com</t>
  </si>
  <si>
    <t>casaderepousobrilhodevida.com.br</t>
  </si>
  <si>
    <t>494/21</t>
  </si>
  <si>
    <t>ALBUQUERQUE E THEODORO ILPI LTDA</t>
  </si>
  <si>
    <t>35.374.630/0001-00</t>
  </si>
  <si>
    <t>Rua Caetanópolis, nº 284</t>
  </si>
  <si>
    <t>05335-120</t>
  </si>
  <si>
    <t>Jaguaré</t>
  </si>
  <si>
    <t>villadeifiori.osasco@gmail.com</t>
  </si>
  <si>
    <t>GONÇALO NUNES CASA DE REPOUSO LONGA PERMANÊNCIA PARA IDOSO LTDA</t>
  </si>
  <si>
    <t>Rua Gonçalo Nunes, nº 64</t>
  </si>
  <si>
    <t>03407-000</t>
  </si>
  <si>
    <t>Chácara Califórinia</t>
  </si>
  <si>
    <t>3624-6184</t>
  </si>
  <si>
    <t>SEI</t>
  </si>
  <si>
    <t>6074.2020/0002928-8</t>
  </si>
  <si>
    <t>6074.2020/0002808-7</t>
  </si>
  <si>
    <t>6074.2020/0002209-7</t>
  </si>
  <si>
    <t>HOSPCLÍNICA CAMPO BELO RETAGUARDA PARA IDOSOS LTDA</t>
  </si>
  <si>
    <t>04610-005</t>
  </si>
  <si>
    <t>Parque Colonial</t>
  </si>
  <si>
    <t>Rua Zacarias Góis, nº 1989</t>
  </si>
  <si>
    <t>grupovidanova.com</t>
  </si>
  <si>
    <t>495/21</t>
  </si>
  <si>
    <t>50.996.198/0001-83</t>
  </si>
  <si>
    <t>Rua Bacabinha, nº 304</t>
  </si>
  <si>
    <t>Jardim São Joaquim</t>
  </si>
  <si>
    <t>www.casavilladeifiori.com</t>
  </si>
  <si>
    <t>6074.2020/0002930-0</t>
  </si>
  <si>
    <t>6074.2020/0002579-7</t>
  </si>
  <si>
    <t>6074.2020/0002807-9</t>
  </si>
  <si>
    <t>gerar SEI</t>
  </si>
  <si>
    <t>496/21</t>
  </si>
  <si>
    <t>65.887.382/0001-62</t>
  </si>
  <si>
    <t>08330-480</t>
  </si>
  <si>
    <t>6074.2020/0003052-9</t>
  </si>
  <si>
    <t>61.669.966/0002-91</t>
  </si>
  <si>
    <t>03704-000</t>
  </si>
  <si>
    <t>Av. Condessa Elisabete de Robiano, nº 454</t>
  </si>
  <si>
    <t>2797-2999/2797-2990/3188-8383</t>
  </si>
  <si>
    <t>www.feesp.org.br</t>
  </si>
  <si>
    <t>6074.2020/0003670-5</t>
  </si>
  <si>
    <t>SOLAR DAS MERCEDES - REPOUSO PARA IDOSOS LTDA</t>
  </si>
  <si>
    <t>Av. Mercedes, n° 1133</t>
  </si>
  <si>
    <t>05081-060</t>
  </si>
  <si>
    <t>6074.2020/0003551-2</t>
  </si>
  <si>
    <t>RESIDENCIAL SÊNIOR SABEDORIA E VIDA LTDA</t>
  </si>
  <si>
    <t>31.080.689/0001-35</t>
  </si>
  <si>
    <t>Rua Paricatuba, nº 34</t>
  </si>
  <si>
    <t>Vila Ré</t>
  </si>
  <si>
    <t>03666-030</t>
  </si>
  <si>
    <t>residencial.sev@gmail.com</t>
  </si>
  <si>
    <t>www.sabedoriaevida.com.br</t>
  </si>
  <si>
    <t>320.3/19</t>
  </si>
  <si>
    <t>02.627.820/0001-33</t>
  </si>
  <si>
    <t>02.627.820/0005-67</t>
  </si>
  <si>
    <t>Rua Padre Francisco Carneiro, nº 63</t>
  </si>
  <si>
    <t>08451-210</t>
  </si>
  <si>
    <t>6074.2020/0003495-8</t>
  </si>
  <si>
    <t>2383-4732</t>
  </si>
  <si>
    <t>497/21</t>
  </si>
  <si>
    <t>CASA DE REPOUSO RESIDENCIAL VÔ CHICO LTDA</t>
  </si>
  <si>
    <t>31.496.418/0001-65</t>
  </si>
  <si>
    <t>Rua Valentina Piva, n° 65</t>
  </si>
  <si>
    <t>03605-040</t>
  </si>
  <si>
    <t xml:space="preserve">Penha de França </t>
  </si>
  <si>
    <t>residencialvochico.penha@gmail.com</t>
  </si>
  <si>
    <t>www.residencialvochico.com.br</t>
  </si>
  <si>
    <t>PENSIONATO DA VOVÓ NENA LTDA</t>
  </si>
  <si>
    <t>Rua da Economia, n° 162</t>
  </si>
  <si>
    <t>03532-050</t>
  </si>
  <si>
    <t>Vila Matilde</t>
  </si>
  <si>
    <t>2654-2378</t>
  </si>
  <si>
    <t>6074.2020/0003702-7</t>
  </si>
  <si>
    <t>ACONCHEGO CASA DO IDOSO LTDA</t>
  </si>
  <si>
    <t>Rua Trasybulo Pinheiro Albuquerque, nº 1615</t>
  </si>
  <si>
    <t>04787-001</t>
  </si>
  <si>
    <t>Jd. Santa Helena</t>
  </si>
  <si>
    <t>aconchegocasaidoso@gmail.com</t>
  </si>
  <si>
    <t>www.aconchegocasaidoso.com</t>
  </si>
  <si>
    <t>6074.2020/0004118-0</t>
  </si>
  <si>
    <t>CASA DE REPOUSO PARA IDOSOS SOLAR DOS ANJOS LTDA</t>
  </si>
  <si>
    <t>SOLAR DOS ANJOS</t>
  </si>
  <si>
    <t>Rua Engº Jean Buff, n° 176</t>
  </si>
  <si>
    <t>02417-180</t>
  </si>
  <si>
    <t>Chácara do Encosto</t>
  </si>
  <si>
    <t>2373-0076</t>
  </si>
  <si>
    <t>6074.2020/0004165-2</t>
  </si>
  <si>
    <t>498.1/21</t>
  </si>
  <si>
    <t>24.671.019/0001-28</t>
  </si>
  <si>
    <t>Jd. Miriam</t>
  </si>
  <si>
    <t>6074.2020/0004329-9</t>
  </si>
  <si>
    <t>498.2/21</t>
  </si>
  <si>
    <t>24.671.019/0002-09</t>
  </si>
  <si>
    <t>Rua Pedro Aranha Pacheco, n° 36</t>
  </si>
  <si>
    <t>08141-050</t>
  </si>
  <si>
    <t>Rua Mandiba, n°313</t>
  </si>
  <si>
    <t>02541-000</t>
  </si>
  <si>
    <t>Imirim</t>
  </si>
  <si>
    <t>6074.2020/0004156-3</t>
  </si>
  <si>
    <t>29.033.672/0002-66</t>
  </si>
  <si>
    <t>Rua João Carlos Leite Penteado, n° 140</t>
  </si>
  <si>
    <t>08120-200</t>
  </si>
  <si>
    <t>tempodeamarnamelhoridade@gmail.com</t>
  </si>
  <si>
    <t>www.tempodeamarnamelhoridade.com.br</t>
  </si>
  <si>
    <t>6074.2020/0004605-0</t>
  </si>
  <si>
    <t>CLÍNICA DE REPOUSO ESTÂNCIA DA CANTAREIRA LTDA</t>
  </si>
  <si>
    <t>02306-005</t>
  </si>
  <si>
    <t>Av. Cel Sezefredo Fagundes, n° 9500 - Portão 03</t>
  </si>
  <si>
    <t>www.estanciadacantareira.com.br</t>
  </si>
  <si>
    <t>6074.2020/0004900-9</t>
  </si>
  <si>
    <t>NOSSA CASA DE REPOUSO PARA IDOSOS LTDA</t>
  </si>
  <si>
    <t>30.147.949/0001-80</t>
  </si>
  <si>
    <t>04090-000</t>
  </si>
  <si>
    <t>Indianópolis</t>
  </si>
  <si>
    <t>adm.moema@nossacasaresidencial.com.br</t>
  </si>
  <si>
    <t>www.nossacasaresidencial.com.br</t>
  </si>
  <si>
    <t>6074.2020/0004660-3</t>
  </si>
  <si>
    <t>incluir no sei da matriz</t>
  </si>
  <si>
    <t>30.147.949/0002-60</t>
  </si>
  <si>
    <t>Alameda dos Nhambiquaras, n° 192</t>
  </si>
  <si>
    <t>NÃO RENOVADO</t>
  </si>
  <si>
    <t>Rua Rodolfo de Miranda, n° 287</t>
  </si>
  <si>
    <t>01121-010</t>
  </si>
  <si>
    <t>03186-020</t>
  </si>
  <si>
    <t xml:space="preserve">Rua Ibitinga, n° 394 </t>
  </si>
  <si>
    <t>Vl. Bertioga</t>
  </si>
  <si>
    <t>Bom Retiro</t>
  </si>
  <si>
    <t>www.unibes.org.br</t>
  </si>
  <si>
    <t>6074.2020/0004700-6</t>
  </si>
  <si>
    <t>5594-1832</t>
  </si>
  <si>
    <t>491.2/21</t>
  </si>
  <si>
    <t>491.1/21</t>
  </si>
  <si>
    <t>499.1/21</t>
  </si>
  <si>
    <t>499.2/21</t>
  </si>
  <si>
    <t>contatoresidencialflordelotus@gmail.com</t>
  </si>
  <si>
    <t>Avenida Vereador José Diniz, n° 1.474</t>
  </si>
  <si>
    <t>04604-001</t>
  </si>
  <si>
    <t>adm@residencialqualita.com.br</t>
  </si>
  <si>
    <t>Rua Albina Barbosa, n° 76</t>
  </si>
  <si>
    <t>01530-020</t>
  </si>
  <si>
    <t>Rua Professora Maria de Lourdes Souza Nogueira, n° 189</t>
  </si>
  <si>
    <t>04692-000</t>
  </si>
  <si>
    <t>Vila Gea</t>
  </si>
  <si>
    <t>5631-4903</t>
  </si>
  <si>
    <t>residencialsantaisabel@hotmail.com</t>
  </si>
  <si>
    <t>Avenida Vereador José Diniz, n° 1.448</t>
  </si>
  <si>
    <t>Alto da Boa Vista</t>
  </si>
  <si>
    <t>www.jardimdaspalmeiras.com</t>
  </si>
  <si>
    <t>Rua Icamaquã, n° 343</t>
  </si>
  <si>
    <t>www.casaderepousoperseveranca.com.br</t>
  </si>
  <si>
    <t>02376-010</t>
  </si>
  <si>
    <t>60.600.830/0002-62</t>
  </si>
  <si>
    <t>Rua Jardim Tamoio, n° 537-A</t>
  </si>
  <si>
    <t>08255-010</t>
  </si>
  <si>
    <t>2521-6227</t>
  </si>
  <si>
    <t>cvsocial1@gmail.com</t>
  </si>
  <si>
    <t>https://asvp.org.br/</t>
  </si>
  <si>
    <t>30.686.502/0001-89</t>
  </si>
  <si>
    <t>Rua Padre Azevedo, n° 200</t>
  </si>
  <si>
    <t>Jardim São Paulo</t>
  </si>
  <si>
    <t>02044-120</t>
  </si>
  <si>
    <t>2959-5977/ 9555</t>
  </si>
  <si>
    <t>contato@bellasenior.com.br</t>
  </si>
  <si>
    <t>07.132.846/0001-24</t>
  </si>
  <si>
    <t>Avenida São Gualter, n° 1.043</t>
  </si>
  <si>
    <t>05455-001</t>
  </si>
  <si>
    <t>Vila Ida</t>
  </si>
  <si>
    <t>62.645.882/0001-08</t>
  </si>
  <si>
    <t>Rua Pedro de Godói, n° 325</t>
  </si>
  <si>
    <t>03138-010</t>
  </si>
  <si>
    <t>www.convita.org.br</t>
  </si>
  <si>
    <t>26.797.739/0001-60</t>
  </si>
  <si>
    <t>Rua Brigadeiro Gavião Peixoto, n° 250</t>
  </si>
  <si>
    <t>05078-000</t>
  </si>
  <si>
    <t>residencialroyalsenior@gmail.com</t>
  </si>
  <si>
    <t>54.277.264/0003-88</t>
  </si>
  <si>
    <t>Rua Pereira da Nóbrega, n° 360</t>
  </si>
  <si>
    <t>01549-020</t>
  </si>
  <si>
    <t>2063-5030</t>
  </si>
  <si>
    <t>Vila Monumento</t>
  </si>
  <si>
    <t>29.033.672/0001-85</t>
  </si>
  <si>
    <t>Rua Professor Zeferino Ferraz, n° 486</t>
  </si>
  <si>
    <t>08120-380</t>
  </si>
  <si>
    <t>Rua Tomé de Souza, 1319</t>
  </si>
  <si>
    <t>Rua Beatriz, n° 266</t>
  </si>
  <si>
    <t>Vl. São Francisco</t>
  </si>
  <si>
    <t>03679-030</t>
  </si>
  <si>
    <t>ASSOCIAÇÃO DE LUTA E PROMOÇÃO SOCIAL JARDIM ROBRU E ADJACÊNCIAS</t>
  </si>
  <si>
    <t>Casa Verde Alta</t>
  </si>
  <si>
    <t>www.alps.org.br</t>
  </si>
  <si>
    <t>500/21</t>
  </si>
  <si>
    <t>19.037.706/0001-56</t>
  </si>
  <si>
    <t>Rua Emílio Barbosa, n° 242</t>
  </si>
  <si>
    <t>03135-040</t>
  </si>
  <si>
    <t>casaderepousolongevidade@gmail.com</t>
  </si>
  <si>
    <t>www.casaderepousolongevidade.com.br</t>
  </si>
  <si>
    <t>Rua Primavera da Vida, n° 01 - B</t>
  </si>
  <si>
    <t>03807-430</t>
  </si>
  <si>
    <t>R ROMAO FREIRE,176</t>
  </si>
  <si>
    <t>Vila Nilo</t>
  </si>
  <si>
    <t>02278-030</t>
  </si>
  <si>
    <t>(11) 3101-8901</t>
  </si>
  <si>
    <t>www.apoio-sp.org.br</t>
  </si>
  <si>
    <t>162.1/17</t>
  </si>
  <si>
    <t>162.2/17</t>
  </si>
  <si>
    <t>Campos Elíseos</t>
  </si>
  <si>
    <t>apoio@apoio-sp.org.br</t>
  </si>
  <si>
    <t>Jardim das Graças</t>
  </si>
  <si>
    <t>www.meninodeus.org</t>
  </si>
  <si>
    <t>501/21</t>
  </si>
  <si>
    <t>ASSOCIAÇÃO REVIVER</t>
  </si>
  <si>
    <t>04.957.904/0001-60</t>
  </si>
  <si>
    <t>502/21</t>
  </si>
  <si>
    <t xml:space="preserve">ASSOCIAÇÃO ANTONIO E MARCOS CAVANIS </t>
  </si>
  <si>
    <t>CCINTER</t>
  </si>
  <si>
    <t>75.637.256/0017-70</t>
  </si>
  <si>
    <t>R. Cajati, 65</t>
  </si>
  <si>
    <t>(11) 3932-4948</t>
  </si>
  <si>
    <t>Campos Eliseos</t>
  </si>
  <si>
    <t>www.inforedes.org</t>
  </si>
  <si>
    <t>503/21</t>
  </si>
  <si>
    <t>Rua Domingos de Rogatis, 100</t>
  </si>
  <si>
    <t>04290-080</t>
  </si>
  <si>
    <t>Saúde</t>
  </si>
  <si>
    <t>www.jardimdasaude.com</t>
  </si>
  <si>
    <t>504/21</t>
  </si>
  <si>
    <t>NÚCLEO CORAÇÃO MATERNO</t>
  </si>
  <si>
    <t>505/21</t>
  </si>
  <si>
    <t>CENTRO DE ASSISTENCIA E PROMOCAO SOCIAL NOSSO LAR</t>
  </si>
  <si>
    <t>67.139.907/0025-84</t>
  </si>
  <si>
    <t>Rua Jalisco, 158</t>
  </si>
  <si>
    <t>Água Rasa</t>
  </si>
  <si>
    <t>www.capsnossolar.org.br</t>
  </si>
  <si>
    <t>506/21</t>
  </si>
  <si>
    <t>58.409.871/0001-43</t>
  </si>
  <si>
    <t>Av Otacilio Tomanik, 1555</t>
  </si>
  <si>
    <t>05.363-101</t>
  </si>
  <si>
    <t>Rio Pequeno</t>
  </si>
  <si>
    <t>2778-3443</t>
  </si>
  <si>
    <t>www.santosdias.org</t>
  </si>
  <si>
    <t>507/21</t>
  </si>
  <si>
    <t>ROSANA DOS SANTOS</t>
  </si>
  <si>
    <t>37.947.871/0001-27</t>
  </si>
  <si>
    <t>Rua Lucilo Bueno, 109</t>
  </si>
  <si>
    <t>05208-070</t>
  </si>
  <si>
    <t>Vila Perus</t>
  </si>
  <si>
    <t>(11) 3971-4261</t>
  </si>
  <si>
    <t>evaldo@worldcontabil.com.br</t>
  </si>
  <si>
    <t>Rua Baronesa de Bela Vista,nº 88</t>
  </si>
  <si>
    <t>04612-000</t>
  </si>
  <si>
    <t>Jd. Aeroporto</t>
  </si>
  <si>
    <t>www.marpecasaderepouso.com.br</t>
  </si>
  <si>
    <t>508/21</t>
  </si>
  <si>
    <t>NOVA RESIDENCIAL SENIOR ALOJAMENTOS LTDA</t>
  </si>
  <si>
    <t>28.076.960/0001-54</t>
  </si>
  <si>
    <t>Rua Dr. Isaias Salomão, nº 59</t>
  </si>
  <si>
    <t>04055-050</t>
  </si>
  <si>
    <t>www.residencialsenior.com.br</t>
  </si>
  <si>
    <t>02636-000</t>
  </si>
  <si>
    <t>Vila Santos</t>
  </si>
  <si>
    <t>4328-2614</t>
  </si>
  <si>
    <t>recantovelhaguarda2@gmail.com</t>
  </si>
  <si>
    <t>RESIDENCIAL PARA IDOSOS TAMANDARÉ - LTDA</t>
  </si>
  <si>
    <t>Rua Tamandaré, nº 304</t>
  </si>
  <si>
    <t>01525-000</t>
  </si>
  <si>
    <t>www.residencialtamandare.com.br</t>
  </si>
  <si>
    <t>198.1/17</t>
  </si>
  <si>
    <t>Rua Luiza Canero, n° 354</t>
  </si>
  <si>
    <t>03191-030</t>
  </si>
  <si>
    <t>Vila Canero</t>
  </si>
  <si>
    <t>www.casaviladeifiori.com</t>
  </si>
  <si>
    <t>198.2/17</t>
  </si>
  <si>
    <t>Rua João Cabral, n° 123</t>
  </si>
  <si>
    <t>02431-000</t>
  </si>
  <si>
    <t>Vl. Do Colégio</t>
  </si>
  <si>
    <t>2371-3191</t>
  </si>
  <si>
    <t>rita.moutte@gmail.com</t>
  </si>
  <si>
    <t>Estrada Itapecerica, 7453</t>
  </si>
  <si>
    <t>Parque Fernanda</t>
  </si>
  <si>
    <t>www.aeb-brasil.org.br</t>
  </si>
  <si>
    <t>Av. Nazaré, 1361</t>
  </si>
  <si>
    <t>5054-7200</t>
  </si>
  <si>
    <t>juridico@bslsaude.com.br</t>
  </si>
  <si>
    <t>www.coraresidencial.com.br</t>
  </si>
  <si>
    <t>Rua Demostenes, 748</t>
  </si>
  <si>
    <t>04614-013</t>
  </si>
  <si>
    <t>11.204.981/0001-05</t>
  </si>
  <si>
    <t>R. Zequinha de Abreu, 220</t>
  </si>
  <si>
    <t>Perdizes</t>
  </si>
  <si>
    <t>www.institutonovoshorizontes.org.br</t>
  </si>
  <si>
    <t>510/21</t>
  </si>
  <si>
    <t>32.478.859/0001-05</t>
  </si>
  <si>
    <t>R. Capanema, 181</t>
  </si>
  <si>
    <t>04558-050</t>
  </si>
  <si>
    <t>5505-4346</t>
  </si>
  <si>
    <t>thiagoenfe@gmail.com</t>
  </si>
  <si>
    <t>www.residencelonglife.com.br</t>
  </si>
  <si>
    <t>511/21</t>
  </si>
  <si>
    <t>INSTITUTO PARA IDOSOS LUMINA R LTDA</t>
  </si>
  <si>
    <t>34.093.783/0001-17</t>
  </si>
  <si>
    <t>R. Sincorá, 416</t>
  </si>
  <si>
    <t>04650-000</t>
  </si>
  <si>
    <t>Jardim Umuarama</t>
  </si>
  <si>
    <t>154.1/17</t>
  </si>
  <si>
    <t>154.2/17</t>
  </si>
  <si>
    <t>154.3/17</t>
  </si>
  <si>
    <t>154.4/17</t>
  </si>
  <si>
    <t>154.5/17</t>
  </si>
  <si>
    <t>154.6/17</t>
  </si>
  <si>
    <t>154.7/17</t>
  </si>
  <si>
    <t>CAEI INFOREDES NOVA LUZ</t>
  </si>
  <si>
    <t>ASSOCIAÇÃO AMIGOS E TERCEIRA IDADE ESPERANÇA DO JARDIM MONTE AZUL</t>
  </si>
  <si>
    <t>03.542.664/0001-70</t>
  </si>
  <si>
    <t>05836-120</t>
  </si>
  <si>
    <t>Jardim Monte Azul</t>
  </si>
  <si>
    <t>6074.2021/0001286-7</t>
  </si>
  <si>
    <t>513/21</t>
  </si>
  <si>
    <t>18.258.670/0001-78</t>
  </si>
  <si>
    <t>03505-000</t>
  </si>
  <si>
    <t>Vila Aricanduva</t>
  </si>
  <si>
    <t>6074.2021/0001541-6</t>
  </si>
  <si>
    <t>514/21</t>
  </si>
  <si>
    <t>31.088.372/0001-45</t>
  </si>
  <si>
    <t>contato@arvoredavidasenior.com.br</t>
  </si>
  <si>
    <t>6074.2021/0000941-6</t>
  </si>
  <si>
    <t>515/21</t>
  </si>
  <si>
    <t>34.599.900/0001-19</t>
  </si>
  <si>
    <t>Sítio Represa</t>
  </si>
  <si>
    <t>maisvidacderepouso@gmail.com</t>
  </si>
  <si>
    <t>www.maisvidacasaderepouso.com.br</t>
  </si>
  <si>
    <t>6074.2021/0000882-7</t>
  </si>
  <si>
    <t>08090-020</t>
  </si>
  <si>
    <t>Parque Paulistano</t>
  </si>
  <si>
    <t>516/21</t>
  </si>
  <si>
    <t>COR - CENTRO DE ORIENTAÇÃO À FAMÍLIA</t>
  </si>
  <si>
    <t>43.633.288/0009-00</t>
  </si>
  <si>
    <t>Rua Juréia, 522</t>
  </si>
  <si>
    <t>Chácara Inglesa</t>
  </si>
  <si>
    <t>6074.2021/0002949-2</t>
  </si>
  <si>
    <t>PC Haroldo Daltro, 568</t>
  </si>
  <si>
    <t>03.444-090</t>
  </si>
  <si>
    <t>Vila Nova Manchester</t>
  </si>
  <si>
    <t>6074.2021/0001437-1</t>
  </si>
  <si>
    <t>274.1/19</t>
  </si>
  <si>
    <t>13.479.389/0003-03</t>
  </si>
  <si>
    <t>Rua Visconde de Indaiatuba, n° 206</t>
  </si>
  <si>
    <t>05083-080</t>
  </si>
  <si>
    <t>6074.2021/0001257-3</t>
  </si>
  <si>
    <t>R. Ilha da Trindade, 488</t>
  </si>
  <si>
    <t>03981-020</t>
  </si>
  <si>
    <t>Parque Santa Madalena</t>
  </si>
  <si>
    <t>6074.2021/0001330-8</t>
  </si>
  <si>
    <t>Rua Nazaré da Mota, nº 234</t>
  </si>
  <si>
    <t xml:space="preserve"> 03550-030</t>
  </si>
  <si>
    <t>www.casavovoesperanca.com.br</t>
  </si>
  <si>
    <t>6074.2021/0001501-7</t>
  </si>
  <si>
    <t>Rua Oiti, 319</t>
  </si>
  <si>
    <t>Vila Regente Feijó</t>
  </si>
  <si>
    <t>6074.2021/0001540-8</t>
  </si>
  <si>
    <t>517/21</t>
  </si>
  <si>
    <t>33.792.967/0001-02</t>
  </si>
  <si>
    <t>Rua Nagib Izar, 440</t>
  </si>
  <si>
    <t>03337-070</t>
  </si>
  <si>
    <t>04140-110</t>
  </si>
  <si>
    <t>2096-7798</t>
  </si>
  <si>
    <t>www.tercadaserra.com.br</t>
  </si>
  <si>
    <t>6074.2021/0001285-9</t>
  </si>
  <si>
    <t>Rua Lutécia, 1463</t>
  </si>
  <si>
    <t>03423-000</t>
  </si>
  <si>
    <t>6074.2021/0001897-0</t>
  </si>
  <si>
    <t>Rua Dona Vicentina  Alegretti, 265</t>
  </si>
  <si>
    <t>03610-030</t>
  </si>
  <si>
    <t>2164-1821</t>
  </si>
  <si>
    <t>6074.2021/0002848-8</t>
  </si>
  <si>
    <t>518/21</t>
  </si>
  <si>
    <t>A.M BORGES CASA DE REPOUSO</t>
  </si>
  <si>
    <t>35.778.881/0001-31</t>
  </si>
  <si>
    <t>Rua Odete, 178</t>
  </si>
  <si>
    <t>Vila Pierina</t>
  </si>
  <si>
    <t>03733-060</t>
  </si>
  <si>
    <t>2082-0758</t>
  </si>
  <si>
    <t>atendimentolardimaria@gmail.com</t>
  </si>
  <si>
    <t>www.casaderepouso.negocio.site</t>
  </si>
  <si>
    <t>6074.2021/0001434-7</t>
  </si>
  <si>
    <t>519/21</t>
  </si>
  <si>
    <t>86.793.999/0001-99</t>
  </si>
  <si>
    <t>Rua Paulo Gontijo de Carvalho, 13</t>
  </si>
  <si>
    <t>05404-020</t>
  </si>
  <si>
    <t>assidadedourada@outlook.com.br</t>
  </si>
  <si>
    <t>6074.2021/0001819-9</t>
  </si>
  <si>
    <t>Rua Mutamba Natal, 15</t>
  </si>
  <si>
    <t>04863-155</t>
  </si>
  <si>
    <t>Vila Natal</t>
  </si>
  <si>
    <t>www.ocaminho.org</t>
  </si>
  <si>
    <t>6074.2021/0001978-0</t>
  </si>
  <si>
    <t>520/21</t>
  </si>
  <si>
    <t>CASA DE REPOUSO SA &amp; SACALINA LTDA</t>
  </si>
  <si>
    <t>33.828.571/0001-78</t>
  </si>
  <si>
    <t>02345-000</t>
  </si>
  <si>
    <t xml:space="preserve">Barro Branco </t>
  </si>
  <si>
    <t>www.sasacalina.com.br</t>
  </si>
  <si>
    <t>6074.2021/0001794-0</t>
  </si>
  <si>
    <t>15.556.305/0002-32</t>
  </si>
  <si>
    <t>Rua Cristianópolis, nº 316</t>
  </si>
  <si>
    <t>03128-030</t>
  </si>
  <si>
    <t>Rua Cristianópolis, nº 395</t>
  </si>
  <si>
    <t>adm.residencialsantamadalena@gmail.com</t>
  </si>
  <si>
    <t>adm.residencialsantamadalena2@gmail.com</t>
  </si>
  <si>
    <t>521/21</t>
  </si>
  <si>
    <t>ROSA CHA RESIDENCIAL PARA SENHORAS LTDA</t>
  </si>
  <si>
    <t>38.083.357-0001-53</t>
  </si>
  <si>
    <t>Rua General Gaudie Ley, 51</t>
  </si>
  <si>
    <t>04788-130</t>
  </si>
  <si>
    <t>contato@rosacharesidencial.com.br</t>
  </si>
  <si>
    <t>www.rosacharesidencial.com.br</t>
  </si>
  <si>
    <t>6074.2021/0001503-3</t>
  </si>
  <si>
    <t>522/21</t>
  </si>
  <si>
    <t>Rua Irmã Pia, 28</t>
  </si>
  <si>
    <t>05335-050</t>
  </si>
  <si>
    <t>vidamoradiaassistida@gmail.com</t>
  </si>
  <si>
    <t>6074.2021/0001900-4</t>
  </si>
  <si>
    <t>ENVELHESER RESIDENCIAL SÊNIOR LTDA</t>
  </si>
  <si>
    <t>39.298.129/0001-63</t>
  </si>
  <si>
    <t>Rua Cuiabá, 786</t>
  </si>
  <si>
    <t>03183-001</t>
  </si>
  <si>
    <t>4801-5698</t>
  </si>
  <si>
    <t>contato@envelhesersenior.com.br</t>
  </si>
  <si>
    <t>www.envelhesersenior.com.br</t>
  </si>
  <si>
    <t>6074.2021/0001991-8</t>
  </si>
  <si>
    <t>523/21</t>
  </si>
  <si>
    <t>PENSIONATO PARA IDOSOS DIRE LTDA</t>
  </si>
  <si>
    <t>27.276.893/0001-59</t>
  </si>
  <si>
    <t>Rua Laurindo de Brito, n° 398</t>
  </si>
  <si>
    <t>6074.2021/0001795-8</t>
  </si>
  <si>
    <t>524/21</t>
  </si>
  <si>
    <t>PROMOVE AÇÃO SOCIAL CULTURAL</t>
  </si>
  <si>
    <t>69.127.611/0001-00</t>
  </si>
  <si>
    <t>Consolação</t>
  </si>
  <si>
    <t>2206-0451</t>
  </si>
  <si>
    <t>bortolandia@promove.org.br</t>
  </si>
  <si>
    <t>www.promove.org.br</t>
  </si>
  <si>
    <t>6074.2021/0003843-2</t>
  </si>
  <si>
    <t>127.1/17</t>
  </si>
  <si>
    <t>127.2/17</t>
  </si>
  <si>
    <t>121.1/17</t>
  </si>
  <si>
    <t>121.2/17</t>
  </si>
  <si>
    <t>121.3/17</t>
  </si>
  <si>
    <t>Av. Ariston de Azevedo, 10</t>
  </si>
  <si>
    <t>03021-020</t>
  </si>
  <si>
    <t>www.reciclazaro.org.br</t>
  </si>
  <si>
    <t>6074.2021/0001542-4</t>
  </si>
  <si>
    <t>Rua Assunção, 480</t>
  </si>
  <si>
    <t>03005-020</t>
  </si>
  <si>
    <t>Brás</t>
  </si>
  <si>
    <t>121.4/17</t>
  </si>
  <si>
    <t>NCI MOVIMENTO PRO-IDOSOS - MOPI</t>
  </si>
  <si>
    <t>03.960.066/0014-36</t>
  </si>
  <si>
    <t>Água Branca</t>
  </si>
  <si>
    <t>(11) 3672-5904</t>
  </si>
  <si>
    <t>040.1/15</t>
  </si>
  <si>
    <t>040.2/15</t>
  </si>
  <si>
    <t xml:space="preserve">ecossocial15@outlook.com </t>
  </si>
  <si>
    <t>ALEBEL CASA DE REPOUSO LTDA</t>
  </si>
  <si>
    <t>VILA DEL POZZO INSTITUIÇÃO DE LONGA PERMANÊNCIA PARA IDOSOS LTDA</t>
  </si>
  <si>
    <t>VILLA DEL POZO</t>
  </si>
  <si>
    <t>CASA VIDA – MORADIA ASSISTIDA PARA IDOSOS LTDA</t>
  </si>
  <si>
    <t>MM. MARPE CASA DE REPOUSO EIRELI</t>
  </si>
  <si>
    <t>CASA DE REPOUSO RESIDENCIAL DOS NOBRES - LTDA</t>
  </si>
  <si>
    <t>VILLA DEI FIORI - CENTRO DE CONVIVÊNCIA PARA A TERCEIRA IDADE LTDA</t>
  </si>
  <si>
    <t>PENSIONATO VOVÓ ESPERANÇA LTDA</t>
  </si>
  <si>
    <t>274.2/19</t>
  </si>
  <si>
    <t xml:space="preserve">CENTRO SOCIAL SANTO DIAS </t>
  </si>
  <si>
    <t>THIAGO BEZERRA DE OLIVEIRA</t>
  </si>
  <si>
    <t>BLT - CASA DE REPOUSO LTDA</t>
  </si>
  <si>
    <t>TERÇA DA SERRA RESIDENCIAL SENIOR TATUAPE LTDA</t>
  </si>
  <si>
    <t>525/21</t>
  </si>
  <si>
    <t>INSTITUTO SEMPRE MOVIMENTO</t>
  </si>
  <si>
    <t>34.781.115/0001-82</t>
  </si>
  <si>
    <t>Rua Vitalina Grassman, 290</t>
  </si>
  <si>
    <t xml:space="preserve">Jardim Mirante </t>
  </si>
  <si>
    <t>05801-110</t>
  </si>
  <si>
    <t>6074.2021/0002886-0</t>
  </si>
  <si>
    <t>222.1/18</t>
  </si>
  <si>
    <t>222.2/18</t>
  </si>
  <si>
    <t>www.fundacaobritanica.org.br</t>
  </si>
  <si>
    <t>isabela@fundacaobritanica.org.br</t>
  </si>
  <si>
    <t>6074.2021/0004353-3</t>
  </si>
  <si>
    <t>Rua Ferreira de Araújo, 741 - 1º andar</t>
  </si>
  <si>
    <t>3813-7080</t>
  </si>
  <si>
    <t>Rua Antonio Carlos, 653 - 5° andar</t>
  </si>
  <si>
    <t>6074.2021/0004420-3</t>
  </si>
  <si>
    <t>www.cip.org.br</t>
  </si>
  <si>
    <t>acaosocial@cip.org.br</t>
  </si>
  <si>
    <t>526/21</t>
  </si>
  <si>
    <t>ASSOCIAÇÃO COMUNITÁRIA E EDUCACIONAL MARIA DE NAZARÉ</t>
  </si>
  <si>
    <t>01.238.068/0001-76</t>
  </si>
  <si>
    <t>Rua Dinis Dias, nº 101</t>
  </si>
  <si>
    <t>03938-060</t>
  </si>
  <si>
    <t>97165-7673</t>
  </si>
  <si>
    <t>www.mariadenazare.org.br</t>
  </si>
  <si>
    <t>jubismar@gmail.com</t>
  </si>
  <si>
    <t>6074.2021/0005566-3</t>
  </si>
  <si>
    <t>527/21</t>
  </si>
  <si>
    <t>INSTITUTO BARRICHELLO</t>
  </si>
  <si>
    <t>07.672.403/0001-26</t>
  </si>
  <si>
    <t>6074.2021/0005598-1</t>
  </si>
  <si>
    <t>528/21</t>
  </si>
  <si>
    <t>6074.2021/0006001-2</t>
  </si>
  <si>
    <t>ASSOCIAÇÃO DE PAIS E AMIGOS DOS EXCEPCIONAIS DE SÃO PAULO</t>
  </si>
  <si>
    <t>60.502.242/0001-05</t>
  </si>
  <si>
    <t>529/21</t>
  </si>
  <si>
    <t>6074.2021/0006215-5</t>
  </si>
  <si>
    <t>ONG PARCEIROS VOLUNTÁRIOS</t>
  </si>
  <si>
    <t>01.704.771/0003-94</t>
  </si>
  <si>
    <t>6074.2020/0005216-6</t>
  </si>
  <si>
    <t>6074.2021/0001377-4</t>
  </si>
  <si>
    <t>6074.2021/0001373-1</t>
  </si>
  <si>
    <t>6074.2021/0000794-4</t>
  </si>
  <si>
    <t>6074.2021/0000706-5</t>
  </si>
  <si>
    <t>6074.2021/0001372-3</t>
  </si>
  <si>
    <t>6074.2021/0001367-7</t>
  </si>
  <si>
    <t>6074.2021/0000635-2</t>
  </si>
  <si>
    <t>6074.2020/0004944-0</t>
  </si>
  <si>
    <t>6074.2021/0000797-9</t>
  </si>
  <si>
    <t>6074.2021/0000800-2</t>
  </si>
  <si>
    <t>INSTITUTO GERIÁTRICO LIFE CARE EIRELI</t>
  </si>
  <si>
    <t>Rua Prof. Elias Vita, n° 83</t>
  </si>
  <si>
    <t>03124-030</t>
  </si>
  <si>
    <t>Pq. Da Mooca</t>
  </si>
  <si>
    <t>3746-8000</t>
  </si>
  <si>
    <t>www.hplifecare.com.br</t>
  </si>
  <si>
    <t>sulifecare@hotmail.com</t>
  </si>
  <si>
    <t>6074.2020/0005251-4</t>
  </si>
  <si>
    <t>530/21</t>
  </si>
  <si>
    <t>531/21</t>
  </si>
  <si>
    <t>532/21</t>
  </si>
  <si>
    <t>533/21</t>
  </si>
  <si>
    <t>ASSOCIAÇÃO AVENTURA DE CONSTRUIR</t>
  </si>
  <si>
    <t>23.417.416/0001-05</t>
  </si>
  <si>
    <t>Rua Félix Guillem, n° 37</t>
  </si>
  <si>
    <t>05069-000</t>
  </si>
  <si>
    <t>Lapa de Baixo</t>
  </si>
  <si>
    <t>3895-0592</t>
  </si>
  <si>
    <t>sustentabilidade@aventuradeconstruir.org.br</t>
  </si>
  <si>
    <t>www.aventuradeconstruir.org.br</t>
  </si>
  <si>
    <t>6074.2021/0006508-1</t>
  </si>
  <si>
    <t>ASSOCIAÇÃO CULTURAL ARTÍSTICA CINE FAVELA</t>
  </si>
  <si>
    <t>06.373.008/0001-80</t>
  </si>
  <si>
    <t>Rua do Pacificador, n° 288</t>
  </si>
  <si>
    <t>04235-025</t>
  </si>
  <si>
    <t>Cidade Nova Heliópolis</t>
  </si>
  <si>
    <t>www.cinefavela.org.br</t>
  </si>
  <si>
    <t>6074.2021/0006538-3</t>
  </si>
  <si>
    <t>ASSOCIAÇÃO ATADOS</t>
  </si>
  <si>
    <t>18.110.558/0001-95</t>
  </si>
  <si>
    <t>05422-001</t>
  </si>
  <si>
    <t>www.atados.com.br</t>
  </si>
  <si>
    <t>6074.2021/0007257-6</t>
  </si>
  <si>
    <t>ASSOCIAÇÃO BRASILEIRA DE APOIO À TERCEIRA IDADE - ABRATI</t>
  </si>
  <si>
    <t>ABRATI</t>
  </si>
  <si>
    <t>6074.2021/0000536-4</t>
  </si>
  <si>
    <t>6074.2021/0001334-0</t>
  </si>
  <si>
    <t>10.589.848/0001-51</t>
  </si>
  <si>
    <t>presidente@inforedes.org</t>
  </si>
  <si>
    <t>6074.2021/0000796-0</t>
  </si>
  <si>
    <t>juridico@abrigobezerrademenezes.org.br</t>
  </si>
  <si>
    <t>e.aribeiro@yahoo.com</t>
  </si>
  <si>
    <t>02713-005</t>
  </si>
  <si>
    <t>Rua itabira, nº 154</t>
  </si>
  <si>
    <t>revivernci@gmail.com</t>
  </si>
  <si>
    <t>Rua Geraldo Marino, 94</t>
  </si>
  <si>
    <t>02856-040</t>
  </si>
  <si>
    <t>Jardim Princesa</t>
  </si>
  <si>
    <t>nci.saopatricio@gmail.com</t>
  </si>
  <si>
    <t>01250-050</t>
  </si>
  <si>
    <t>luminaresidencial@hotmail.com</t>
  </si>
  <si>
    <t>Jardim Anália Franco</t>
  </si>
  <si>
    <t>02352-150</t>
  </si>
  <si>
    <t>Bortolândia</t>
  </si>
  <si>
    <t>Rua Teresa Bertolo, nº 71</t>
  </si>
  <si>
    <t>6074.2021/0002220-0</t>
  </si>
  <si>
    <t>www.abriqoozanam.org.br</t>
  </si>
  <si>
    <t>02376-040</t>
  </si>
  <si>
    <t>534/21</t>
  </si>
  <si>
    <t>02.620.604/0001-66</t>
  </si>
  <si>
    <t>ASSOCIAÇÃO COMUNITÁRIA DE SÃO MATEUS</t>
  </si>
  <si>
    <t>Rua Doutor Antonio Vicente de Azevedo, 127A</t>
  </si>
  <si>
    <t>02850-030</t>
  </si>
  <si>
    <t>Parque Belem</t>
  </si>
  <si>
    <t>www.ascom.org.br</t>
  </si>
  <si>
    <t>6074.2021/0002223-4</t>
  </si>
  <si>
    <t>535/21</t>
  </si>
  <si>
    <t>6074.2021/0002811-9</t>
  </si>
  <si>
    <t>40.477.743/0001-71</t>
  </si>
  <si>
    <t>CASA DE REPOUSO BRIGADEIRO LTDA</t>
  </si>
  <si>
    <t>Rua Brigadeiro Gavião Peixoto, 1.128</t>
  </si>
  <si>
    <t>05.078-000</t>
  </si>
  <si>
    <t>(11) 3294-5159</t>
  </si>
  <si>
    <t>casaderepousobrigadeiro@gmail.com</t>
  </si>
  <si>
    <t>CENTRO SOCIAL BOM JESUS DE CANGAIBA</t>
  </si>
  <si>
    <t>43.384.635/0001-42</t>
  </si>
  <si>
    <t>6074.2021/0002224-2</t>
  </si>
  <si>
    <t>Rua Frei Ricardo Pilar, 198</t>
  </si>
  <si>
    <t>03.721-080</t>
  </si>
  <si>
    <t>Cangaiba</t>
  </si>
  <si>
    <t>centrosocialbomjesus@ig.com.br</t>
  </si>
  <si>
    <t>Rua Pedreira de Magalhães, 100</t>
  </si>
  <si>
    <t>03.568-040</t>
  </si>
  <si>
    <t>Artur Alvim</t>
  </si>
  <si>
    <t>Rua José Adorno, 58</t>
  </si>
  <si>
    <t>03.714-020</t>
  </si>
  <si>
    <t>Rua Vicente Souza de Barros, 195</t>
  </si>
  <si>
    <t>03.732-070</t>
  </si>
  <si>
    <t>Rua Oti, 17</t>
  </si>
  <si>
    <t>03.657-050</t>
  </si>
  <si>
    <t>www.centrosocialbomjesus.org.br</t>
  </si>
  <si>
    <t>(11) 3796-1367</t>
  </si>
  <si>
    <t>(11) 2254-8793</t>
  </si>
  <si>
    <t>(11) 99914-9527</t>
  </si>
  <si>
    <t>(11) 99978-1357</t>
  </si>
  <si>
    <t>Rua Goma de Olibano, 270</t>
  </si>
  <si>
    <t>03.725-060</t>
  </si>
  <si>
    <t>Engenheiro Goulart</t>
  </si>
  <si>
    <t>(11) 98770-8244</t>
  </si>
  <si>
    <t>(11) 99387-2976</t>
  </si>
  <si>
    <t>6074.2021/0002597-7</t>
  </si>
  <si>
    <t>(11) 3805-7453</t>
  </si>
  <si>
    <t>Rua Agulha, 21</t>
  </si>
  <si>
    <t>66.864.638/0001-89</t>
  </si>
  <si>
    <t>6074.2021/0001896-2</t>
  </si>
  <si>
    <t>Avenida Paulo Guilguer Reimberg, 3445</t>
  </si>
  <si>
    <t>6074.2021/0002812-7</t>
  </si>
  <si>
    <t>Rua Professor Guilherme Belfort Sabino, 715</t>
  </si>
  <si>
    <t>04.678-001</t>
  </si>
  <si>
    <t>Campo Grande</t>
  </si>
  <si>
    <t>(11) 5632-1748</t>
  </si>
  <si>
    <t>gaia@grupogaia.org.br</t>
  </si>
  <si>
    <t>www.grupogaia.org.br</t>
  </si>
  <si>
    <t>536.1/21</t>
  </si>
  <si>
    <t>536.2/21</t>
  </si>
  <si>
    <t>536.3/21</t>
  </si>
  <si>
    <t>536.4/21</t>
  </si>
  <si>
    <t>536.5/21</t>
  </si>
  <si>
    <t>536.6/21</t>
  </si>
  <si>
    <t>537/21</t>
  </si>
  <si>
    <t>538/21</t>
  </si>
  <si>
    <t>Rua Professor Benedito Alarico de Castro Borelli, 174</t>
  </si>
  <si>
    <t>Parque São Domingos</t>
  </si>
  <si>
    <t>(11) 3645-0602</t>
  </si>
  <si>
    <t>www.amorfraternal.com.br</t>
  </si>
  <si>
    <t>6074.2021/0002815-1</t>
  </si>
  <si>
    <t>6074.2021/0002882-8</t>
  </si>
  <si>
    <t>Rua Geraldo Amorim, 78</t>
  </si>
  <si>
    <t>Jardim Bonfiglioli</t>
  </si>
  <si>
    <t>(11) 3733-6675</t>
  </si>
  <si>
    <t>6074.2021/0001804-0</t>
  </si>
  <si>
    <t>RESIDENCIAL FLOR DE LIZ SÊNIOR LTDA</t>
  </si>
  <si>
    <t>29.842.560/0001-75</t>
  </si>
  <si>
    <t>Rua Rocha Lima, 786</t>
  </si>
  <si>
    <t>02.554-010</t>
  </si>
  <si>
    <t>Vila Diva Bairro do Limão</t>
  </si>
  <si>
    <t>(11) 2952-1987</t>
  </si>
  <si>
    <t>flordeliz.cristiani@gmail.com / flordeliz.renan@gmail.com / flordeliz.doris@gmail.com</t>
  </si>
  <si>
    <t>A.C BENTO CLÍNICA DE LONGA PERMANÊNCIA</t>
  </si>
  <si>
    <t>539/21</t>
  </si>
  <si>
    <t>6074.2021/0002849-6</t>
  </si>
  <si>
    <t>38.169.143/0001-02</t>
  </si>
  <si>
    <t>Cidade São Mateus</t>
  </si>
  <si>
    <t>(11) 94545-2474</t>
  </si>
  <si>
    <t>residencialvovocatarina@gmail.com</t>
  </si>
  <si>
    <t>www.residencialvovocatarina.com.br</t>
  </si>
  <si>
    <t>6074.2021/0002847-0</t>
  </si>
  <si>
    <t>Rua Clara Camarão, 222</t>
  </si>
  <si>
    <t>Santa Teresinha</t>
  </si>
  <si>
    <t>(11) 97029-1606</t>
  </si>
  <si>
    <t>www.safecaresp.com.br</t>
  </si>
  <si>
    <t>540.1/21</t>
  </si>
  <si>
    <t>540.2/21</t>
  </si>
  <si>
    <t>540.3/21</t>
  </si>
  <si>
    <t>UNIÃO POPULAR DE MULHERES DE CAMPO LIMPO E ADJACÊNCIAS</t>
  </si>
  <si>
    <t>57.395.741/0001-36</t>
  </si>
  <si>
    <t>Rua Martinho Vaz de Barros, 538</t>
  </si>
  <si>
    <t>(11) 2532-0926</t>
  </si>
  <si>
    <t>6074.2021/0001799-0</t>
  </si>
  <si>
    <t>Rua Monsenhor Luis Gonzaga de Almeida, 546</t>
  </si>
  <si>
    <t>Jardim Campo Limpo</t>
  </si>
  <si>
    <t>(11) 5843-8051</t>
  </si>
  <si>
    <t>Rua Maria Blanchard, 248</t>
  </si>
  <si>
    <t>(11) 2507-7176</t>
  </si>
  <si>
    <t>uniaopopmulheres@hotmail.com</t>
  </si>
  <si>
    <t>541/21</t>
  </si>
  <si>
    <t>19.693.197/0001-10</t>
  </si>
  <si>
    <t>BEM ESTAR CUIDADORES DE IDOSOS LTDA</t>
  </si>
  <si>
    <t>Rua Professor Benedito Alarico de Castro Borelli, 214</t>
  </si>
  <si>
    <t>rrenatolucio@yahoo.com.br</t>
  </si>
  <si>
    <t>6074.2021/0003499-2</t>
  </si>
  <si>
    <t>6074.2021/0004088-7</t>
  </si>
  <si>
    <t>Rua Cardoso de Almeida, 1717</t>
  </si>
  <si>
    <t>(11) 3672-2591</t>
  </si>
  <si>
    <t>542/21</t>
  </si>
  <si>
    <t>35.626.580/0001-01</t>
  </si>
  <si>
    <t>Rua Mateus Mendes Pereira, 811</t>
  </si>
  <si>
    <t>08.275-010</t>
  </si>
  <si>
    <t>Jardim Nossa Senhora do Carmo</t>
  </si>
  <si>
    <t>(11) 2361-7257 e (11) 93226-9378</t>
  </si>
  <si>
    <t>contato@florescersenior.com.br</t>
  </si>
  <si>
    <t>www.florescersenior.com.br</t>
  </si>
  <si>
    <t>6074.2021/0003208-6</t>
  </si>
  <si>
    <t>Rua Antonio Furlan Júnior, 15</t>
  </si>
  <si>
    <t>Vila São Pedro</t>
  </si>
  <si>
    <t>(11) 4564-2050</t>
  </si>
  <si>
    <t>www.rsantacruz.com.br</t>
  </si>
  <si>
    <t>6074.2021/0003207-8</t>
  </si>
  <si>
    <t>6074.2021/0002951-4</t>
  </si>
  <si>
    <t>Rua Coronel Lisboa, 139</t>
  </si>
  <si>
    <t>(11) 2151-7003</t>
  </si>
  <si>
    <t>juridicofiscal@einstein.br</t>
  </si>
  <si>
    <t>543/21</t>
  </si>
  <si>
    <t>29.498.360/0001-47</t>
  </si>
  <si>
    <t>Rua Otto Bender, 152</t>
  </si>
  <si>
    <t>casarepouso@gmail.com</t>
  </si>
  <si>
    <t>www.casaderepousogirassois.com.br</t>
  </si>
  <si>
    <t>6074.2021/0003209-4</t>
  </si>
  <si>
    <t>13.640.054/0001-63</t>
  </si>
  <si>
    <t>544/21</t>
  </si>
  <si>
    <t>6074.2021/0003466-6</t>
  </si>
  <si>
    <t>Vila Parque Jabaquara</t>
  </si>
  <si>
    <t>6074.2021/0003388-0</t>
  </si>
  <si>
    <t>Rua Paulo Maldi, 397</t>
  </si>
  <si>
    <t>02.303-050</t>
  </si>
  <si>
    <t>(11) 97034-5734</t>
  </si>
  <si>
    <t>www.larbellabento.com.br</t>
  </si>
  <si>
    <t>32.814.431/0001-88</t>
  </si>
  <si>
    <t>545/21</t>
  </si>
  <si>
    <t>6074.2021/0003606-5</t>
  </si>
  <si>
    <t>Rua Dona Olimpia Zamitti Mamanna, 53</t>
  </si>
  <si>
    <t>Vila Vitório Mazzei</t>
  </si>
  <si>
    <t>(11) 3467-2352</t>
  </si>
  <si>
    <t>resilunamouras@gmail.com</t>
  </si>
  <si>
    <t>Rua Capitão José Leite, 361</t>
  </si>
  <si>
    <t xml:space="preserve"> 03.510-010</t>
  </si>
  <si>
    <t>(11) 2338-0686</t>
  </si>
  <si>
    <t>www.casaderepousonavilamatilde.com.br</t>
  </si>
  <si>
    <t>6074.2021/0003841-6</t>
  </si>
  <si>
    <t>6074.2021/0003460-7</t>
  </si>
  <si>
    <t>Rua Edmundo Scannapieco, 100</t>
  </si>
  <si>
    <t>Jardim Caxingui</t>
  </si>
  <si>
    <t>www.recantodasflores-sp.com.br</t>
  </si>
  <si>
    <t>Rua Brigadeiro Xavier de Brito, 335</t>
  </si>
  <si>
    <t>Casa Verde</t>
  </si>
  <si>
    <t>6074.2021/0003392-9</t>
  </si>
  <si>
    <t>21.917.680/0001-82</t>
  </si>
  <si>
    <t>546/21</t>
  </si>
  <si>
    <t>CASA DE REPOUSO VÓ MINDA LTDA</t>
  </si>
  <si>
    <t>Avenida Agenor Couto de Magalhães, 1311</t>
  </si>
  <si>
    <t>05.174-000</t>
  </si>
  <si>
    <t>Jardim Regina</t>
  </si>
  <si>
    <t>(11) 2679-0005 e (11) 98048-9653</t>
  </si>
  <si>
    <t>6074.2021/0004933-7</t>
  </si>
  <si>
    <t>547/21</t>
  </si>
  <si>
    <t>MENDES BORDIM RESIDENCIAL LTDA</t>
  </si>
  <si>
    <t>6074.2021/0004089-5</t>
  </si>
  <si>
    <t>39.602.770/0001-40</t>
  </si>
  <si>
    <t>Rua Décio Reis, 510</t>
  </si>
  <si>
    <t>(11) 3814-8380</t>
  </si>
  <si>
    <t>www.casaderepousopordosol.com.br</t>
  </si>
  <si>
    <t>Rua Doutor Fontes de Rezende, 380</t>
  </si>
  <si>
    <t>Vila Dalila</t>
  </si>
  <si>
    <t>6074.2021/0004923-0</t>
  </si>
  <si>
    <t>34.054.706/0001-58</t>
  </si>
  <si>
    <t>548/21</t>
  </si>
  <si>
    <t>NEUZA BRAGA RODRIGUES 14320180860</t>
  </si>
  <si>
    <t>Rua Romão Boeta, 155</t>
  </si>
  <si>
    <t>04.883-230</t>
  </si>
  <si>
    <t>Jardim Aladim</t>
  </si>
  <si>
    <t>(11) 99759-3838 e (11) 97272-7799</t>
  </si>
  <si>
    <t>allegroidosos@gmail.com</t>
  </si>
  <si>
    <t>6074.2021/0004932-9</t>
  </si>
  <si>
    <t>549/21</t>
  </si>
  <si>
    <t>34.823.769/0001-21</t>
  </si>
  <si>
    <t>CASA DE REPOUSO EMANUEL LTDA</t>
  </si>
  <si>
    <t>Rua Coronel Osvaldo Pereira de Carvalho, 146</t>
  </si>
  <si>
    <t>03.707-010</t>
  </si>
  <si>
    <t>Vila Santo Henrique</t>
  </si>
  <si>
    <t>(11) 2642-4181</t>
  </si>
  <si>
    <t>www.residencialemanuel.com.br</t>
  </si>
  <si>
    <t>6074.2021/0004930-2</t>
  </si>
  <si>
    <t>6074.2021/0003909-9</t>
  </si>
  <si>
    <t>Avenida Vereador José Diniz, 262</t>
  </si>
  <si>
    <t>www.residencialmelhoridade.com.br</t>
  </si>
  <si>
    <t>VIVA MELHOR CUIDADOS PARA TERCEIRA IDADE LTDA</t>
  </si>
  <si>
    <t>Rua Engenheiro Luis Antonio Rantin Moutinho, 423</t>
  </si>
  <si>
    <t>03.672-010</t>
  </si>
  <si>
    <t>Jardim Popular</t>
  </si>
  <si>
    <t>(11) 4323-4514</t>
  </si>
  <si>
    <t>www.residencialvivamelhor.com.br</t>
  </si>
  <si>
    <t>6074.2021/0004354-1</t>
  </si>
  <si>
    <t>Avenida Manuel Augusto de Alvarenga, 143/155</t>
  </si>
  <si>
    <t>04.402-050</t>
  </si>
  <si>
    <t>Vila Marari</t>
  </si>
  <si>
    <t>(11) 2659-3729</t>
  </si>
  <si>
    <t>www.abecal.org.br</t>
  </si>
  <si>
    <t>6074.2021/0005294-0</t>
  </si>
  <si>
    <t>550/21</t>
  </si>
  <si>
    <t>ASSOCIAÇÃO BENEFICENTE SANTO ANTÔNIO DE PÁDUA</t>
  </si>
  <si>
    <t>07.130.386/0001-03</t>
  </si>
  <si>
    <t>Rua Pangauá, 1091</t>
  </si>
  <si>
    <t>03.665-010</t>
  </si>
  <si>
    <t>(11) 2743-6375</t>
  </si>
  <si>
    <t>hotelzinhoidosos@hotmail.com</t>
  </si>
  <si>
    <t>6074.2021/0005600-7</t>
  </si>
  <si>
    <t>61.054.698/0001-12</t>
  </si>
  <si>
    <t>551/21</t>
  </si>
  <si>
    <t>www.casadacriancasantoamaro.org.br</t>
  </si>
  <si>
    <t>CASA DA CRIANÇA E DO ADOLESCENTE DE SANTO AMARO/ GOSSARL</t>
  </si>
  <si>
    <t>Rua Padre Chico, 320</t>
  </si>
  <si>
    <t>04.747-090</t>
  </si>
  <si>
    <t>(11) 3624-2660</t>
  </si>
  <si>
    <t>administracao@casadacriancasantoamaro.org.br</t>
  </si>
  <si>
    <t>6074.2021/0006007-1</t>
  </si>
  <si>
    <t>Rua Croata, 30</t>
  </si>
  <si>
    <t>05.056-020</t>
  </si>
  <si>
    <t>(11) 3862-4391</t>
  </si>
  <si>
    <t>valsantos57@hotmail.com</t>
  </si>
  <si>
    <t>6074.2021/0005596-5</t>
  </si>
  <si>
    <t>Rua Doutor Candido Espinheira, 412</t>
  </si>
  <si>
    <t>www.casaderepousoemfamilia.com.br</t>
  </si>
  <si>
    <t>6074.2021/0006254-6</t>
  </si>
  <si>
    <t>6074.2021/0006003-9</t>
  </si>
  <si>
    <t>(11) 3812-0656</t>
  </si>
  <si>
    <t>Vila Madalena</t>
  </si>
  <si>
    <t>Rua dos Macunis, 166</t>
  </si>
  <si>
    <t>38.948.102/0001-06</t>
  </si>
  <si>
    <t>552/21</t>
  </si>
  <si>
    <t>LV RESIDENCIAL SENIOR LTDA</t>
  </si>
  <si>
    <t>Rua Engenheiro Pegado, 205</t>
  </si>
  <si>
    <t>lvresidencialsenior@gmail.com</t>
  </si>
  <si>
    <t>6074.2021/0006050-0</t>
  </si>
  <si>
    <t>31.281.494/0001-53</t>
  </si>
  <si>
    <t>553/21</t>
  </si>
  <si>
    <t>RESIDENCIAL MAE TERESA LTDA</t>
  </si>
  <si>
    <t>Rua Itanhanga, 575</t>
  </si>
  <si>
    <t>02.342-110</t>
  </si>
  <si>
    <t>(11) 3294-4253 e (11) 97482-4508</t>
  </si>
  <si>
    <t>residencialmaeteresa@gmail.com</t>
  </si>
  <si>
    <t>6074.2021/0005296-6</t>
  </si>
  <si>
    <t>33.489.187/0001-98</t>
  </si>
  <si>
    <t>554/21</t>
  </si>
  <si>
    <t>Rua Tirana, 140</t>
  </si>
  <si>
    <t>03.359-110</t>
  </si>
  <si>
    <t>Vila Formosa</t>
  </si>
  <si>
    <t>qualitylive1@gmail.com</t>
  </si>
  <si>
    <t>www.qualidadedeviver.com.br</t>
  </si>
  <si>
    <t>6074.2021/0005897-2</t>
  </si>
  <si>
    <t>11.160.377/0001-24</t>
  </si>
  <si>
    <t>RESIDENCIAL COLINAS DE SÃO FRANCISCO LTDA</t>
  </si>
  <si>
    <t>555/21</t>
  </si>
  <si>
    <t>Rua Brigadeiro Gavião Peixoto, 888</t>
  </si>
  <si>
    <t>(11) 3589-1890 e (11) 99973-5313</t>
  </si>
  <si>
    <t>residencialcolinassaofrancisco@gmail.com</t>
  </si>
  <si>
    <t>6074.2021/0005322-9</t>
  </si>
  <si>
    <t>Rua Ovidor Portugal, 131</t>
  </si>
  <si>
    <t>01.551-000</t>
  </si>
  <si>
    <t>(11) 2293-2855</t>
  </si>
  <si>
    <t>residencialharmony@outlook..com</t>
  </si>
  <si>
    <t>www.casaderepousonoipiranga.com.br</t>
  </si>
  <si>
    <t>6074.2021/0005599-0</t>
  </si>
  <si>
    <t>40.883.655/0001-70</t>
  </si>
  <si>
    <t>556/21</t>
  </si>
  <si>
    <t>RESIDENCIAL PARA IDOSOS CASA DE PAZ LTDA</t>
  </si>
  <si>
    <t>(11) 98621-0073</t>
  </si>
  <si>
    <t>residencialcasadepaz@gmail.com</t>
  </si>
  <si>
    <t>31.139.609/0001-70</t>
  </si>
  <si>
    <t>Rua Doutor Argemiro Couto de Barros, 123</t>
  </si>
  <si>
    <t>05.142-040</t>
  </si>
  <si>
    <t>Chacará Inglesa</t>
  </si>
  <si>
    <t>(11) 2538-9761 e (11) 94246-0003</t>
  </si>
  <si>
    <t>AUTA P. DOS S. - RESIDENCIAL PARA IDOSOS, SAÚDE E BEM ESTAR</t>
  </si>
  <si>
    <t>557/21</t>
  </si>
  <si>
    <t>6074.2021/0005717-8</t>
  </si>
  <si>
    <t>residencialidosos@hotmail.com /auta.pereira@yahoo.com.br / celso.batistaoliveira@outlook.com</t>
  </si>
  <si>
    <t>6074.2021/0005874-3</t>
  </si>
  <si>
    <t>Rua Professor Frontino Guimarães, 245</t>
  </si>
  <si>
    <t>6074.2021/0005298-2</t>
  </si>
  <si>
    <t>40.190.377/0001-75</t>
  </si>
  <si>
    <t>558/21</t>
  </si>
  <si>
    <t>JANDEILZA MARIA DA SILVA SANTOS</t>
  </si>
  <si>
    <t>Rua Leão XII, 521</t>
  </si>
  <si>
    <t>02.526-000</t>
  </si>
  <si>
    <t>Jardim São Bento</t>
  </si>
  <si>
    <t>(11) 2239-1618</t>
  </si>
  <si>
    <t>luciana.1506@hotmail.com</t>
  </si>
  <si>
    <t>6074.2021/0005297-4</t>
  </si>
  <si>
    <t>60.765.823/0008-06</t>
  </si>
  <si>
    <t>57.035.933/0007-27</t>
  </si>
  <si>
    <t>559/21</t>
  </si>
  <si>
    <t>6074.2021/0007587-7</t>
  </si>
  <si>
    <t>R. Joaquim Nabuco, 513</t>
  </si>
  <si>
    <t>08.745.680/0001-84</t>
  </si>
  <si>
    <t>04621-000</t>
  </si>
  <si>
    <t>projetos@institutoolgakos.org.br</t>
  </si>
  <si>
    <t>www.institutoolgakos.org.br</t>
  </si>
  <si>
    <t>(11) 5542-6072</t>
  </si>
  <si>
    <t>6074.2021/0007632-6</t>
  </si>
  <si>
    <t>10.288.958/0001-83</t>
  </si>
  <si>
    <t>11 3535-0151</t>
  </si>
  <si>
    <t>abrati@abrati.org</t>
  </si>
  <si>
    <t>www.abrati.org</t>
  </si>
  <si>
    <t>560/21</t>
  </si>
  <si>
    <t>07.466.217/0001-30</t>
  </si>
  <si>
    <t>ITI - INSTITUTO TECNOLÓGICO INOVAÇÃO</t>
  </si>
  <si>
    <t>Rua Taquari, 549</t>
  </si>
  <si>
    <t>03166-000</t>
  </si>
  <si>
    <t>(11) 3251-1399 e (11) 2532-1260</t>
  </si>
  <si>
    <t>www.itinovacao.org.br</t>
  </si>
  <si>
    <t>s.alakaki@itinovacao.org.br</t>
  </si>
  <si>
    <t>6074.2021/0008083-8</t>
  </si>
  <si>
    <t>CASA DE REPOUSO MORADA DO SOL LTDA</t>
  </si>
  <si>
    <t>mara_vieira73@yahoo.com.br</t>
  </si>
  <si>
    <t>Não possui</t>
  </si>
  <si>
    <t>SOCIEDADE BENEFICENTE ISRAELITA BRASILEIRA HOSPITAL ALBERT EINSTEIN</t>
  </si>
  <si>
    <t>CASA DE REPOUSO CAPRICHO LTDA</t>
  </si>
  <si>
    <t>6074.2021/0006670-3</t>
  </si>
  <si>
    <t>Vila Ema</t>
  </si>
  <si>
    <t>24.090.655/0001-66</t>
  </si>
  <si>
    <t>CASA DE REPOUSO RESIDENCIAL CANAÃ EIRELI</t>
  </si>
  <si>
    <t>Rua Silveira Bueno, 3</t>
  </si>
  <si>
    <t>03.442-050</t>
  </si>
  <si>
    <t>(11) 2589-2015</t>
  </si>
  <si>
    <t>canaaresidencial@gmail.com</t>
  </si>
  <si>
    <t>6074.2021/0006507-3</t>
  </si>
  <si>
    <t>561/22</t>
  </si>
  <si>
    <t>24.846.326/0001-00</t>
  </si>
  <si>
    <t>Rua Souza Lopes, 89</t>
  </si>
  <si>
    <t>casaderepousovocoralia@gmail.com</t>
  </si>
  <si>
    <t>www.casaderepousovocoralia.com.br</t>
  </si>
  <si>
    <t>6074.2021/0006433-6</t>
  </si>
  <si>
    <t>Rua Correia Salgado, 224</t>
  </si>
  <si>
    <t>(11) 2273-6886</t>
  </si>
  <si>
    <t>6074.2021/0006387-9</t>
  </si>
  <si>
    <t>MARLENE DE FÁTIMA MENDES</t>
  </si>
  <si>
    <t>Rua Décio Reis, 492</t>
  </si>
  <si>
    <t>(11) 3814-6643</t>
  </si>
  <si>
    <t>6074.2021/0008537-6</t>
  </si>
  <si>
    <t>562/22</t>
  </si>
  <si>
    <t>563/22</t>
  </si>
  <si>
    <t>564/22</t>
  </si>
  <si>
    <t>HORIZONTE INSTITUIÇÃO DE LONGA PERMANÊNCIA PARA IDOSOS LTDA</t>
  </si>
  <si>
    <t>19.435.047/0001-06</t>
  </si>
  <si>
    <t>Rua Verbo Divino, 652</t>
  </si>
  <si>
    <t>(11) 2367-0652</t>
  </si>
  <si>
    <t>contato2@residencialhorizonte.com.br</t>
  </si>
  <si>
    <t>6074.2021/0006470-0</t>
  </si>
  <si>
    <t>EDNA DE OLIVEIRA GUERRA</t>
  </si>
  <si>
    <t>11.209.788/0001-67</t>
  </si>
  <si>
    <t>Parque Mandaqui</t>
  </si>
  <si>
    <t>ednaguerra09@yahoo.com.br</t>
  </si>
  <si>
    <t>www.vovolourdes.com.br</t>
  </si>
  <si>
    <t>6074.2021/0006744-0</t>
  </si>
  <si>
    <t>34.026.694/0001-58</t>
  </si>
  <si>
    <t>Jardim Brasília</t>
  </si>
  <si>
    <t>(11) 2217-1050</t>
  </si>
  <si>
    <t>rj14speiar@gmail.com</t>
  </si>
  <si>
    <t>6074.2021/0006436-0</t>
  </si>
  <si>
    <t>565/22</t>
  </si>
  <si>
    <t>566/22</t>
  </si>
  <si>
    <t>568/22</t>
  </si>
  <si>
    <t>569/22</t>
  </si>
  <si>
    <t>570/22</t>
  </si>
  <si>
    <t>571/22</t>
  </si>
  <si>
    <t>572/22</t>
  </si>
  <si>
    <t>573/22</t>
  </si>
  <si>
    <t>574/22</t>
  </si>
  <si>
    <t>575/22</t>
  </si>
  <si>
    <t>576/22</t>
  </si>
  <si>
    <t>577/22</t>
  </si>
  <si>
    <t>578/22</t>
  </si>
  <si>
    <t>579/22</t>
  </si>
  <si>
    <t>580/22</t>
  </si>
  <si>
    <t>581/22</t>
  </si>
  <si>
    <t>582/22</t>
  </si>
  <si>
    <t>583/22</t>
  </si>
  <si>
    <t>584/22</t>
  </si>
  <si>
    <t>585/22</t>
  </si>
  <si>
    <t>586/22</t>
  </si>
  <si>
    <t>587/22</t>
  </si>
  <si>
    <t>588/22</t>
  </si>
  <si>
    <t>589/22</t>
  </si>
  <si>
    <t>ABRIGO DE IDOSOS CAPRICHO LTDA</t>
  </si>
  <si>
    <t>Jaçanã</t>
  </si>
  <si>
    <t>(11) 2201-1416</t>
  </si>
  <si>
    <t>Rua das Oiticas, 600</t>
  </si>
  <si>
    <t>www.casaderepousoanjogabriel.com.br</t>
  </si>
  <si>
    <t>6074.2021/0007499-4</t>
  </si>
  <si>
    <t>33.076.567/0001-09</t>
  </si>
  <si>
    <t>Rua Professor Alves Pedroso, 393</t>
  </si>
  <si>
    <t>03.721-010</t>
  </si>
  <si>
    <t>Cangaíba</t>
  </si>
  <si>
    <t>(11) 98792-6805</t>
  </si>
  <si>
    <t>magdasilvasantossilva@gmail.com</t>
  </si>
  <si>
    <t>6074.2021/0007427-7</t>
  </si>
  <si>
    <t>03.841.493/0002-61</t>
  </si>
  <si>
    <t>INSTITUTO SOCIAL SANTA LÚCIA</t>
  </si>
  <si>
    <t>Rua Antônio Vera Cruz, 213</t>
  </si>
  <si>
    <t>02.555-010</t>
  </si>
  <si>
    <t>(11) 2384-4125</t>
  </si>
  <si>
    <t>caeicasaverde@santaluciasp.org</t>
  </si>
  <si>
    <t>www.santaluciasp.org</t>
  </si>
  <si>
    <t>6074.2021/0007360-2</t>
  </si>
  <si>
    <t>567.1/22</t>
  </si>
  <si>
    <t>567.2/22</t>
  </si>
  <si>
    <t>CENTRO DE APOIO COMUNITÁRIO DE PERUS</t>
  </si>
  <si>
    <t>01.314.935/0001-05</t>
  </si>
  <si>
    <t>Rua Julio Maciel, 336, 2º andar</t>
  </si>
  <si>
    <t>(11) 3918-6566</t>
  </si>
  <si>
    <t>sergio@cacp.com.br</t>
  </si>
  <si>
    <t>www.cacp.com.br</t>
  </si>
  <si>
    <t>6074.2021/0007399-8</t>
  </si>
  <si>
    <t>01.314.935/0011-87</t>
  </si>
  <si>
    <t>Rua Antônio Paranhos, 22</t>
  </si>
  <si>
    <t>6074.2021/0007472-2</t>
  </si>
  <si>
    <t>CONFEDERAÇÃO DE INTEGRANTES BENEFICENTES DE PROJETOS E OBRAS SOCIAIS AO CIDADÃO EM VUNERABILIDADE E MINORIAS</t>
  </si>
  <si>
    <t>57.860.686/0001-08</t>
  </si>
  <si>
    <t>CIBOC</t>
  </si>
  <si>
    <t>Estrada da Ponte Alta, 2501</t>
  </si>
  <si>
    <t>04.891-270</t>
  </si>
  <si>
    <t>Jardim dos Eucaliptos</t>
  </si>
  <si>
    <t>(11) 2504-8542</t>
  </si>
  <si>
    <t>cibocsocial@gmail.com</t>
  </si>
  <si>
    <t>083.2/16</t>
  </si>
  <si>
    <t>083.1/16</t>
  </si>
  <si>
    <t>CASA DE REPOUSO RECANTO DOS IDOSOS SÃO JOSÉ LTDA</t>
  </si>
  <si>
    <t>Rua Nova Brasília, 510</t>
  </si>
  <si>
    <t>03.924-040</t>
  </si>
  <si>
    <t>Jardim Grimaldi</t>
  </si>
  <si>
    <t>(11) 2143-4333</t>
  </si>
  <si>
    <t>www.casaderepousosaojose.com.br</t>
  </si>
  <si>
    <t>6074.2021/0006983-4</t>
  </si>
  <si>
    <t>67.808.857/0002-94</t>
  </si>
  <si>
    <t>Rua Doutor Armillo, 77</t>
  </si>
  <si>
    <t>03.269-140</t>
  </si>
  <si>
    <t>Vila Tolstoi</t>
  </si>
  <si>
    <t>(11) 2269-6929</t>
  </si>
  <si>
    <t>adm.residencialsaojose2@gmail.com</t>
  </si>
  <si>
    <t>Rua Jorge dos Santos, 215B</t>
  </si>
  <si>
    <t>08.111-120</t>
  </si>
  <si>
    <t>Jardim Oliveiras</t>
  </si>
  <si>
    <t>www.casaderepousolacoseternos.com.br</t>
  </si>
  <si>
    <t>6074.2021/0007467-6</t>
  </si>
  <si>
    <t>6074.2021/0008406-0</t>
  </si>
  <si>
    <t>CASA DE REPOUSO AMOREVITTA LTDA</t>
  </si>
  <si>
    <t>Rua Professor Rodolfo São Tiago, 164</t>
  </si>
  <si>
    <t>03.059-050</t>
  </si>
  <si>
    <t>(11) 2361-0651</t>
  </si>
  <si>
    <t>CLÍNICA RESIDENCIAL PARA IDOSOS SECANECHIA LTDA</t>
  </si>
  <si>
    <t>43.097.246/0001-36</t>
  </si>
  <si>
    <t>Rua Padre Leonel França, 606</t>
  </si>
  <si>
    <t>06.152-070</t>
  </si>
  <si>
    <t>Vila Libanesa</t>
  </si>
  <si>
    <t>(11) 2084-3514</t>
  </si>
  <si>
    <t>contato@saene.com.br</t>
  </si>
  <si>
    <t>www.saene.com.br</t>
  </si>
  <si>
    <t>6074.2021/0007439-0</t>
  </si>
  <si>
    <t>31.110.892/0001-07</t>
  </si>
  <si>
    <t xml:space="preserve">(11) 5183-2874 </t>
  </si>
  <si>
    <t>6074.2021/0007608-3</t>
  </si>
  <si>
    <t>RESIDENCIAL TERCEIRA IDADE - SANTO ANTÔNIO</t>
  </si>
  <si>
    <t>31.739.701/0001-70</t>
  </si>
  <si>
    <t>Rua Verbo Divino, 596</t>
  </si>
  <si>
    <t>(11) 5183-2874</t>
  </si>
  <si>
    <t>29.780.243/0001-71</t>
  </si>
  <si>
    <t>6074.2021/0007633-4</t>
  </si>
  <si>
    <t>Rua Francisco Arcuri, 149</t>
  </si>
  <si>
    <t>02.650-010</t>
  </si>
  <si>
    <t>Jardim Peri</t>
  </si>
  <si>
    <t>(11) 2258-4404</t>
  </si>
  <si>
    <t>mcaridade@outlook.com</t>
  </si>
  <si>
    <t>TÂNIA MARA RODRIGUES</t>
  </si>
  <si>
    <t>27.241.037/0001-68</t>
  </si>
  <si>
    <t>Rua Diogo de Quadros, 216</t>
  </si>
  <si>
    <t>04.710-010</t>
  </si>
  <si>
    <t>(11) 2936-0573</t>
  </si>
  <si>
    <t>enfermagem@jardinshermom.com.br</t>
  </si>
  <si>
    <t>www.jardinshermom.com.br</t>
  </si>
  <si>
    <t>6074.2021/0007362-9</t>
  </si>
  <si>
    <t>RESIDENCIAL GERIÁTRICO ÁRVORES DA VIDA LTDA</t>
  </si>
  <si>
    <t>38.443.062/0001-40</t>
  </si>
  <si>
    <t>03.670-020</t>
  </si>
  <si>
    <t>Rua André Natale, 145, casa 1</t>
  </si>
  <si>
    <t>(11) 4281-2959</t>
  </si>
  <si>
    <t>casaderepousovpf2020@gmail.com</t>
  </si>
  <si>
    <t>6074.2021/0008407-8</t>
  </si>
  <si>
    <t>35.778.613/0001-39</t>
  </si>
  <si>
    <t>Rua São Miguel Arcanjo, 148</t>
  </si>
  <si>
    <t>Quinta da Paineira</t>
  </si>
  <si>
    <t>(11) 3564-5553</t>
  </si>
  <si>
    <t>contato@casaderepousosaojorge.com.br</t>
  </si>
  <si>
    <t>6074.2021/0008409-4</t>
  </si>
  <si>
    <t>www.casaderepousosaojorge.com.br</t>
  </si>
  <si>
    <t>CASA ROVIGO RESIDENCIAL SÊNIOR LTDA</t>
  </si>
  <si>
    <t>38.713.984/0001-20</t>
  </si>
  <si>
    <t>Avenida Antônio Batuíra, 70</t>
  </si>
  <si>
    <t>05.462-050</t>
  </si>
  <si>
    <t>(11) 3596-7259</t>
  </si>
  <si>
    <t>casarovigo.residencial@gmail.com</t>
  </si>
  <si>
    <t>www.casarovigoresidencial.com.br</t>
  </si>
  <si>
    <t>6074.2021/0007970-8</t>
  </si>
  <si>
    <t>JBT RESIDENCIAL PARA IDOSOS LTDA</t>
  </si>
  <si>
    <t>33.984.293/0001-48</t>
  </si>
  <si>
    <t>Rua Conde de Itu, 661</t>
  </si>
  <si>
    <t>Jardim Santo Amaro</t>
  </si>
  <si>
    <t>(11) 5524-7670</t>
  </si>
  <si>
    <t>contato@visaresidencial.com.br</t>
  </si>
  <si>
    <t>www.visaresidencial.com.br</t>
  </si>
  <si>
    <t xml:space="preserve"> 6074.2021/0007965-1</t>
  </si>
  <si>
    <t>LAR E VIDA BUENO LTDA</t>
  </si>
  <si>
    <t>41.851.124/0001-68</t>
  </si>
  <si>
    <t>Rua Cataguases, 106</t>
  </si>
  <si>
    <t>(11) 2659-3225</t>
  </si>
  <si>
    <t>larevidabueno@gmail.com</t>
  </si>
  <si>
    <t>6074.2021/0008022-6</t>
  </si>
  <si>
    <t>6074.2021/0007967-8</t>
  </si>
  <si>
    <t>RESIDENCIAIS PARA IDOSOS AURORA LTDA</t>
  </si>
  <si>
    <t>28.218.251/0001-66</t>
  </si>
  <si>
    <t>Rua Dom Lucas Obes, 427</t>
  </si>
  <si>
    <t>(11) 2368-0444</t>
  </si>
  <si>
    <t>contato@residencialaurora.org</t>
  </si>
  <si>
    <t>www.residencialaurora.org</t>
  </si>
  <si>
    <t xml:space="preserve">PRISCILA LAINI PEREIRA - CASA DE REPOUSO </t>
  </si>
  <si>
    <t xml:space="preserve">36.232.289/0001-11 </t>
  </si>
  <si>
    <t>(11) 2389-8362</t>
  </si>
  <si>
    <t>r.vovomargarida@gmail.com</t>
  </si>
  <si>
    <t>www.residencialvovomargarida.com</t>
  </si>
  <si>
    <t>6074.2021/0008132-0</t>
  </si>
  <si>
    <t>RSA SERVIÇOS DE ENFERMAGEM LTDA</t>
  </si>
  <si>
    <t>6074.2021/0007889-2</t>
  </si>
  <si>
    <t>33.783.448/0001-88</t>
  </si>
  <si>
    <t>Rua Moe, 209</t>
  </si>
  <si>
    <t>03.660-040</t>
  </si>
  <si>
    <t>(11) 2613-1318</t>
  </si>
  <si>
    <t>residencialcasadoidoso@gmail.com</t>
  </si>
  <si>
    <t>369.3/20</t>
  </si>
  <si>
    <t>vchadad@hcor.com.br</t>
  </si>
  <si>
    <t>www.hcor.com.br</t>
  </si>
  <si>
    <t>6074.2021/0008819-7</t>
  </si>
  <si>
    <t xml:space="preserve">Freguesia do Ó </t>
  </si>
  <si>
    <t>6074.2021/0009109-0</t>
  </si>
  <si>
    <t>CASA DE REPOUSO E CRECHE DO IDOSO SOUZA LIMA LTDA</t>
  </si>
  <si>
    <t>34.243.594/0001-83</t>
  </si>
  <si>
    <t>Rua Toriba, 418</t>
  </si>
  <si>
    <t>03.191-130</t>
  </si>
  <si>
    <t>(11) 97804-8083</t>
  </si>
  <si>
    <t>anapaulabelmiro.81@gmail.com</t>
  </si>
  <si>
    <t>6074.2021/0009087-6</t>
  </si>
  <si>
    <t xml:space="preserve">Mooca </t>
  </si>
  <si>
    <t>(11) 2528-9318</t>
  </si>
  <si>
    <t>orraplanejados@gmail.com</t>
  </si>
  <si>
    <t>6074.2021/0008914-2</t>
  </si>
  <si>
    <t xml:space="preserve"> 6074.2021/0008918-5</t>
  </si>
  <si>
    <t>Avenida Coronel Sezefredo Fagundes, 6170</t>
  </si>
  <si>
    <t>Jardim Tremembé</t>
  </si>
  <si>
    <t>(11) 2995-5451</t>
  </si>
  <si>
    <t>provedoria@provedoria.org.br</t>
  </si>
  <si>
    <t>www.provedoria.org.br</t>
  </si>
  <si>
    <t>6074.2021/0009092-2</t>
  </si>
  <si>
    <t>RECANTO DA TERCEIRA IDADE RESIDENCIAL GERIÁTRICO LTDA</t>
  </si>
  <si>
    <t>Vila Gustavo</t>
  </si>
  <si>
    <t>(11) 2987-8688</t>
  </si>
  <si>
    <t>recanto.3idade@gmail.com</t>
  </si>
  <si>
    <t>www.recanto3idade.com.br</t>
  </si>
  <si>
    <t>CASA DE REPOUSO RECANTO DOS GUERREIROS LTDA</t>
  </si>
  <si>
    <t>6074.2021/0007443-9</t>
  </si>
  <si>
    <t>27.049.936/0001-63</t>
  </si>
  <si>
    <t>Jardim Independência</t>
  </si>
  <si>
    <t>(11) 2211-7660</t>
  </si>
  <si>
    <t>sandra.bernardo.araujo@gmail.com</t>
  </si>
  <si>
    <t>33.982.163/0001-76</t>
  </si>
  <si>
    <t>Jardim Ipanema</t>
  </si>
  <si>
    <t>6074.2021/0008850-2</t>
  </si>
  <si>
    <t>(11) 2729-2322</t>
  </si>
  <si>
    <t>recantooswalito@gmail.com</t>
  </si>
  <si>
    <t>www.recantooswalito.com.br</t>
  </si>
  <si>
    <t>INSTITUTO DE PROTEÇÃO COMUNITÁRIA VIVER BEM</t>
  </si>
  <si>
    <t>6074.2021/0008578-3</t>
  </si>
  <si>
    <t>32.767.821/0001-44</t>
  </si>
  <si>
    <t>04.858-620</t>
  </si>
  <si>
    <t>Jardim Campinas</t>
  </si>
  <si>
    <t>INSTITUIÇÃO DE LONGA PERMANÊNCIA PARA IDOSOS OSWALITO LTDA</t>
  </si>
  <si>
    <t>6074.2021/0008541-4</t>
  </si>
  <si>
    <t>ONG CASA DE REPOUSO SALOMÉ</t>
  </si>
  <si>
    <t>41.522.163/0001-11</t>
  </si>
  <si>
    <t>Rua Inacio de Oliveira Campos, 182</t>
  </si>
  <si>
    <t>Jardim Fanganiello</t>
  </si>
  <si>
    <t>aparecida.anjo@hotmail.com</t>
  </si>
  <si>
    <t>6074.2021/0008580-5</t>
  </si>
  <si>
    <t xml:space="preserve"> PALMEIRA AZUL RESIDENCIAL PARA MELHOR IDADE LTDA</t>
  </si>
  <si>
    <t>26.745.890/0001-54</t>
  </si>
  <si>
    <t>Rua Inês Monteiro, 66</t>
  </si>
  <si>
    <t>RESIDENCIAL SÊNIOR PARQUE VILLA LOBOS PINHEIROS SÃO PAULO LTDA</t>
  </si>
  <si>
    <t>6074.2021/0008512-0</t>
  </si>
  <si>
    <t>37.381.190/0001-44</t>
  </si>
  <si>
    <t>Rua Angelim, 245</t>
  </si>
  <si>
    <t>Boaçava</t>
  </si>
  <si>
    <t>CASA DE REPOUSO IRMÃS SILVA LTDA</t>
  </si>
  <si>
    <t>6074.2021/0001818-0</t>
  </si>
  <si>
    <t>368.3/20</t>
  </si>
  <si>
    <t>fjosenilda@hotmail.com</t>
  </si>
  <si>
    <t>012.1/14</t>
  </si>
  <si>
    <t>012.2/14</t>
  </si>
  <si>
    <t>Rua Conde de Porto Alegre, 1855</t>
  </si>
  <si>
    <t>(11) 5042-0858</t>
  </si>
  <si>
    <t>juliane@residencialharmonia.com.br</t>
  </si>
  <si>
    <t>www.residencialharmonia.com.br</t>
  </si>
  <si>
    <t>6074.2022/0000275-8</t>
  </si>
  <si>
    <t>Avenida Doutor Bernardino Brito Fonseca de Carvalho, 2257</t>
  </si>
  <si>
    <t>Jardim Samara</t>
  </si>
  <si>
    <t>www.abaic.com.br</t>
  </si>
  <si>
    <t>6074.2022/0000732-6</t>
  </si>
  <si>
    <t>CESTARI E SILVEIRA PEREIRA CASA GERIÁTRICA S/S</t>
  </si>
  <si>
    <t>Rua Itabaiana, 514</t>
  </si>
  <si>
    <t>(11) 2601-1190</t>
  </si>
  <si>
    <t>6074.2022/0000257-0</t>
  </si>
  <si>
    <t>Rua Caetés, 139</t>
  </si>
  <si>
    <t>05.016-080</t>
  </si>
  <si>
    <t>(11) 3673-6944</t>
  </si>
  <si>
    <t>www.casaderepousoelite.com</t>
  </si>
  <si>
    <t>6074.2022/0001659-7</t>
  </si>
  <si>
    <t>Rua Raimundo Lulio, 551</t>
  </si>
  <si>
    <t>Jardim São Nicolau</t>
  </si>
  <si>
    <t>(11) 2280-3250</t>
  </si>
  <si>
    <t>www.casafarol.com.br</t>
  </si>
  <si>
    <t>6074.2022/0000889-6</t>
  </si>
  <si>
    <t>CASA DE REPOUSO ESPERANÇA LTDA</t>
  </si>
  <si>
    <t>Rua Oásis, 223</t>
  </si>
  <si>
    <t>04.347-030</t>
  </si>
  <si>
    <t>Jardim Oriental</t>
  </si>
  <si>
    <t>(11) 5012-3437</t>
  </si>
  <si>
    <t>www.repousoesperanca.com.br</t>
  </si>
  <si>
    <t>6074.2021/0009110-4</t>
  </si>
  <si>
    <t>(11) 5686-4322</t>
  </si>
  <si>
    <t>www.ondinalobo.org.br</t>
  </si>
  <si>
    <t>6074.2022/0000093-3</t>
  </si>
  <si>
    <t>Avenida do Cursino, 286/290</t>
  </si>
  <si>
    <t>(11) 5062-2916</t>
  </si>
  <si>
    <t>www.angels4u.com.br</t>
  </si>
  <si>
    <t>6074.2022/0000503-0</t>
  </si>
  <si>
    <t xml:space="preserve">RESIDENCIAL VIDA NOVA SERVIÇOS PARA IDOSOS LTDA </t>
  </si>
  <si>
    <t>Rua Zacarias de Góis, 1891</t>
  </si>
  <si>
    <t>(11) 5044-6545</t>
  </si>
  <si>
    <t>6074.2022/0001384-9</t>
  </si>
  <si>
    <t>CLÍNICA SÃO GENARO LTDA</t>
  </si>
  <si>
    <t>(11) 2996-3355</t>
  </si>
  <si>
    <t>www.saogenaro.com.br</t>
  </si>
  <si>
    <t>6074.2022/0000489-0</t>
  </si>
  <si>
    <t>RESIDENCIAL VILLA MATHILDE ASSISTÊNCIA A IDOSOS LTDA</t>
  </si>
  <si>
    <t>Rua Coquetá, 116</t>
  </si>
  <si>
    <t>03.662-010</t>
  </si>
  <si>
    <t>(11) 2289-2769</t>
  </si>
  <si>
    <t>www.residencialdvillamathilde.com.br</t>
  </si>
  <si>
    <t>6074.2022/0001213-3</t>
  </si>
  <si>
    <t>RESIDENCIAL GERIÁTRICO PAULISTA LTDA</t>
  </si>
  <si>
    <t>Avenida Júlio Buono, 792</t>
  </si>
  <si>
    <t>(11) 2267-5383</t>
  </si>
  <si>
    <t>www.cgpaulista.com.br</t>
  </si>
  <si>
    <t>6074.2022/0000277-4</t>
  </si>
  <si>
    <t>Rua Carlos Gomes, 157/147</t>
  </si>
  <si>
    <t>rafael.kamilo@hotmail.com</t>
  </si>
  <si>
    <t>6074.2022/0001359-8</t>
  </si>
  <si>
    <t>6074.2022/0001385-7</t>
  </si>
  <si>
    <t>590/22</t>
  </si>
  <si>
    <t>591/22</t>
  </si>
  <si>
    <t>592/22</t>
  </si>
  <si>
    <t>593/22</t>
  </si>
  <si>
    <t>594/22</t>
  </si>
  <si>
    <t>595/22</t>
  </si>
  <si>
    <t>596/22</t>
  </si>
  <si>
    <t>597/22</t>
  </si>
  <si>
    <t>598/22</t>
  </si>
  <si>
    <t>599/22</t>
  </si>
  <si>
    <t>600/22</t>
  </si>
  <si>
    <t>601/22</t>
  </si>
  <si>
    <t>ASSOCIAÇÃO MÃE PEREGRINA</t>
  </si>
  <si>
    <t>04.658.344/0001-43</t>
  </si>
  <si>
    <t>Rua Acuruí, 166</t>
  </si>
  <si>
    <t>www.amapsocial.org.br</t>
  </si>
  <si>
    <t>6074.2022/0000195-6</t>
  </si>
  <si>
    <t>12.488.843/0002-49</t>
  </si>
  <si>
    <t>431.2/21</t>
  </si>
  <si>
    <t>431.1/21</t>
  </si>
  <si>
    <t>Rua Vista Geral, 23</t>
  </si>
  <si>
    <t xml:space="preserve">(11) 2991-2316 </t>
  </si>
  <si>
    <t>6074.2022/0000491-2</t>
  </si>
  <si>
    <t>(11) 2261-5206</t>
  </si>
  <si>
    <t>6074.2022/0000729-6</t>
  </si>
  <si>
    <t>35.662.637/0001-28</t>
  </si>
  <si>
    <t>6074.2022/0000505-6</t>
  </si>
  <si>
    <t>Rua Danubio Azul, 155</t>
  </si>
  <si>
    <t>Jardim Guançã</t>
  </si>
  <si>
    <t>(11) 2096-4702</t>
  </si>
  <si>
    <t>39.773.798/0001-40</t>
  </si>
  <si>
    <t>CASA DE REPOUSO RECANTO VOMIMAR LTDA</t>
  </si>
  <si>
    <t>Vila Guilherme</t>
  </si>
  <si>
    <t>Rua Ida da Silva, 165</t>
  </si>
  <si>
    <t>contato@recantovomimar.com.br</t>
  </si>
  <si>
    <t>6074.2022/0000774-1</t>
  </si>
  <si>
    <t>(11) 2659-6028</t>
  </si>
  <si>
    <t>34.525.551/0001-90</t>
  </si>
  <si>
    <t>RESIDENCIAL SALUTE LTDA</t>
  </si>
  <si>
    <t>Rua Capanema, 166</t>
  </si>
  <si>
    <t>Brooklin Paulista</t>
  </si>
  <si>
    <t>6074.2022/0000627-3</t>
  </si>
  <si>
    <t>(11) 2476-1975</t>
  </si>
  <si>
    <t>salute@residencialsalute.com.br</t>
  </si>
  <si>
    <t>www.residencialsalute.com.br</t>
  </si>
  <si>
    <t>61.587.333/0001-53</t>
  </si>
  <si>
    <t>CLUBE DE MAES RAIOS DE LUAR</t>
  </si>
  <si>
    <t>Rua Bernardino Prudente, 42</t>
  </si>
  <si>
    <t>08.255-020</t>
  </si>
  <si>
    <t>Conjunto José Bonifácio</t>
  </si>
  <si>
    <t>(11) 2521-2595</t>
  </si>
  <si>
    <t>raiosdeluar2008@hotmail.com</t>
  </si>
  <si>
    <t>6074.2022/0000279-0</t>
  </si>
  <si>
    <t>6074.2022/0000688-5</t>
  </si>
  <si>
    <t>LAR DE IDOSOS FLOR DE IPANEMA LTDA</t>
  </si>
  <si>
    <t>36.000.760/0001-46</t>
  </si>
  <si>
    <t>lardeidososflordeipanema@gmail.com</t>
  </si>
  <si>
    <t>(11) 2385-1878</t>
  </si>
  <si>
    <t>6074.2022/0000542-0</t>
  </si>
  <si>
    <t>VILLA FIORI RESIDENCIAL SENIOR LTDA.</t>
  </si>
  <si>
    <t>13.300.308/0001-02</t>
  </si>
  <si>
    <t xml:space="preserve">Avenida Diógenes Ribeiro de Lima, 567 </t>
  </si>
  <si>
    <t>05.458-000</t>
  </si>
  <si>
    <t>ASSOCIAÇÃO COMUNITÁRIA BENEFICENTE E DE MUTIRANTES FÁBIO CÂNDIDO</t>
  </si>
  <si>
    <t>6074.2022/0001504-3</t>
  </si>
  <si>
    <t>00.851.146/0001-40</t>
  </si>
  <si>
    <t>Avenida Hugo Van der Goes, 315</t>
  </si>
  <si>
    <t>Vila Penteado</t>
  </si>
  <si>
    <t>www.associacaofabiocandido.org.br</t>
  </si>
  <si>
    <t>associacaofabiocandido@hotmail.com</t>
  </si>
  <si>
    <t>6074.2022/0001212-5</t>
  </si>
  <si>
    <t>Rua Barão de Campinas, 146</t>
  </si>
  <si>
    <t>(11) 3362-1121</t>
  </si>
  <si>
    <t>www.cdrc.org.br</t>
  </si>
  <si>
    <t>CASA DE REPOUSO RESIDÊNCIA MELHOR IDADE LTDA</t>
  </si>
  <si>
    <t>35.219.739/0001-73</t>
  </si>
  <si>
    <t>Rua Roberto Valentin de Camargo, 181, anexo 187</t>
  </si>
  <si>
    <t>6074.2022/0001357-1</t>
  </si>
  <si>
    <t>CENTRO COMUNITÁRIO NOSSA SENHORA APARECIDA CCNSA</t>
  </si>
  <si>
    <t>6074.2022/0001382-2</t>
  </si>
  <si>
    <t>49.077.829/0001-81</t>
  </si>
  <si>
    <t>(11) 2231- 5530</t>
  </si>
  <si>
    <t>509.1/21</t>
  </si>
  <si>
    <t>509.2/21</t>
  </si>
  <si>
    <t>6074.2022/0001561-2</t>
  </si>
  <si>
    <t>(11) 5573-7818</t>
  </si>
  <si>
    <t>Rua Capitão Rosendo, 73</t>
  </si>
  <si>
    <t>6074.2022/0001360-1</t>
  </si>
  <si>
    <t>CASA DE REPOUSO RESIDENCIAL DOCE LAR LTDA</t>
  </si>
  <si>
    <t>26.030.009/0001-39</t>
  </si>
  <si>
    <t>Rua Ailson Simões, 216</t>
  </si>
  <si>
    <t>Jardim Cupecê</t>
  </si>
  <si>
    <t>(11) 5563-8801</t>
  </si>
  <si>
    <t>r.docelar@gamil.com</t>
  </si>
  <si>
    <t>41.284.909/0001-04</t>
  </si>
  <si>
    <t>6074.2022/0000779-2</t>
  </si>
  <si>
    <t>Jardim América</t>
  </si>
  <si>
    <t>(11) 3086-3942</t>
  </si>
  <si>
    <t>380.4/20</t>
  </si>
  <si>
    <t>RESIDENCIAL SÊNIOR DC JARDINS LTDA</t>
  </si>
  <si>
    <t>CRDC - CENTRO DE REFERÊNCIA E DESENVOLVIMENTO COMUNITÁRIO CORREIA</t>
  </si>
  <si>
    <t>cestarisilveira@gmail.com</t>
  </si>
  <si>
    <t xml:space="preserve">36.164.488/0001-30 </t>
  </si>
  <si>
    <t>380.3/20</t>
  </si>
  <si>
    <t>Avenida Paes de Barros, 779</t>
  </si>
  <si>
    <t>03.115-020</t>
  </si>
  <si>
    <t>(11) 3455-2939</t>
  </si>
  <si>
    <t>mari.saudeebemestar@gmail.com</t>
  </si>
  <si>
    <t>6074.2022/0002165-5</t>
  </si>
  <si>
    <t>602/22</t>
  </si>
  <si>
    <t>603/22</t>
  </si>
  <si>
    <t>604/22</t>
  </si>
  <si>
    <t>605/22</t>
  </si>
  <si>
    <t>CASA DE REPOUSO RECANTO DOS AVÓS LTDA</t>
  </si>
  <si>
    <t>42.085.154/0001-73</t>
  </si>
  <si>
    <t>05.593-011</t>
  </si>
  <si>
    <t>Rua Poetisa Colombina, 691</t>
  </si>
  <si>
    <t xml:space="preserve">(11) 3733-0119 </t>
  </si>
  <si>
    <t>recantodosavos1@gmail.com</t>
  </si>
  <si>
    <t>www.recantoavos.com.br</t>
  </si>
  <si>
    <t>6074.2022/0001982-0</t>
  </si>
  <si>
    <t>CASA DE REPOUSO RESIDENCIAL VIDA SAUDÁVEL LTDA</t>
  </si>
  <si>
    <t>26.774.152/0001-35</t>
  </si>
  <si>
    <t>Rua Savigni, 251</t>
  </si>
  <si>
    <t>03.203-030</t>
  </si>
  <si>
    <t>Vila Bela</t>
  </si>
  <si>
    <t xml:space="preserve">(11) 991587262 </t>
  </si>
  <si>
    <t>residencialvidasaudavel@gmail.com</t>
  </si>
  <si>
    <t>6074.2022/0002164-7</t>
  </si>
  <si>
    <t>16.863.676/0001-49</t>
  </si>
  <si>
    <t>Rua Almirante Pereira Guimarães, 405</t>
  </si>
  <si>
    <t>Pacaembu</t>
  </si>
  <si>
    <t>(11) 3675-4946</t>
  </si>
  <si>
    <t>www.casaderepousovivabem.com.br</t>
  </si>
  <si>
    <t>6074.2022/0002014-4</t>
  </si>
  <si>
    <t>42.916.133/0001-52</t>
  </si>
  <si>
    <t>Av. Iraí, 1292</t>
  </si>
  <si>
    <t>castelinhoresidencial@yahoo.com</t>
  </si>
  <si>
    <t>6074.2022/0001764-0</t>
  </si>
  <si>
    <t>diretoria@casaderepousovivabem.com.br</t>
  </si>
  <si>
    <t>451.5/21</t>
  </si>
  <si>
    <t>451.6/21</t>
  </si>
  <si>
    <t>(11) 3208-1755</t>
  </si>
  <si>
    <t>6074.2022/0002365-8</t>
  </si>
  <si>
    <t>606/22</t>
  </si>
  <si>
    <t>08.750.379/0001-69</t>
  </si>
  <si>
    <t>SIMONI CRISTINA ORGADO</t>
  </si>
  <si>
    <t>Rua Bento Quirino, 52</t>
  </si>
  <si>
    <t>03.534-010</t>
  </si>
  <si>
    <t>Vila Talarico</t>
  </si>
  <si>
    <t>(11) 3477-4831</t>
  </si>
  <si>
    <t>simoniorgado@yahoo.com.br</t>
  </si>
  <si>
    <t>6074.2022/0002403-4</t>
  </si>
  <si>
    <t>6074.2022/0002404-2</t>
  </si>
  <si>
    <t>34.191.370/0001-75</t>
  </si>
  <si>
    <t>607/22</t>
  </si>
  <si>
    <t>VILLA DEI FIORI POMPEIA CENTRO DE CONVIVÊNCIA PARA A TERCEIRA IDADE LTDA</t>
  </si>
  <si>
    <t>Rua Pereira Leite, 304A</t>
  </si>
  <si>
    <t>05.442-000</t>
  </si>
  <si>
    <t>Sumarezinho</t>
  </si>
  <si>
    <t>(11) 2592-5924</t>
  </si>
  <si>
    <t>villadeifioripompeia@gmail.com</t>
  </si>
  <si>
    <t>www.villadeifiori.com</t>
  </si>
  <si>
    <t>608/22</t>
  </si>
  <si>
    <t>43.216.827/0001-40</t>
  </si>
  <si>
    <t>Rua Doutor Artur Fajardo, 426</t>
  </si>
  <si>
    <t>02.963-000</t>
  </si>
  <si>
    <t>Chácara Nossa Senhora Aparecida</t>
  </si>
  <si>
    <t>(11) 3976-2777</t>
  </si>
  <si>
    <t>unifreguesia@gmail.com</t>
  </si>
  <si>
    <t>www.alvesdemorais.com.br</t>
  </si>
  <si>
    <t>6074.2022/0002502-2</t>
  </si>
  <si>
    <t>609/22</t>
  </si>
  <si>
    <t>RESIDENCIAL PARA IDOSOS QUATRO ESTAÇÕES LTDA</t>
  </si>
  <si>
    <t>14.816.223/0001-36</t>
  </si>
  <si>
    <t>Rua Califórnia, 448</t>
  </si>
  <si>
    <t>04.566-060</t>
  </si>
  <si>
    <t>(11) 5531-6688</t>
  </si>
  <si>
    <t>luis@villa4estacoes.com.br</t>
  </si>
  <si>
    <t>www.villa4estacoes.com.br</t>
  </si>
  <si>
    <t>6074.2022/0002472-7</t>
  </si>
  <si>
    <t>610/22</t>
  </si>
  <si>
    <t>CASA DE REPOUSO MONTE SINAI LTDA</t>
  </si>
  <si>
    <t xml:space="preserve"> RESIDENCIAL DOS GUERREIROS</t>
  </si>
  <si>
    <t>170.1/17</t>
  </si>
  <si>
    <t>170.2/17</t>
  </si>
  <si>
    <t>02.515.560/0001-04</t>
  </si>
  <si>
    <t>Rua Visconde de Indaiatuba, n° 182</t>
  </si>
  <si>
    <t>casaderepousomontesinai@gmail.com</t>
  </si>
  <si>
    <t>611/22</t>
  </si>
  <si>
    <t>612/22</t>
  </si>
  <si>
    <t>613/22</t>
  </si>
  <si>
    <t>614/22</t>
  </si>
  <si>
    <t>615/22</t>
  </si>
  <si>
    <t>616/22</t>
  </si>
  <si>
    <t>617/22</t>
  </si>
  <si>
    <t>06.143.765/0001-67</t>
  </si>
  <si>
    <t>Rua Itápolis, n° 1285</t>
  </si>
  <si>
    <t>01254-000</t>
  </si>
  <si>
    <t>(11) 3459-0833</t>
  </si>
  <si>
    <t>adm@projetosecultura.com.br</t>
  </si>
  <si>
    <t>www.oram.org.be</t>
  </si>
  <si>
    <t>CASA DE REPOUSO RESIDENCIAL PENHA DE FRANÇA LTDA</t>
  </si>
  <si>
    <t>Rua Frei Germano, n° 83</t>
  </si>
  <si>
    <t>03604-030</t>
  </si>
  <si>
    <t>www.casaderepousopenhadefranca.com.br</t>
  </si>
  <si>
    <t>Rua Santo Afonso, n° 200</t>
  </si>
  <si>
    <t>03632-020</t>
  </si>
  <si>
    <t>6074.2022/0002847-1</t>
  </si>
  <si>
    <t>Rua Dona Brígida, 671</t>
  </si>
  <si>
    <t>04111-081</t>
  </si>
  <si>
    <t>www.residencialtoniolo.com.br</t>
  </si>
  <si>
    <t>6074.2022/0003144-8</t>
  </si>
  <si>
    <t>Rua Dr. Flávio Américo Maurano, n° 470</t>
  </si>
  <si>
    <t>05656-020</t>
  </si>
  <si>
    <t>Morumbi</t>
  </si>
  <si>
    <t>(11) 3403-1501</t>
  </si>
  <si>
    <t>6074.2022/0003285-1</t>
  </si>
  <si>
    <t>ANA MARIA RIBEIRO RODRIGUES</t>
  </si>
  <si>
    <t>29.642.145/0001-76</t>
  </si>
  <si>
    <t>Rua Irupi, 55</t>
  </si>
  <si>
    <t>03.703-030</t>
  </si>
  <si>
    <t>Jardim Jaú Penha</t>
  </si>
  <si>
    <t>(11) 2308-1903 e (11) 94704-9950</t>
  </si>
  <si>
    <t>residencialvovolourdespenha@outlook.com</t>
  </si>
  <si>
    <t>6074.2022/0002809-9</t>
  </si>
  <si>
    <t>CASA DE REPOUSO ALVES COSTA LTDA</t>
  </si>
  <si>
    <t>26.866.518/0001-04</t>
  </si>
  <si>
    <t>Rua Ignácio Alves de Mattos, 518</t>
  </si>
  <si>
    <t>08.210-210</t>
  </si>
  <si>
    <t>(11) 2071-5158 e (11) 98202-5495</t>
  </si>
  <si>
    <t>lucineide-santos@bol.com.br</t>
  </si>
  <si>
    <t xml:space="preserve"> 6074.2022/0003012-3</t>
  </si>
  <si>
    <t>INSTITUIÇÃO DE LONGA PERMANÊNCIA PARA IDOSOS - LAR DA VOVÓ LUZIA LTDA</t>
  </si>
  <si>
    <t>43.234.961/0001-73</t>
  </si>
  <si>
    <t>Rua Centralina, 384</t>
  </si>
  <si>
    <t>08.410-100</t>
  </si>
  <si>
    <t>(11) 2561-4355 e (11) 98286-6536</t>
  </si>
  <si>
    <t>beta.s.j.007@gmail.com</t>
  </si>
  <si>
    <t>6074.2022/0002838-2</t>
  </si>
  <si>
    <t>RESIDENCE CAMPO BELO RESIDENCIAL PARA IDOSOS LTDA</t>
  </si>
  <si>
    <t>41.897.727/0001-09</t>
  </si>
  <si>
    <t>Rua Vieira de Moraes, 1575</t>
  </si>
  <si>
    <t>gialtruda@hotmail.com</t>
  </si>
  <si>
    <t>6074.2022/0003313-0</t>
  </si>
  <si>
    <t>6074.2022/0003316-5</t>
  </si>
  <si>
    <t>RESIDENCIAL FLORE D’ALLIANCE LTDA</t>
  </si>
  <si>
    <t>32.001.816/0001-26</t>
  </si>
  <si>
    <t>Rua Padre Donizetti Tavares de Lima, 310</t>
  </si>
  <si>
    <t>02.404-100</t>
  </si>
  <si>
    <t>(11) 2978-6786 e (11) 98998-0911</t>
  </si>
  <si>
    <t>floredalliance@yahoo.com</t>
  </si>
  <si>
    <t>www.residencialflore.com.br</t>
  </si>
  <si>
    <t>6074.2022/0003378-5</t>
  </si>
  <si>
    <t>ASSOCIAÇÃO SANTA CECÍLIA</t>
  </si>
  <si>
    <t>6074.2022/0003578-8</t>
  </si>
  <si>
    <t>55.641.468/0001-57</t>
  </si>
  <si>
    <t>Avenida Professor Leitão da Cunha, 15</t>
  </si>
  <si>
    <t>Parque Regina</t>
  </si>
  <si>
    <t>gestao.stacecilia@gmail.com</t>
  </si>
  <si>
    <t>www.cecilia.org.br</t>
  </si>
  <si>
    <t>618/22</t>
  </si>
  <si>
    <t>ASSOCIAÇÃO METODISTA DE AÇÃO SOCIAL DE PINHEIROS</t>
  </si>
  <si>
    <t>02.833.597/0001-80</t>
  </si>
  <si>
    <t>Rua Deputado Lacerda Franco, 318</t>
  </si>
  <si>
    <t>05.418-000</t>
  </si>
  <si>
    <t>(11) 3813-3279</t>
  </si>
  <si>
    <t>amaspinheiro@uol.com.br</t>
  </si>
  <si>
    <t>6074.2022/0003724-1</t>
  </si>
  <si>
    <t>Rua Alto das Garças, 1192/1188</t>
  </si>
  <si>
    <t>03546-000</t>
  </si>
  <si>
    <t>6074.2022/0003145-6</t>
  </si>
  <si>
    <t>Rua Lefosse, 84</t>
  </si>
  <si>
    <t>03349-015</t>
  </si>
  <si>
    <t>Vila Invernada</t>
  </si>
  <si>
    <t>www.casadoidosoanaliafranco.com</t>
  </si>
  <si>
    <t>6074.2022/0003379-3</t>
  </si>
  <si>
    <t>Rua Almirante João de Faria Lima, 161</t>
  </si>
  <si>
    <t>04177-420</t>
  </si>
  <si>
    <t>Jd. Clímax</t>
  </si>
  <si>
    <t>2574-6599</t>
  </si>
  <si>
    <t>6074.2022/0002947-8</t>
  </si>
  <si>
    <t>6074.2022/0003579-6</t>
  </si>
  <si>
    <t xml:space="preserve">Rua Álvaro Viana, 31 </t>
  </si>
  <si>
    <t>Rua das Perobas, 182</t>
  </si>
  <si>
    <t>04321-120</t>
  </si>
  <si>
    <t>5011-6635</t>
  </si>
  <si>
    <t>www.vilamana.com.br</t>
  </si>
  <si>
    <t>6074.2022/0003262-2</t>
  </si>
  <si>
    <t>jeanilpibt.samaritano@gmail.com</t>
  </si>
  <si>
    <t>620/22</t>
  </si>
  <si>
    <t>621/22</t>
  </si>
  <si>
    <t>623/22</t>
  </si>
  <si>
    <t>624/22</t>
  </si>
  <si>
    <t>619.1/22</t>
  </si>
  <si>
    <t>619.2/22</t>
  </si>
  <si>
    <t>17.532.061/0001-00</t>
  </si>
  <si>
    <t>ASSOCIAÇÃO DOS CUIDADORES DE IDOSOS DA REGIÃO METROPOLITANA DE SÃO PAULO ACIRMESP</t>
  </si>
  <si>
    <t>Rua Boa Vista, 133</t>
  </si>
  <si>
    <t>01.014-001</t>
  </si>
  <si>
    <t>(11) 99563-4103</t>
  </si>
  <si>
    <t>contato@acirmesp.org.br</t>
  </si>
  <si>
    <t>www.acirmesp.org.br</t>
  </si>
  <si>
    <t>6074.2022/0004123-0</t>
  </si>
  <si>
    <t>6074.2022/0004123-1</t>
  </si>
  <si>
    <t>(11) 99563-4104</t>
  </si>
  <si>
    <t>6074.2022/0002944-3</t>
  </si>
  <si>
    <t>Rua Passo da Pátria, 481</t>
  </si>
  <si>
    <t>05.085-000</t>
  </si>
  <si>
    <t>Vila Leopoldina</t>
  </si>
  <si>
    <t>(11) 2373-1720 e (11) 94508-3080</t>
  </si>
  <si>
    <t>orquidea.amanda@hotmail.com</t>
  </si>
  <si>
    <t>www.residencialorquidea.com.br</t>
  </si>
  <si>
    <t>6074.2022/0003984-8</t>
  </si>
  <si>
    <t>Rua Professor Miguel Mauricio da Rocha, 20</t>
  </si>
  <si>
    <t>04.622-030</t>
  </si>
  <si>
    <t>Brooklin Novo</t>
  </si>
  <si>
    <t>(11) 5533-1019</t>
  </si>
  <si>
    <t>6074.2022/0004563-5</t>
  </si>
  <si>
    <t>CENTRO COMUNITÁRIO BENEFICENTE CONJUNTO HABITACIONAL CASTRO ALVES E ADJACENTES</t>
  </si>
  <si>
    <t>04.003.965/0001-99</t>
  </si>
  <si>
    <t>Rua Antônio Carlos Mingues Lopes, 1425</t>
  </si>
  <si>
    <t>08473-270</t>
  </si>
  <si>
    <t>Sítio Conceição</t>
  </si>
  <si>
    <t>(11) 5199-0047</t>
  </si>
  <si>
    <t>ccacebech@gmail.com</t>
  </si>
  <si>
    <t>23.827.585/0001-13</t>
  </si>
  <si>
    <t>Rua Doutor João Maria, 148</t>
  </si>
  <si>
    <t>ricardo@cogitaresenior.com.br</t>
  </si>
  <si>
    <t>www.cogitaresenior.com.br</t>
  </si>
  <si>
    <t>622.2/22</t>
  </si>
  <si>
    <t>622.3/22</t>
  </si>
  <si>
    <t>622.1/22</t>
  </si>
  <si>
    <t>60.990.751/0001-24</t>
  </si>
  <si>
    <t>60.990.751/0001-25</t>
  </si>
  <si>
    <t>60.990.751/0001-26</t>
  </si>
  <si>
    <t>FUNDAÇÃO SÃO PAULO</t>
  </si>
  <si>
    <t>Rua Ministro Godoi, 1173</t>
  </si>
  <si>
    <t>(11) 3670-8298</t>
  </si>
  <si>
    <t>fundacaosaopaulo@fundasp.org.br</t>
  </si>
  <si>
    <t>www.fundasp.org.br</t>
  </si>
  <si>
    <t>6074.2022/0004302-0</t>
  </si>
  <si>
    <t>6074.2022/0004302-1</t>
  </si>
  <si>
    <t>6074.2022/0004302-2</t>
  </si>
  <si>
    <t>05015-001</t>
  </si>
  <si>
    <t>Rua Professora Doutora Neyde Apparecida Sollitto, 435</t>
  </si>
  <si>
    <t>04022-040</t>
  </si>
  <si>
    <t>Moema</t>
  </si>
  <si>
    <t>(11) 5908-7995</t>
  </si>
  <si>
    <t>Rua Monte Alegre, 984</t>
  </si>
  <si>
    <t>05014-000</t>
  </si>
  <si>
    <t>19.594.435/0001-30</t>
  </si>
  <si>
    <t>RESIDENCIAL LARA BIANCHI LTDA</t>
  </si>
  <si>
    <t>6074.2022/0004303-9</t>
  </si>
  <si>
    <t>residencialbianchi@gmail.com</t>
  </si>
  <si>
    <t>(11) 2476-4922 e (11) 94533-9216</t>
  </si>
  <si>
    <t>Rua Tatsuo Okachi, 239</t>
  </si>
  <si>
    <t>Pirituba</t>
  </si>
  <si>
    <t>05142-000</t>
  </si>
  <si>
    <t>32.647.071/0001-77</t>
  </si>
  <si>
    <t>RESIDENCIAL E CENTRO DE CONVIVÊNCIA PARA IDOSOS VINTAGE LTDA</t>
  </si>
  <si>
    <t>6074.2022/0003985-6</t>
  </si>
  <si>
    <t>Rua das Camélias, 416</t>
  </si>
  <si>
    <t>04.048-061</t>
  </si>
  <si>
    <t>Mirandopolis</t>
  </si>
  <si>
    <t>(11) 5587-2148</t>
  </si>
  <si>
    <t>vinatageresidencialsp@gmail.com</t>
  </si>
  <si>
    <t>625/22</t>
  </si>
  <si>
    <t>6074.2022/0004645-3</t>
  </si>
  <si>
    <t>ÚNICA + SÊNIOR CASA DE REPOUSO LTDA</t>
  </si>
  <si>
    <t>35.352.383/0001-41</t>
  </si>
  <si>
    <t>Rua Murutinga do Sul, 202</t>
  </si>
  <si>
    <t>03.411-120</t>
  </si>
  <si>
    <t>(11) 2092-9235</t>
  </si>
  <si>
    <t>camilajp300@gmail.com</t>
  </si>
  <si>
    <t>www.unicasenior.com.br</t>
  </si>
  <si>
    <t>626/22</t>
  </si>
  <si>
    <t>55.647.887/0001-04</t>
  </si>
  <si>
    <t>ASSOCIAÇÃO AMIGOS DO JARDIM REIMBERG</t>
  </si>
  <si>
    <t>6074.2022/0005037-0</t>
  </si>
  <si>
    <t>Rua Alba Valdez, 03</t>
  </si>
  <si>
    <t>04.845-200</t>
  </si>
  <si>
    <t>Jardim Reimberg</t>
  </si>
  <si>
    <t>(11) 5939-0021</t>
  </si>
  <si>
    <t>reimberg.ong@uol.com.br</t>
  </si>
  <si>
    <t>02.788.409/0001-40</t>
  </si>
  <si>
    <t>627/22</t>
  </si>
  <si>
    <t>ASSOCIAÇÃO BENEFICENTE MARQUES</t>
  </si>
  <si>
    <t>Rua Bernardino Silva, 173</t>
  </si>
  <si>
    <t>08.160-550</t>
  </si>
  <si>
    <t>Jardim Silva Teles</t>
  </si>
  <si>
    <t>(11) 3678-4952</t>
  </si>
  <si>
    <t>legal@organife.com.br</t>
  </si>
  <si>
    <t>6074.2022/0004933-9</t>
  </si>
  <si>
    <t>628/22</t>
  </si>
  <si>
    <t>32.170.819/0001-93</t>
  </si>
  <si>
    <t>CASA DE REPOUSO RECANTO PAULISTA LTDA</t>
  </si>
  <si>
    <t>6074.2022/0004928-2</t>
  </si>
  <si>
    <t>Avenida Gustavo Adolfo, 162</t>
  </si>
  <si>
    <t>02.209-000</t>
  </si>
  <si>
    <t>6074.2022/0005677-7</t>
  </si>
  <si>
    <t xml:space="preserve">CASA DE REPOUSO JAÇANÃ LTDA </t>
  </si>
  <si>
    <t>Avenida José Maria Fernandes, 1017</t>
  </si>
  <si>
    <t>02.185-030</t>
  </si>
  <si>
    <t>Parque Novo Mundo</t>
  </si>
  <si>
    <t>(11) 2905-2634</t>
  </si>
  <si>
    <t>629/22</t>
  </si>
  <si>
    <t>31.597.022/0001-04</t>
  </si>
  <si>
    <t>RESIDENCIAL SÃO LUIS CASA DE REPOUSO PARA IDOSOS EIRELI</t>
  </si>
  <si>
    <t>6074.2022/0005721-8</t>
  </si>
  <si>
    <t>Rua Corta Vento, 13</t>
  </si>
  <si>
    <t>03.313-010</t>
  </si>
  <si>
    <t>(11) 2389-5188</t>
  </si>
  <si>
    <t>residencialsaoluis@outlook.com</t>
  </si>
  <si>
    <t>Rua Angelo Pereira, 211</t>
  </si>
  <si>
    <t>6074.2022/0004886-3</t>
  </si>
  <si>
    <t>(11) 4111-1076</t>
  </si>
  <si>
    <t>Rua Tanque Velho, 221</t>
  </si>
  <si>
    <t>Vila Nivi</t>
  </si>
  <si>
    <t>(11) 2983-0523</t>
  </si>
  <si>
    <t>contato.cephas@yahoo.com</t>
  </si>
  <si>
    <t>6074.2022/0005684-0</t>
  </si>
  <si>
    <t>630/22</t>
  </si>
  <si>
    <t>09.604.956/0001-77</t>
  </si>
  <si>
    <t xml:space="preserve"> 6074.2022/0005675-0</t>
  </si>
  <si>
    <t>crserenidade@gmail.com</t>
  </si>
  <si>
    <t>www.crserenidade.com.br</t>
  </si>
  <si>
    <t>(11) 2281-7317</t>
  </si>
  <si>
    <t>Rua Antônio Lourenço, 199</t>
  </si>
  <si>
    <t>02.334-070</t>
  </si>
  <si>
    <t>CROPH - COORDENAÇÃO REGIONAL DAS OBRAS DE PROMOÇÃO HUMANA</t>
  </si>
  <si>
    <t>CRECI</t>
  </si>
  <si>
    <t>Rua Formosa, 215</t>
  </si>
  <si>
    <t>01.049-000</t>
  </si>
  <si>
    <t>Anhangabaú</t>
  </si>
  <si>
    <t>(11) 3258-4376</t>
  </si>
  <si>
    <t>6074.2022/0005338-7</t>
  </si>
  <si>
    <t>Rua Comendador Nestor Pereira, 77</t>
  </si>
  <si>
    <t>03.034-070</t>
  </si>
  <si>
    <t>Pari</t>
  </si>
  <si>
    <t>(11) 3228-1873</t>
  </si>
  <si>
    <t>43.473.487/0034-09</t>
  </si>
  <si>
    <t>Rua Capitão Sérvio Rodrigues Caldas, 143</t>
  </si>
  <si>
    <t xml:space="preserve">Parada Inglesa </t>
  </si>
  <si>
    <t>(11) 2337-0704</t>
  </si>
  <si>
    <t>02.244-040</t>
  </si>
  <si>
    <t xml:space="preserve">
Rua Galvão Bueno Triguerinho, 317</t>
  </si>
  <si>
    <t>05.181-040</t>
  </si>
  <si>
    <t>Jaraguá</t>
  </si>
  <si>
    <t>(11) 2503-7376</t>
  </si>
  <si>
    <t>6074.2022/0005453-7</t>
  </si>
  <si>
    <t>509.3/21</t>
  </si>
  <si>
    <t>6074.2022/0004863-4</t>
  </si>
  <si>
    <t>(11) 5687-5169</t>
  </si>
  <si>
    <t>Rua Doutor Carlos Augusto dos Campos, 113</t>
  </si>
  <si>
    <t>04750-060</t>
  </si>
  <si>
    <t>inh.matriz@gmail.com</t>
  </si>
  <si>
    <t>632/22</t>
  </si>
  <si>
    <t>07.279.484/0001-07</t>
  </si>
  <si>
    <t>CASA DE REPOUSO BRILHO DO SOL LTDA</t>
  </si>
  <si>
    <t>6074.2022/0005276-3</t>
  </si>
  <si>
    <t>Rua Pepiguari, 596</t>
  </si>
  <si>
    <t>05.059-010</t>
  </si>
  <si>
    <t>(11) 3832-0458</t>
  </si>
  <si>
    <t>premiumed@uol.com.br</t>
  </si>
  <si>
    <t>www.casaderepousobrilhodosol.com.br</t>
  </si>
  <si>
    <t>39.806.157/0001-44</t>
  </si>
  <si>
    <t>RESIDENCIAL SENIOR DP HIGIENOPOLIS LTDA</t>
  </si>
  <si>
    <t>6074.2022/0004889-8</t>
  </si>
  <si>
    <t>Rua Desembargador Paulo Passaláqua, 308</t>
  </si>
  <si>
    <t>01.248-010</t>
  </si>
  <si>
    <t>(11) 2925-0545</t>
  </si>
  <si>
    <t>higienopolis@tercadaserra.com.br</t>
  </si>
  <si>
    <t>06.110.809/0001-52</t>
  </si>
  <si>
    <t>Rua Izonzo, 163 – 3º andar</t>
  </si>
  <si>
    <t>Sacomã</t>
  </si>
  <si>
    <t>6074.2022/0005722-6</t>
  </si>
  <si>
    <t>CLINICA DE REPOUSO SERENIDADE LTDA</t>
  </si>
  <si>
    <t>631/22</t>
  </si>
  <si>
    <t>CASA DE REPOUSO SANTA MONICE S/S</t>
  </si>
  <si>
    <t>santamonice2018@gmail.com</t>
  </si>
  <si>
    <t>633/22</t>
  </si>
  <si>
    <t>634/22</t>
  </si>
  <si>
    <t>INSTITUTO IRMÃ DULCE</t>
  </si>
  <si>
    <t>05.824.978/0001-91</t>
  </si>
  <si>
    <t>6074.2022/0005567-3</t>
  </si>
  <si>
    <t>Rua dos Timbiras, 444</t>
  </si>
  <si>
    <t>01208-011</t>
  </si>
  <si>
    <t>(11) 3331-5411</t>
  </si>
  <si>
    <t>institutoirmadulce1@gmail.com</t>
  </si>
  <si>
    <t>www.institutoirmadulce.org.br</t>
  </si>
  <si>
    <t>23.306.933/0001-07</t>
  </si>
  <si>
    <t>CASA DE REPOUSO E HOME CARE JOÃO E MARIA LTDA</t>
  </si>
  <si>
    <t>Rua Doutor Afrodísio Vidigal, 633</t>
  </si>
  <si>
    <t>02.133-040</t>
  </si>
  <si>
    <t>(11) 2495-7274</t>
  </si>
  <si>
    <t>residencialjoaoemaria@hotmail.com</t>
  </si>
  <si>
    <t>6074.2022/0005827-3</t>
  </si>
  <si>
    <t>33.715.693/0001-58</t>
  </si>
  <si>
    <t>635/22</t>
  </si>
  <si>
    <t>CASA DE REPOUSO NOVA BELISSIMA LTDA</t>
  </si>
  <si>
    <t>08.011-360</t>
  </si>
  <si>
    <t>6074.2022/0006565-2</t>
  </si>
  <si>
    <t>Rua Evangelina Ferreira Destro, 101</t>
  </si>
  <si>
    <t>(11) 2956-1446</t>
  </si>
  <si>
    <t>novabelissima.101@gmail.com</t>
  </si>
  <si>
    <t>6074.2022/0006434-6</t>
  </si>
  <si>
    <t>CASA DE REPOUSO SANTA FÉ LTDA</t>
  </si>
  <si>
    <t>05.075-070</t>
  </si>
  <si>
    <t>Rua Francisco Mainardi, 57</t>
  </si>
  <si>
    <t>(11) 3831-0552</t>
  </si>
  <si>
    <t>567.3/22</t>
  </si>
  <si>
    <t>Rua Antônio Maia, 630</t>
  </si>
  <si>
    <t>05204-110</t>
  </si>
  <si>
    <t>Vila Nova Perus</t>
  </si>
  <si>
    <t>(11) 3917-2966</t>
  </si>
  <si>
    <t>636/22</t>
  </si>
  <si>
    <t>03.983.978/0001-09</t>
  </si>
  <si>
    <t>FUNDAÇÃO ALPHAVILLE</t>
  </si>
  <si>
    <t>6074.2022/0006205-0</t>
  </si>
  <si>
    <t>www.fundacaoalphaville.org.br</t>
  </si>
  <si>
    <t>parcerias@fundacaoalphaville.org.br</t>
  </si>
  <si>
    <t>(11) 3030-5168</t>
  </si>
  <si>
    <t>Av Dra Ruth Cardoso, 8501 - 4 º andar</t>
  </si>
  <si>
    <t xml:space="preserve">05425-070 </t>
  </si>
  <si>
    <t>6074.2022/0006471-0</t>
  </si>
  <si>
    <t>Rua São Samuel, 105</t>
  </si>
  <si>
    <t>04.120-030</t>
  </si>
  <si>
    <t>(11) 2306-0778</t>
  </si>
  <si>
    <t>VIVA VIDA - INSTITUIÇÃO DE LONGA PERMANÊNCIA PARA IDOSOS LTDA</t>
  </si>
  <si>
    <t>Praça Condessa Siciliano, 174</t>
  </si>
  <si>
    <t>02.044-040</t>
  </si>
  <si>
    <t>(11) 2538-9005</t>
  </si>
  <si>
    <t xml:space="preserve"> 6074.2022/0006240-8</t>
  </si>
  <si>
    <t>637.1/22</t>
  </si>
  <si>
    <t>39.680.328/0001-31</t>
  </si>
  <si>
    <t>M MELO DE ALCANTARA LAR DE LONGA PERMANENCIA PARA IDOSOS LTDA</t>
  </si>
  <si>
    <t>03.973-010</t>
  </si>
  <si>
    <t>6074.2022/0005976-8</t>
  </si>
  <si>
    <t xml:space="preserve">contato.fdemaria@gmail.com </t>
  </si>
  <si>
    <t xml:space="preserve">(11) 2013-2013 </t>
  </si>
  <si>
    <t>Rua Professor Mendes Pimentel, 335</t>
  </si>
  <si>
    <t>Jardim Santa Adelia</t>
  </si>
  <si>
    <t>637.2/22</t>
  </si>
  <si>
    <t>39.680.328/0002-12</t>
  </si>
  <si>
    <t>Rua Aldeia de Santo Inácio, 649</t>
  </si>
  <si>
    <t>08320-493</t>
  </si>
  <si>
    <t>Parque São Rafael</t>
  </si>
  <si>
    <t>(11) 2012-5088</t>
  </si>
  <si>
    <t>464/21</t>
  </si>
  <si>
    <t>463.2/21</t>
  </si>
  <si>
    <t>463.1/21</t>
  </si>
  <si>
    <t>lardealiceeireli@gmail.com </t>
  </si>
  <si>
    <t>638/22</t>
  </si>
  <si>
    <t>31.390.075/0001-50</t>
  </si>
  <si>
    <t>RECANTO ÁGAPE CASA DE REPOUSO LTDA.</t>
  </si>
  <si>
    <t>6074.2022/0006435-4</t>
  </si>
  <si>
    <t>Rua Pascoal Daniel, 60</t>
  </si>
  <si>
    <t>08.020-370</t>
  </si>
  <si>
    <t>Vila Giordano</t>
  </si>
  <si>
    <t>(11) 2925-2226</t>
  </si>
  <si>
    <t>recantoagapecasaderepouso@gmail.com</t>
  </si>
  <si>
    <t>RESIDENCIAL GERIÁTRICO PREMIUM LTDA.</t>
  </si>
  <si>
    <t>Rua dos Cafezais, 174</t>
  </si>
  <si>
    <t>04.364-000</t>
  </si>
  <si>
    <t>Vila Santa Catarina</t>
  </si>
  <si>
    <t>(11) 2338-5365</t>
  </si>
  <si>
    <t>www.residencialpremiumsenior.com.br</t>
  </si>
  <si>
    <t>6074.2022/0006436-2</t>
  </si>
  <si>
    <t xml:space="preserve"> 6074.2022/0005867-2</t>
  </si>
  <si>
    <t>Rua Lido, 71</t>
  </si>
  <si>
    <t>04.773-110</t>
  </si>
  <si>
    <t>Veleiros</t>
  </si>
  <si>
    <t>(11) 2362-4969</t>
  </si>
  <si>
    <t>639/22</t>
  </si>
  <si>
    <t>39.377.470/0001-04</t>
  </si>
  <si>
    <t>DAYANE SILVA DOS SANTOS</t>
  </si>
  <si>
    <t>6074.2022/0006030-8</t>
  </si>
  <si>
    <t>Rua Cornélio Serafim, 169</t>
  </si>
  <si>
    <t>02.354-040</t>
  </si>
  <si>
    <t>Jardim Yara</t>
  </si>
  <si>
    <t>(11) 2262-6016</t>
  </si>
  <si>
    <t>residencialplenitude0@gmail.com</t>
  </si>
  <si>
    <t>43.760.098/0001-98</t>
  </si>
  <si>
    <t>640/22</t>
  </si>
  <si>
    <t>RESIDENCIAL PRIMEIRO DE OUTUBRO LTDA</t>
  </si>
  <si>
    <t>Av. Lineu de Paula Machado, 1054</t>
  </si>
  <si>
    <t xml:space="preserve">05601-001 </t>
  </si>
  <si>
    <t>Jardim Everest</t>
  </si>
  <si>
    <t>(11) 97146-0666</t>
  </si>
  <si>
    <t>atendimento@primeirodeoutubro.com.br</t>
  </si>
  <si>
    <t>www.primeirodeoutubro.com.br</t>
  </si>
  <si>
    <t>6074.2022/0005780-3</t>
  </si>
  <si>
    <t>6074.2022/0006241-6</t>
  </si>
  <si>
    <t>www.residencialviverbem.com.br</t>
  </si>
  <si>
    <t>(11) 5092-2996</t>
  </si>
  <si>
    <t>Rua Guarapes, 710</t>
  </si>
  <si>
    <t>Rua Guarapes, 730</t>
  </si>
  <si>
    <t>6074.2022/0006243-2</t>
  </si>
  <si>
    <t>641/22</t>
  </si>
  <si>
    <t>20.619.140/0001-50</t>
  </si>
  <si>
    <t>SOL E VIDA CASA DE REPOUSO LTDA</t>
  </si>
  <si>
    <t>Rua Doutor Carlos de Morais Andrade, 37</t>
  </si>
  <si>
    <t>03427-050</t>
  </si>
  <si>
    <t>(11) 2092-6999</t>
  </si>
  <si>
    <t>sbrajatto@hotmail.com</t>
  </si>
  <si>
    <t>6074.2022/0006043-0</t>
  </si>
  <si>
    <t>REDE CIDADÃ</t>
  </si>
  <si>
    <t>05.461.315/0001-50</t>
  </si>
  <si>
    <t>marcelo@contabilidademcl.com.br</t>
  </si>
  <si>
    <t>(11) 4307-6674</t>
  </si>
  <si>
    <t>www.avidaebelaresidencial.com.br</t>
  </si>
  <si>
    <t>6074.2022/0006895-3</t>
  </si>
  <si>
    <t>6074.2022/0007108-3</t>
  </si>
  <si>
    <t>www.casaderepousosolar.com</t>
  </si>
  <si>
    <t>(11) 5921-9072</t>
  </si>
  <si>
    <t xml:space="preserve">Parque Lagoa Rica </t>
  </si>
  <si>
    <t xml:space="preserve">Rua Lídia Schmidt, 04 </t>
  </si>
  <si>
    <t>04893-180</t>
  </si>
  <si>
    <t xml:space="preserve">CASA DO IDOSO FELIZ IDADE LTDA </t>
  </si>
  <si>
    <t>6074.2022/0007126-1</t>
  </si>
  <si>
    <t>Rua Clarinda Maria de Oliveira, 226</t>
  </si>
  <si>
    <t>02150-020</t>
  </si>
  <si>
    <t>Jardim Guança</t>
  </si>
  <si>
    <t>(11) 2939-1452</t>
  </si>
  <si>
    <t>faleconosco@casadoidosofelizidade.com.br / elida_coronado@yahoo.com.br</t>
  </si>
  <si>
    <t>www.casadoidosofelizidade.com.br</t>
  </si>
  <si>
    <t>PENSÃO NEW HEAVEN LTDA</t>
  </si>
  <si>
    <t>Av Diogenes Ribeiro de Lima, 1768</t>
  </si>
  <si>
    <t>05.458-001</t>
  </si>
  <si>
    <t>(11) 3022-3902</t>
  </si>
  <si>
    <t>contato.newheavenresidencialsr@gmail.com</t>
  </si>
  <si>
    <t>www.newheavenresidencialsenior.com</t>
  </si>
  <si>
    <t>6074.2022/0007128-8</t>
  </si>
  <si>
    <t>PENSIONATO PEDRA BRANCA LTDA.</t>
  </si>
  <si>
    <t>Rua Ita, 146</t>
  </si>
  <si>
    <t>02.636-030</t>
  </si>
  <si>
    <t>(11) 2233-8484</t>
  </si>
  <si>
    <t>www.casapedrabranca.com.br</t>
  </si>
  <si>
    <t>6074.2022/0007130-0</t>
  </si>
  <si>
    <t xml:space="preserve">FERNANDA M. P. GROBMAN </t>
  </si>
  <si>
    <t>6074.2022/0007255-1</t>
  </si>
  <si>
    <t>residencialelitek@gmail.com</t>
  </si>
  <si>
    <t>(11) 3666-9039</t>
  </si>
  <si>
    <t>Rua Traipu, 77</t>
  </si>
  <si>
    <t>01.235-000</t>
  </si>
  <si>
    <t>Pacaembú</t>
  </si>
  <si>
    <t>RECANTO CAMINHO DAS ROSAS LTDA.</t>
  </si>
  <si>
    <t>Av Eulina, 220</t>
  </si>
  <si>
    <t>02.755-140</t>
  </si>
  <si>
    <t>Jardim Primavera</t>
  </si>
  <si>
    <t>(11) 2387-1950</t>
  </si>
  <si>
    <t>6074.2022/0006698-5</t>
  </si>
  <si>
    <t>UNIDADE GERONTOLÓGICA VIDA LTDA - ME</t>
  </si>
  <si>
    <t>Rua Seis de Junho, 79</t>
  </si>
  <si>
    <t>03.373-033</t>
  </si>
  <si>
    <t>(11) 2910-2497</t>
  </si>
  <si>
    <t>www.casaderepousovida.com.br</t>
  </si>
  <si>
    <t xml:space="preserve"> 6074.2022/0007321-3</t>
  </si>
  <si>
    <t>Rua do Carmo, 171</t>
  </si>
  <si>
    <t>(11) 3293-7500</t>
  </si>
  <si>
    <t>presidente@sindicatodosaposentados.org.br</t>
  </si>
  <si>
    <t>www.sindicatodosaposentados.org.br</t>
  </si>
  <si>
    <t>18.275.695/0001-80</t>
  </si>
  <si>
    <t>118.1/17</t>
  </si>
  <si>
    <t>118.2/17</t>
  </si>
  <si>
    <t>118.3/17</t>
  </si>
  <si>
    <t>118.4/17</t>
  </si>
  <si>
    <t>118.5/17</t>
  </si>
  <si>
    <t>6074.2022/0006921-6</t>
  </si>
  <si>
    <t>03355-000</t>
  </si>
  <si>
    <t>(11) 3266-5540</t>
  </si>
  <si>
    <t>www.olhe.org.br</t>
  </si>
  <si>
    <t>643/22</t>
  </si>
  <si>
    <t>18.164.656/0001-05</t>
  </si>
  <si>
    <t>CASA DE REPOUSO FLORESCER LTDA</t>
  </si>
  <si>
    <t>6074.2022/0007319-1</t>
  </si>
  <si>
    <t>Rua Jean de la Huerta, 1149</t>
  </si>
  <si>
    <t>04.163-010</t>
  </si>
  <si>
    <t>Vila Brasilina</t>
  </si>
  <si>
    <t>(11) 4324-1821</t>
  </si>
  <si>
    <t>crepousoflorescer@gmail.com</t>
  </si>
  <si>
    <t>18.632.065/0001-15</t>
  </si>
  <si>
    <t>644/22</t>
  </si>
  <si>
    <t>CASA DE REPOUSO M &amp; C LTDA</t>
  </si>
  <si>
    <t>6074.2022/0006897-0</t>
  </si>
  <si>
    <t>645/22</t>
  </si>
  <si>
    <t>37.267.808/0001-40</t>
  </si>
  <si>
    <t>CASA DE REPOUSO PIRITUBA LTDA</t>
  </si>
  <si>
    <t>Av Dr Felipe Pinel, 377 - casa 305</t>
  </si>
  <si>
    <t>02.939-000</t>
  </si>
  <si>
    <t>(11) 3828-6696</t>
  </si>
  <si>
    <t>6074.2022/0006651-9</t>
  </si>
  <si>
    <t>646/22</t>
  </si>
  <si>
    <t>22.401.353/0001-36</t>
  </si>
  <si>
    <t>S R MESSIAS CASA DE REPOUSO</t>
  </si>
  <si>
    <t xml:space="preserve"> 6074.2022/0007119-9</t>
  </si>
  <si>
    <t xml:space="preserve">02.417-022 </t>
  </si>
  <si>
    <t>Rua Dr Orlando Zamiti Mmmana, 163</t>
  </si>
  <si>
    <t>(11) 4116-4921</t>
  </si>
  <si>
    <t>www.chacaramandaqui.com.br</t>
  </si>
  <si>
    <t xml:space="preserve">VIVER BEM - CENTRO DE CURTA E LONGA PERMANÊNCIA PARA IDOSOS LTDA </t>
  </si>
  <si>
    <t>02.421-000</t>
  </si>
  <si>
    <t>Rua José Dantas Magalhães Glória, 242</t>
  </si>
  <si>
    <t>(11) 2231-9763</t>
  </si>
  <si>
    <t>www.centroviverbem.com.br</t>
  </si>
  <si>
    <t>6074.2022/0007123-7</t>
  </si>
  <si>
    <t>647/22</t>
  </si>
  <si>
    <t>44.340.116/0001-45</t>
  </si>
  <si>
    <t>VIVA VIDA - CENTRO DE CONVIVÊCIA PARA IDOSOS LTDA</t>
  </si>
  <si>
    <t>Rua Professor Fábio Fanucchi, 41</t>
  </si>
  <si>
    <t>02.045-080</t>
  </si>
  <si>
    <t>(11) 2978-6603</t>
  </si>
  <si>
    <t>6074.2022/0007256-0</t>
  </si>
  <si>
    <t>28.906.509/0001-17</t>
  </si>
  <si>
    <t>D'PÁDUA RESIDENCIAL SÊNIOR LTDA</t>
  </si>
  <si>
    <t>Avenida Diógenes Ribeiro de Lima, 670</t>
  </si>
  <si>
    <t>(11) 3021-1500</t>
  </si>
  <si>
    <t>6074.2022/0006820-1</t>
  </si>
  <si>
    <t>648/22</t>
  </si>
  <si>
    <t>60.263.365/0001-30</t>
  </si>
  <si>
    <t>FEDERAÇÃO DE ASSOCIAÇÕES E DEPARTAMENTOS DE APOSENTADOS, PENSIONISTAS E IDOSOS DO ESTADO DE SÃO PAULO</t>
  </si>
  <si>
    <t>(11) 3150-9393</t>
  </si>
  <si>
    <t>fapesp@federacaofapesp.org.br</t>
  </si>
  <si>
    <t>www.federacaofapesp.org.br</t>
  </si>
  <si>
    <t>6074.2022/0007163-6</t>
  </si>
  <si>
    <t>40.119.586/0001-22</t>
  </si>
  <si>
    <t>Rua Otávio Gonçalves Martins, 81</t>
  </si>
  <si>
    <t>05.136-290</t>
  </si>
  <si>
    <t>Jardim Santo Elias</t>
  </si>
  <si>
    <t>LAÇOS DE FAMÍLIA RESIDENCIAL PARA IDOSOS LTDA</t>
  </si>
  <si>
    <t>(11) 3796-8262</t>
  </si>
  <si>
    <t>lacosdefamiliaresidencial2020@gmail.com</t>
  </si>
  <si>
    <t>6074.2022/0007292-6</t>
  </si>
  <si>
    <t>650/22</t>
  </si>
  <si>
    <t>42.895.141/0001-60</t>
  </si>
  <si>
    <t>LAR PARA IDOSOS DO VOVÔ LUIZ LTDA</t>
  </si>
  <si>
    <t>Rua José Neves, 625</t>
  </si>
  <si>
    <t>04.650-141</t>
  </si>
  <si>
    <t>Vila São Paulo</t>
  </si>
  <si>
    <t>(11) 5686-7872</t>
  </si>
  <si>
    <t>6074.2022/0007028-1</t>
  </si>
  <si>
    <t>651/22</t>
  </si>
  <si>
    <t>01.202.250/0001-77</t>
  </si>
  <si>
    <t>ASSOCIAÇÃO BENEFICENTE O SEMEADOR</t>
  </si>
  <si>
    <t>6074.2022/0006926-7</t>
  </si>
  <si>
    <t>assosemeador@uol.com.br</t>
  </si>
  <si>
    <t>(11) 5920-2498</t>
  </si>
  <si>
    <t>Rua Américo Coxa, 550</t>
  </si>
  <si>
    <t>Jardim Roschel</t>
  </si>
  <si>
    <t>04.890-000</t>
  </si>
  <si>
    <t>652/22</t>
  </si>
  <si>
    <t>SOCIEDADE AMIGOS BAIRRO CONJUNTO HABITACIONAL JARDIM DE SAPOPEMBA</t>
  </si>
  <si>
    <t>52.806.585/0001-35</t>
  </si>
  <si>
    <t>Rua Otto Schubart, 61</t>
  </si>
  <si>
    <t>Parque São Lucas</t>
  </si>
  <si>
    <t>(11) 4179-6152</t>
  </si>
  <si>
    <t>sab.sapopemba@gmail.com</t>
  </si>
  <si>
    <t>www.sabsapopemba.com.br</t>
  </si>
  <si>
    <t>6074.2022/0007363-9</t>
  </si>
  <si>
    <t>653/22</t>
  </si>
  <si>
    <t>21.802.557/0001-16</t>
  </si>
  <si>
    <t>RESIDENCIAL PARA IDOSO ARCO-ÍRIS LTDA</t>
  </si>
  <si>
    <t xml:space="preserve"> 6074.2022/0007434-1</t>
  </si>
  <si>
    <t>Avenida Cândido Portinari, 728</t>
  </si>
  <si>
    <t>05.114-001</t>
  </si>
  <si>
    <t>Vila Jaguará</t>
  </si>
  <si>
    <t>(11) 3621-8708</t>
  </si>
  <si>
    <t>residencialarcoiris728@gmail.com</t>
  </si>
  <si>
    <t xml:space="preserve">RESIDENCIAL RAIO DE LUZ ASSISTÊNCIA AO IDOSO EIRELI </t>
  </si>
  <si>
    <t>Rua Casa Forte, 388</t>
  </si>
  <si>
    <t>Jardim França</t>
  </si>
  <si>
    <t>654/22</t>
  </si>
  <si>
    <t>42.352.943/0001-23</t>
  </si>
  <si>
    <t>RESIDENCIAL VOVÓ CATARINA CLÍNICA DE REPOUSO LTDA</t>
  </si>
  <si>
    <t>03.972-050</t>
  </si>
  <si>
    <t>Rua Ribeiro Duarte, 675</t>
  </si>
  <si>
    <t>residencialvovocatarina2@gmail.com</t>
  </si>
  <si>
    <t xml:space="preserve"> 6074.2022/0007257-8</t>
  </si>
  <si>
    <t>17.880.277/0002-30</t>
  </si>
  <si>
    <t>60.533.940/0012-20</t>
  </si>
  <si>
    <t>655/22</t>
  </si>
  <si>
    <t>ASSOCIAÇÃO INSTRUTORA DA JUVENTUDE FEMININA</t>
  </si>
  <si>
    <t>Rua Ministro Godoi, 1484</t>
  </si>
  <si>
    <t>05015-900</t>
  </si>
  <si>
    <t>6074.2022/0007978-5</t>
  </si>
  <si>
    <t>34.276.316/0001-22</t>
  </si>
  <si>
    <t xml:space="preserve"> INSTITUTO DE ASSISTÊNCIA SOCIAL, SAÚDE, EDUCAÇÃO, TURISMO E LAZER - GERA - INTERGERAÇÕES</t>
  </si>
  <si>
    <t>6074.2022/0008160-7</t>
  </si>
  <si>
    <t>contato@institutogera.org</t>
  </si>
  <si>
    <t xml:space="preserve">www.instituogera.org </t>
  </si>
  <si>
    <t>(11) 96601-6434</t>
  </si>
  <si>
    <t>Rua Icaraí, 106</t>
  </si>
  <si>
    <t>03071-050</t>
  </si>
  <si>
    <t>Carrão</t>
  </si>
  <si>
    <t>658/22</t>
  </si>
  <si>
    <t>03.461.079/0001-46</t>
  </si>
  <si>
    <t>INSTITUIÇÃO SOPHIA DE ORNELLAS DONATI</t>
  </si>
  <si>
    <t>6074.2022/0008029-5</t>
  </si>
  <si>
    <t>Rua Domingos Ferreira, 80</t>
  </si>
  <si>
    <t>02.433-090</t>
  </si>
  <si>
    <t>Mandaqui</t>
  </si>
  <si>
    <t>(11) 2232-3264</t>
  </si>
  <si>
    <t>contato@casaluzdocaminho.org.br</t>
  </si>
  <si>
    <t>www.casaluzdocaminho.org.br</t>
  </si>
  <si>
    <t>659/22</t>
  </si>
  <si>
    <t>42.370.394/0001-10</t>
  </si>
  <si>
    <t>RESIDENCIAL SÃO MIGUEL ARCANJO ASSISTÊNCIA PARA IDOSOS LTDA</t>
  </si>
  <si>
    <t>6074.2022/0007720-0</t>
  </si>
  <si>
    <t>R. Meru, 149</t>
  </si>
  <si>
    <t>03141-020</t>
  </si>
  <si>
    <t>Parque da Vila Prudente</t>
  </si>
  <si>
    <t>(11) 2084-7053</t>
  </si>
  <si>
    <t>residencialsma0@gmail.com</t>
  </si>
  <si>
    <t>660/22</t>
  </si>
  <si>
    <t>661/22</t>
  </si>
  <si>
    <t>25.176.385/0001-73</t>
  </si>
  <si>
    <t>SÃO FRANCISCO RESIDENCIAL PARA IDOSOS LTDA</t>
  </si>
  <si>
    <t>Rua Moreira e Costa, 600</t>
  </si>
  <si>
    <t>04266-010</t>
  </si>
  <si>
    <t>(11) 2355-4134</t>
  </si>
  <si>
    <t>contato@sfresidencialparaidosos.com.br</t>
  </si>
  <si>
    <t>6074.2022/0008196-8</t>
  </si>
  <si>
    <t>47.796.461/0001-86</t>
  </si>
  <si>
    <t>SOCIEDADE BENEFICENTE ROSALIA DE CASTRO</t>
  </si>
  <si>
    <t>6074.2022/0008033-3</t>
  </si>
  <si>
    <t>Rua Maracaju, 35</t>
  </si>
  <si>
    <t>04013-020</t>
  </si>
  <si>
    <t>(11) 5549-1600</t>
  </si>
  <si>
    <t>ASSOCIAÇÃO DE ASSISTÊNCIA À CRIANÇA DEFICIENTE</t>
  </si>
  <si>
    <t>Rua Professor Ascendino Reis, 724</t>
  </si>
  <si>
    <t>04027-000</t>
  </si>
  <si>
    <t>Vila Clementino</t>
  </si>
  <si>
    <t>www.aacd.org.br</t>
  </si>
  <si>
    <t>6074.2022/0007575-5</t>
  </si>
  <si>
    <t>CASA DE REPOUSO RECANTO DA TERCEIRA IDADE S/S LTDA</t>
  </si>
  <si>
    <t>Rua Armorial, 85</t>
  </si>
  <si>
    <t>04261-070</t>
  </si>
  <si>
    <t>(11) 2591-3762</t>
  </si>
  <si>
    <t>6074.2022/0008059-7</t>
  </si>
  <si>
    <t>NURSE’S LIFE CUIDADORES LEGAIS LTDA</t>
  </si>
  <si>
    <t>Rua Meru, 131</t>
  </si>
  <si>
    <t>(11) 2272-8482</t>
  </si>
  <si>
    <t>nurseslifems@gmail.com</t>
  </si>
  <si>
    <t>6074.2022/0007576-3</t>
  </si>
  <si>
    <t>HRSV RESIDENCIAL PARA IDOSOS LTDA.</t>
  </si>
  <si>
    <t>Rua Dias de Toledo, 215</t>
  </si>
  <si>
    <t>04143-030</t>
  </si>
  <si>
    <t>(11) 5070-0230</t>
  </si>
  <si>
    <t>r.forgiarini@orpea.com.br</t>
  </si>
  <si>
    <t>6074.2022/0007932-7</t>
  </si>
  <si>
    <t xml:space="preserve">GIORNI FELICE - CASA DE REPOUSO LTDA </t>
  </si>
  <si>
    <t xml:space="preserve"> 6074.2022/0008278-6</t>
  </si>
  <si>
    <t>CASA DE REPOUSO ESTRELA NASCENTE LTDA</t>
  </si>
  <si>
    <t>Rua Paracatu, 919</t>
  </si>
  <si>
    <t>04302-022</t>
  </si>
  <si>
    <t>Parque Imperial</t>
  </si>
  <si>
    <t>(11) 2069-8087</t>
  </si>
  <si>
    <t>www.casaderepousoestrelanascente.com.br</t>
  </si>
  <si>
    <t xml:space="preserve"> 6074.2022/0007773-1</t>
  </si>
  <si>
    <t xml:space="preserve">Rua Padre Cerda, nº 200 </t>
  </si>
  <si>
    <t>05448-050</t>
  </si>
  <si>
    <t>Jardim Atibaia</t>
  </si>
  <si>
    <t>juridico@ligasolidaria.org.br</t>
  </si>
  <si>
    <t>6074.2022/0007772-3</t>
  </si>
  <si>
    <t>Rua dos Caetés, 587</t>
  </si>
  <si>
    <t>05016-081</t>
  </si>
  <si>
    <t>(11) 3871-3583</t>
  </si>
  <si>
    <t>www.casaderepousoelite.com.br</t>
  </si>
  <si>
    <t>6074.2022/0008027-9</t>
  </si>
  <si>
    <t>Rua Demostenes, 835</t>
  </si>
  <si>
    <t>04614-014</t>
  </si>
  <si>
    <t>(11) 5041-6924</t>
  </si>
  <si>
    <t xml:space="preserve"> 6074.2022/0008060-0</t>
  </si>
  <si>
    <t>244.2/18</t>
  </si>
  <si>
    <t>Rua Juvenal Parada, 125</t>
  </si>
  <si>
    <t>03167-060</t>
  </si>
  <si>
    <t>(11) 98105-0052</t>
  </si>
  <si>
    <t xml:space="preserve">Rua Biguaçú, n° 411 </t>
  </si>
  <si>
    <t>03446-000</t>
  </si>
  <si>
    <t>6074.2022/0007574-7</t>
  </si>
  <si>
    <t>6074.2022/0008531-9</t>
  </si>
  <si>
    <t xml:space="preserve">Rua Biguaçu, 116 </t>
  </si>
  <si>
    <t>3804-2374</t>
  </si>
  <si>
    <t>vilaharmoniaresidencial@gmail.com</t>
  </si>
  <si>
    <t>www.casaderepousovh.com.br</t>
  </si>
  <si>
    <t>6074.2022/0008801-6</t>
  </si>
  <si>
    <t>www.funsai.org.br</t>
  </si>
  <si>
    <t>Rua Dom Luis Lasanha, 255</t>
  </si>
  <si>
    <t>04266-030</t>
  </si>
  <si>
    <t>6074.2022/0008248-4</t>
  </si>
  <si>
    <t>6074.2022/0009139-4</t>
  </si>
  <si>
    <t>www.xododavovo.wix.com</t>
  </si>
  <si>
    <t>2218-2609</t>
  </si>
  <si>
    <t>Rua Maria Cândida, 732</t>
  </si>
  <si>
    <t>02271-000</t>
  </si>
  <si>
    <t>CASA DE REPOUSO XODÓ DA VOVÓ LTDA</t>
  </si>
  <si>
    <t>T-CUIDO CASA DE REPOUSO EIRELI</t>
  </si>
  <si>
    <t>Rua Major Basílio, 544</t>
  </si>
  <si>
    <t>03181-010</t>
  </si>
  <si>
    <t>Vila Bertioga</t>
  </si>
  <si>
    <t>3473-3831</t>
  </si>
  <si>
    <t>tcuido.assistencial@gmail.com</t>
  </si>
  <si>
    <t>www.bemvivercasarepouso.com.br</t>
  </si>
  <si>
    <t>6074.2022/0008529-7</t>
  </si>
  <si>
    <t>180.1/17</t>
  </si>
  <si>
    <t>180.2/17</t>
  </si>
  <si>
    <t>26.836.539/0002-50</t>
  </si>
  <si>
    <t>Av Professor Frederico Hermann Junior, 450</t>
  </si>
  <si>
    <t>05459-010</t>
  </si>
  <si>
    <t>3021-1500</t>
  </si>
  <si>
    <t>6074.2022/0008598-0</t>
  </si>
  <si>
    <t>Rua Henrique Almeida, 73</t>
  </si>
  <si>
    <t>02562-110</t>
  </si>
  <si>
    <t>Vila Santa Maria</t>
  </si>
  <si>
    <t>3856-9033</t>
  </si>
  <si>
    <t>6074.2022/0008530-0</t>
  </si>
  <si>
    <t>CASA DE REPOUSO GERIATRICO RESIDENCIAL SOLAR DA MOOCA LTDA</t>
  </si>
  <si>
    <t>Rua Padre Raposo, 713</t>
  </si>
  <si>
    <t>03118-001</t>
  </si>
  <si>
    <t>2219-2802</t>
  </si>
  <si>
    <t>6074.2022/0008425-8</t>
  </si>
  <si>
    <t>CASA DE REPOUSO A. FRANCO LTDA</t>
  </si>
  <si>
    <t>Rua Aratuípe, 64</t>
  </si>
  <si>
    <t>03357-060</t>
  </si>
  <si>
    <t>legalizacao@grupopacini.com.br</t>
  </si>
  <si>
    <t>6074.2022/0009092-4</t>
  </si>
  <si>
    <t>6074.2022/0008805-9</t>
  </si>
  <si>
    <t>3361-3053</t>
  </si>
  <si>
    <t>Rua Javes, 197</t>
  </si>
  <si>
    <t>01130-010</t>
  </si>
  <si>
    <t xml:space="preserve">INSTITUTO NOVA UNIÃO DA ARTE </t>
  </si>
  <si>
    <t>6074.2022/0009020-7</t>
  </si>
  <si>
    <t>www.novauniaodaarte.org</t>
  </si>
  <si>
    <t>5116-4249</t>
  </si>
  <si>
    <t>Travessa Santa Barbara, 09</t>
  </si>
  <si>
    <t>02307-260</t>
  </si>
  <si>
    <t>www.crvillasenior.com.br</t>
  </si>
  <si>
    <t>6074.2022/0009018-5</t>
  </si>
  <si>
    <t>6074.2022/0008852-0</t>
  </si>
  <si>
    <t xml:space="preserve">Rua Camé, nº 512 </t>
  </si>
  <si>
    <t>03120-020</t>
  </si>
  <si>
    <t>2021-8954</t>
  </si>
  <si>
    <t>649.1/22</t>
  </si>
  <si>
    <t>649.2/22</t>
  </si>
  <si>
    <t>(11) 2574-1595</t>
  </si>
  <si>
    <t>40.119.586/0002-03</t>
  </si>
  <si>
    <t>Av Agenor Couto de Magalhães, 319</t>
  </si>
  <si>
    <t>662/22</t>
  </si>
  <si>
    <t>663/22</t>
  </si>
  <si>
    <t>664/22</t>
  </si>
  <si>
    <t>665/22</t>
  </si>
  <si>
    <t>666/22</t>
  </si>
  <si>
    <t>667/22</t>
  </si>
  <si>
    <t>668/22</t>
  </si>
  <si>
    <t>669/22</t>
  </si>
  <si>
    <t>670/22</t>
  </si>
  <si>
    <t>CASA DE REPOUSO AFETO BRASIL LTDA</t>
  </si>
  <si>
    <t>6074.2022/0008651-0</t>
  </si>
  <si>
    <t>18.343.545/0001-66</t>
  </si>
  <si>
    <t>Avenida Franscisco de Carvalho, 258</t>
  </si>
  <si>
    <t>04784-230</t>
  </si>
  <si>
    <t xml:space="preserve">(11) 5925-2823 </t>
  </si>
  <si>
    <t>respousoafetobrasil@gmail.com</t>
  </si>
  <si>
    <t>CASA DE REPOUSO RESIDENCIAL S&amp;S LTDA</t>
  </si>
  <si>
    <t>6074.2022/0008318-9</t>
  </si>
  <si>
    <t>Rua dos Martires Armenios, 1215</t>
  </si>
  <si>
    <t>45.645.721/0001-97</t>
  </si>
  <si>
    <t xml:space="preserve">02345-000 </t>
  </si>
  <si>
    <t>(11) 2261-3945</t>
  </si>
  <si>
    <t>atalaiaresidencial.contato@gmail.com</t>
  </si>
  <si>
    <t>www.residencialatalaia.com.br</t>
  </si>
  <si>
    <t>CASA DE REPOUSO UM NOVO TEMPO LTDA</t>
  </si>
  <si>
    <t>6074.2022/0009017-7</t>
  </si>
  <si>
    <t>Rua Bicudo de Brito, 338</t>
  </si>
  <si>
    <t>04316-060</t>
  </si>
  <si>
    <t>(11) 5012-2434</t>
  </si>
  <si>
    <t>DM CASA DE REPOUSO LTDA</t>
  </si>
  <si>
    <t>6074.2022/0008807-5</t>
  </si>
  <si>
    <t>44.384.206/0001-38</t>
  </si>
  <si>
    <t>Rua Verbo Divino, 522</t>
  </si>
  <si>
    <t>04719-001</t>
  </si>
  <si>
    <t>(11) 5589-9700</t>
  </si>
  <si>
    <t>diretoria.residencialmaximo@gmail.com</t>
  </si>
  <si>
    <t>www.residencialmaximo.com.br</t>
  </si>
  <si>
    <t>FUNDAÇÃO OBSERVATÓRIO DO LIVRO E DA LEITURA</t>
  </si>
  <si>
    <t>6074.2022/0008322-7</t>
  </si>
  <si>
    <t>fundacao@observatoriodolivro.org.br</t>
  </si>
  <si>
    <t>www.observatoriodolivro.org.br</t>
  </si>
  <si>
    <t>(16) 3442-7908</t>
  </si>
  <si>
    <t>03.557.293/0001-09</t>
  </si>
  <si>
    <t>INSTITUTO HORAS DA VIDA</t>
  </si>
  <si>
    <t>6074.2022/0009094-0</t>
  </si>
  <si>
    <t>19.030.412/0001-00</t>
  </si>
  <si>
    <t>www.horasdavida.org.br</t>
  </si>
  <si>
    <t>LAR JESUS GONÇALVES</t>
  </si>
  <si>
    <t>6074.2022/0008921-7</t>
  </si>
  <si>
    <t>Rua Coronel Juliano, 72</t>
  </si>
  <si>
    <t>23.221.345/0001-70</t>
  </si>
  <si>
    <t>04782-100</t>
  </si>
  <si>
    <t>(11) 5667-4034</t>
  </si>
  <si>
    <t>peneiras@uol.com.br</t>
  </si>
  <si>
    <t>NOSTRA CASA LTDA</t>
  </si>
  <si>
    <t>6074.2022/0008922-5</t>
  </si>
  <si>
    <t>36.338.783/0001-65</t>
  </si>
  <si>
    <t>Rua Alvarenga, 2333</t>
  </si>
  <si>
    <t>05509-006</t>
  </si>
  <si>
    <t>ROGERIO PEDRO DE FARIA LTDA</t>
  </si>
  <si>
    <t>44.769.637/0001-12</t>
  </si>
  <si>
    <t>Rua Marina Cintra, 222</t>
  </si>
  <si>
    <t>01446-060</t>
  </si>
  <si>
    <t>Jardim Europa</t>
  </si>
  <si>
    <t>6074.2022/0008599-8</t>
  </si>
  <si>
    <t>VIGORA SENIOR CASA DE REPOUSO LTDA</t>
  </si>
  <si>
    <t>42.502.589/0001-76</t>
  </si>
  <si>
    <t>Rua Equici, 427</t>
  </si>
  <si>
    <t>03647-040</t>
  </si>
  <si>
    <t>Vila Esperança</t>
  </si>
  <si>
    <t>vigorasenior@gmail.com</t>
  </si>
  <si>
    <t>6074.2022/0009016-9</t>
  </si>
  <si>
    <t>Rua Rio Vila Nova, n° 6-C</t>
  </si>
  <si>
    <t>08072-255</t>
  </si>
  <si>
    <t>União de Vila Nova</t>
  </si>
  <si>
    <t>656.1/22</t>
  </si>
  <si>
    <t>656.2/22</t>
  </si>
  <si>
    <t>656.3/22</t>
  </si>
  <si>
    <t>656.4/22</t>
  </si>
  <si>
    <t>657/22</t>
  </si>
  <si>
    <t>RESIDENCIAL VILA HARMONIA PARA IDOSOS EIRELI</t>
  </si>
  <si>
    <t>FUNDAÇÃO NOSSA SENHORA AUXILIADORA DO IPIRANGA</t>
  </si>
  <si>
    <t>671/22</t>
  </si>
  <si>
    <t>672/22</t>
  </si>
  <si>
    <t>673/22</t>
  </si>
  <si>
    <t>674/22</t>
  </si>
  <si>
    <t>675/22</t>
  </si>
  <si>
    <t>22.386.727/0001-91</t>
  </si>
  <si>
    <t>Brasilândia</t>
  </si>
  <si>
    <t>(11) 3921-9865</t>
  </si>
  <si>
    <t>aflorypaeamor@hotmail.com</t>
  </si>
  <si>
    <t>CASA DE REPOUSO MEUS AVÓS LTDA</t>
  </si>
  <si>
    <t>CASA DE REPOUSO MEUS AVÓS</t>
  </si>
  <si>
    <t>45.921.287/0001-20</t>
  </si>
  <si>
    <t>Rua João Dias Mendes, n° 141</t>
  </si>
  <si>
    <t>08280-550</t>
  </si>
  <si>
    <t>Jd. Nossa Sra. do Carmo</t>
  </si>
  <si>
    <t>(11) 96299-2790</t>
  </si>
  <si>
    <t>casaderepousomeusavos@gmail.com</t>
  </si>
  <si>
    <t>JF8 CASA DE REPOUSO LTDA</t>
  </si>
  <si>
    <t>RESIDENCIAL GOLD SENIOR</t>
  </si>
  <si>
    <t>34.383.239/0001-00</t>
  </si>
  <si>
    <t>Rua Manaus, nº 519</t>
  </si>
  <si>
    <t>03185-040</t>
  </si>
  <si>
    <t>(11) 2532-7188</t>
  </si>
  <si>
    <t>residencialgoldsenior3006@gmail.com</t>
  </si>
  <si>
    <t>MARCOS JOSE FERNANDES DE MELO LTDA</t>
  </si>
  <si>
    <t>RECANTO DO AMOR</t>
  </si>
  <si>
    <t>38.129.260/0001-34</t>
  </si>
  <si>
    <t>Rua Padre Azevedo, n°260</t>
  </si>
  <si>
    <t>Jd. São Paulo</t>
  </si>
  <si>
    <t>(11) 2950-9030</t>
  </si>
  <si>
    <t>simonegrave@hotmail.com</t>
  </si>
  <si>
    <t>01.429.614/0001-56</t>
  </si>
  <si>
    <t>A E Carvalho</t>
  </si>
  <si>
    <t>www.abcaurora.org.br</t>
  </si>
  <si>
    <t>ASSOCIAÇÃO BENEFICENTE COMUNITÁRIA AURORA</t>
  </si>
  <si>
    <t>62.805.759/0001-08</t>
  </si>
  <si>
    <t>5853-2051</t>
  </si>
  <si>
    <t>390.2/20</t>
  </si>
  <si>
    <t>6074.2022/0009526-8</t>
  </si>
  <si>
    <t>6074.2022/0009995-6</t>
  </si>
  <si>
    <t>6074.2022/0010004-0</t>
  </si>
  <si>
    <t>6074.2022/0010042-3</t>
  </si>
  <si>
    <t>6074.2022/0009940-9</t>
  </si>
  <si>
    <t>MARPE CASA DE REPOUSO EIRELI</t>
  </si>
  <si>
    <t>Rua Dr. Romeo Ferro, n° 246</t>
  </si>
  <si>
    <t>05591-000</t>
  </si>
  <si>
    <t>Jd. Bonfiglioli</t>
  </si>
  <si>
    <t>(11) 3724-9740</t>
  </si>
  <si>
    <t>cadastro@sbaresidencial.org.br</t>
  </si>
  <si>
    <t>6074.2022/0009523-3</t>
  </si>
  <si>
    <t>Rua Grapirá, n° 79</t>
  </si>
  <si>
    <t>08030-190</t>
  </si>
  <si>
    <t>Vila Curuçá</t>
  </si>
  <si>
    <t>(11) 2584-2272</t>
  </si>
  <si>
    <t>6074.2022/0009947-6</t>
  </si>
  <si>
    <t>6074.2022/0009525-0</t>
  </si>
  <si>
    <t>CENTRO DE REPOUSO VILA MARIANA LTDA</t>
  </si>
  <si>
    <t>Rua Dr. Fabrício Vampré, n° 90</t>
  </si>
  <si>
    <t>04014-020</t>
  </si>
  <si>
    <t>(11) 5575-6999</t>
  </si>
  <si>
    <t>abigail@casadavilamariana.com.br</t>
  </si>
  <si>
    <t>www.casadavilamariana.com.br</t>
  </si>
  <si>
    <t>56.815.236/0002-11</t>
  </si>
  <si>
    <t>Rua Madre Cabrini, n° 513</t>
  </si>
  <si>
    <t>04020-001</t>
  </si>
  <si>
    <t>56.815.236/0006-45</t>
  </si>
  <si>
    <t>Rua Joaquim Távora, n° 1021</t>
  </si>
  <si>
    <t>04015-002</t>
  </si>
  <si>
    <t>RESIDENCIAL REAL LTDA ME</t>
  </si>
  <si>
    <t>05854-130</t>
  </si>
  <si>
    <t>Pq. Maria Helena</t>
  </si>
  <si>
    <t>contato@horasdavida.org.br</t>
  </si>
  <si>
    <t>(11) 99497-9467.</t>
  </si>
  <si>
    <t>22.216.646/0001-43</t>
  </si>
  <si>
    <t>Rua Emilio Colella, 172</t>
  </si>
  <si>
    <t>05126-130</t>
  </si>
  <si>
    <t>(11) 3901-3815</t>
  </si>
  <si>
    <t>camila.02florio@gmail.com</t>
  </si>
  <si>
    <t>6074.2023/0000245-8</t>
  </si>
  <si>
    <t>676/23</t>
  </si>
  <si>
    <t>INSTITUTO AMIGOS DA PRAÇA NOS TRILHOS DA CIDADANIA</t>
  </si>
  <si>
    <t>TRILHAS NA DIVERSIDADE CULTURAL DO BRÁS</t>
  </si>
  <si>
    <t>10.688.980/0001-10</t>
  </si>
  <si>
    <t>Rua Piratininga, nº 270</t>
  </si>
  <si>
    <t>03042-000</t>
  </si>
  <si>
    <t>(11) 99901-7942</t>
  </si>
  <si>
    <t>trilhadiversidadeculturalbras@gmail.com</t>
  </si>
  <si>
    <t>amigosdapracabras.blogspot.com</t>
  </si>
  <si>
    <t>6074.2023/0000009-9</t>
  </si>
  <si>
    <t>02.654.238/0001-66</t>
  </si>
  <si>
    <t>Rua Conde de São Joaquim, nº 179</t>
  </si>
  <si>
    <t>01320-010</t>
  </si>
  <si>
    <t>Bela Vista</t>
  </si>
  <si>
    <t>(11) 99258-6898</t>
  </si>
  <si>
    <t>nadiramaral@uol.com.br</t>
  </si>
  <si>
    <t>www.aprofe.org.br</t>
  </si>
  <si>
    <t>6074.2023/0000166-4</t>
  </si>
  <si>
    <t>RESIDENCIAL REAL</t>
  </si>
  <si>
    <t>6074.2023/0000202-4</t>
  </si>
  <si>
    <t>CENTRO OSCAR ROMERO DE DEFESA DOS DIREITOS HUMANOS - COR</t>
  </si>
  <si>
    <t>02.722.761/0001-82</t>
  </si>
  <si>
    <t>Rua Avenida do Cursino, nº 4305</t>
  </si>
  <si>
    <t>04169-000</t>
  </si>
  <si>
    <t>Vila Moraes</t>
  </si>
  <si>
    <t>(11) 2307-3234</t>
  </si>
  <si>
    <t>cor.psicossocial@gmail.com</t>
  </si>
  <si>
    <t>instagram.com/ong.cor</t>
  </si>
  <si>
    <t>6074.2023/0000255-5</t>
  </si>
  <si>
    <t>INSTITUTO DOM DIEGO</t>
  </si>
  <si>
    <t>GARANTINDO UM AMANHÃ COM MAIS SAÚDE E BEM ESTAR PARA A MELHOR IDADE</t>
  </si>
  <si>
    <t>41.173.426/0001-24</t>
  </si>
  <si>
    <t>Rua Jacome Teles de Menezes, nº 845</t>
  </si>
  <si>
    <t>institutodomdiego@gmail.com</t>
  </si>
  <si>
    <t>6074.2023/0000273-3</t>
  </si>
  <si>
    <t>680/23</t>
  </si>
  <si>
    <t>J LAR DE IDOSOS LTDA</t>
  </si>
  <si>
    <t>RESIDENCIAL SENIOR PARADA INGLESA</t>
  </si>
  <si>
    <t>20.948.529/0001-49</t>
  </si>
  <si>
    <t>02242-000</t>
  </si>
  <si>
    <t>(11) 3680-7115</t>
  </si>
  <si>
    <t>residencialseniorpi@terra.com.br</t>
  </si>
  <si>
    <t>www.lardeidososparadainglesa.com.br</t>
  </si>
  <si>
    <t>6074.2023/0000335-7</t>
  </si>
  <si>
    <t>681/23</t>
  </si>
  <si>
    <t>RESIDENCIAL PARA IDOSOS CASA VITA LTDA</t>
  </si>
  <si>
    <t>CASA VITA RESIDENCIAL</t>
  </si>
  <si>
    <t>39.147.770/0001-05</t>
  </si>
  <si>
    <t>Avenida General Ataliba Leonel, nº 3401</t>
  </si>
  <si>
    <t>Rua Dr. Francisco Pati, nº 193</t>
  </si>
  <si>
    <t>05352-090</t>
  </si>
  <si>
    <t>Vila São Francisco</t>
  </si>
  <si>
    <t>(11) 2935-6070 / (11) 91230-0049</t>
  </si>
  <si>
    <t>qualidade@casavita.com.br</t>
  </si>
  <si>
    <t>www.casavita.com.br</t>
  </si>
  <si>
    <t>6074.2023/0000332-2</t>
  </si>
  <si>
    <t>Jardim Deputado José Armando Affonseca</t>
  </si>
  <si>
    <t>01239-060</t>
  </si>
  <si>
    <t>(11) 91022-2308</t>
  </si>
  <si>
    <t>ipabrasil.org</t>
  </si>
  <si>
    <t>6074.2023/0000384-5</t>
  </si>
  <si>
    <t>CASA DE REPOUSO DAS OLIVEIRAS</t>
  </si>
  <si>
    <t>48.400.827/0001-19</t>
  </si>
  <si>
    <t>Rua dos Mártires Armênios, nº 1080</t>
  </si>
  <si>
    <t>(11) 2994-2492 / (11) 91265-4520</t>
  </si>
  <si>
    <t>repousodasoliveiras@gmail.com</t>
  </si>
  <si>
    <t>www.repousodasoliveiras.com.br</t>
  </si>
  <si>
    <t>6074.2023/0000028-5</t>
  </si>
  <si>
    <t>683/23</t>
  </si>
  <si>
    <t>62.798.699/0003-04</t>
  </si>
  <si>
    <t>Rua Treze de Maio, nº 469</t>
  </si>
  <si>
    <t>01327-000</t>
  </si>
  <si>
    <t>(11) 2667-1303 / (11) 3111-7230 / (11) 97668-1022</t>
  </si>
  <si>
    <t>documento@achiropita.org.br / admgepes@achiropita.org.br</t>
  </si>
  <si>
    <t>www.achiropita.org.br</t>
  </si>
  <si>
    <t>6074.2023/0000393-4</t>
  </si>
  <si>
    <t>684/23</t>
  </si>
  <si>
    <t>31.493.275/0001-38</t>
  </si>
  <si>
    <t>Rua Baldomero Carqueja, nº 144</t>
  </si>
  <si>
    <t>05780-260</t>
  </si>
  <si>
    <t>Vila Prel</t>
  </si>
  <si>
    <t>www.institutonovosvalores.org.br</t>
  </si>
  <si>
    <t>diretoria@institutonovosvalores.org.br / equipetecnica@institutonovosvalores.org.br</t>
  </si>
  <si>
    <t>6074.2023/0000423-0</t>
  </si>
  <si>
    <t>685/23</t>
  </si>
  <si>
    <t>42.336.583/0001-76</t>
  </si>
  <si>
    <t>Rua Texas, nº 1074</t>
  </si>
  <si>
    <t>04557-001</t>
  </si>
  <si>
    <t>(11) 5505-6695 / (11) 95559-8199</t>
  </si>
  <si>
    <t>residencial.bgv@gmail.com</t>
  </si>
  <si>
    <t>www.residencialbgv.com.br</t>
  </si>
  <si>
    <t>6074.2023/0000471-0</t>
  </si>
  <si>
    <t>686/23</t>
  </si>
  <si>
    <t>VIVA LA VITTA RESIDENCIAL SENIOR LTDA</t>
  </si>
  <si>
    <t>42.078.829/0001-57</t>
  </si>
  <si>
    <t>01235-000</t>
  </si>
  <si>
    <t>6074.2023/0000655-0</t>
  </si>
  <si>
    <t>687/23</t>
  </si>
  <si>
    <t>BETEL LAR DE IDOSOS LTDA</t>
  </si>
  <si>
    <t>45.544.278/0001-68</t>
  </si>
  <si>
    <t>Rua Rio São Lourenço, 65</t>
  </si>
  <si>
    <t>04858-620</t>
  </si>
  <si>
    <t>Jd. Campinas</t>
  </si>
  <si>
    <t>(11) 96131-6613</t>
  </si>
  <si>
    <t>betellardeidosos@gmail.com</t>
  </si>
  <si>
    <t>instagram.com/betellardeidosos</t>
  </si>
  <si>
    <t>6074.2023/0000637-2</t>
  </si>
  <si>
    <t>CNPJ Filial</t>
  </si>
  <si>
    <t>CNPJ Matriz</t>
  </si>
  <si>
    <t>RES</t>
  </si>
  <si>
    <t>ENDEREÇO DO PROGRAMA</t>
  </si>
  <si>
    <t>2 (dois) anos</t>
  </si>
  <si>
    <t>4 (quatro) anos</t>
  </si>
  <si>
    <t>ILPI RESIDENCIAL BOUGANVILE LTDA</t>
  </si>
  <si>
    <t>688/23</t>
  </si>
  <si>
    <t>ICIS - INSTITUTO DE CAPACITAÇÃO E INCLUSÃO SOCIAL</t>
  </si>
  <si>
    <t>13.096.305/0001-90</t>
  </si>
  <si>
    <t>Rua Ipiranga, 792 - Jardim Aeroporto (Parque do Chuvisco)</t>
  </si>
  <si>
    <t>03178-200</t>
  </si>
  <si>
    <t>Jardim Aeroporto</t>
  </si>
  <si>
    <t>11) 95361-3791</t>
  </si>
  <si>
    <t>iciscapacitacaoeinclusao@gmail.com</t>
  </si>
  <si>
    <t>6074.2023/0000275-0</t>
  </si>
  <si>
    <t>Av. Pacaembu, nº 1739</t>
  </si>
  <si>
    <t>01234-001</t>
  </si>
  <si>
    <t>3477-4634</t>
  </si>
  <si>
    <t>sonia@residencialemfamilia.com.br</t>
  </si>
  <si>
    <t>6074.2023/0001359-0</t>
  </si>
  <si>
    <t>Av. Pedroso de Moraes, n° 2525</t>
  </si>
  <si>
    <t>05419-001</t>
  </si>
  <si>
    <t>2371-8065</t>
  </si>
  <si>
    <t>www.seniorvita.com.br</t>
  </si>
  <si>
    <t>6074.2023/0001030-2</t>
  </si>
  <si>
    <t>6074.2023/0000863-4</t>
  </si>
  <si>
    <t>5832-2269</t>
  </si>
  <si>
    <t>supervisao@socialbomjesus.org.br</t>
  </si>
  <si>
    <t>6074.2023/0001192-9</t>
  </si>
  <si>
    <t>Avenida Paes de Barros, nº 1994</t>
  </si>
  <si>
    <t>03114-001</t>
  </si>
  <si>
    <t>www.casaderepousoamparo.com.br</t>
  </si>
  <si>
    <t>6074.2023/0001028-0</t>
  </si>
  <si>
    <t>Avenida São Lucas, nº 404</t>
  </si>
  <si>
    <t>03239-000</t>
  </si>
  <si>
    <t>Pq. São Lucas</t>
  </si>
  <si>
    <t>6074.2023/0001381-6</t>
  </si>
  <si>
    <t>689/23</t>
  </si>
  <si>
    <t>ASSOCIAÇÃO CULTURAL NOSSA SENHORA</t>
  </si>
  <si>
    <t>05.919.155/0001-40</t>
  </si>
  <si>
    <t>Rua Anhupoca, n°94</t>
  </si>
  <si>
    <t>tecnica.cdisantadulce@acnsg.org</t>
  </si>
  <si>
    <t>www.acnsg.com.br</t>
  </si>
  <si>
    <t>6074.2023/0000939-8</t>
  </si>
  <si>
    <t>08215-660</t>
  </si>
  <si>
    <t>690/23</t>
  </si>
  <si>
    <t>SENIOR VITA RESIDENCIAL PARA IDOSOS LTDA</t>
  </si>
  <si>
    <t>32.112.114/0001-10</t>
  </si>
  <si>
    <t>AV Pedroso de Morais, n° 2293</t>
  </si>
  <si>
    <t>(11) 2217-8333</t>
  </si>
  <si>
    <t>(11) 2371-8065</t>
  </si>
  <si>
    <t>691/23</t>
  </si>
  <si>
    <t>02.928.443/0001-72</t>
  </si>
  <si>
    <t>CENTRO DE INTEGRAÇÃO ASSISTENCIAL E PROFISSIONAL SÃO PATRÍCIO</t>
  </si>
  <si>
    <t>Rua Jacarandá Preto, n°227</t>
  </si>
  <si>
    <t>03251-070</t>
  </si>
  <si>
    <t>Vila Industrial</t>
  </si>
  <si>
    <t>(11) 2703-7441</t>
  </si>
  <si>
    <t>tecnicosncirespeitoedignidade@ciapsaopatricio.org.br</t>
  </si>
  <si>
    <t>www.ciapsaopatricio.org.br</t>
  </si>
  <si>
    <t>6074.2023/0001197-0</t>
  </si>
  <si>
    <t>692/23</t>
  </si>
  <si>
    <t>CASA DE REPOUSO NOVO NASCIMENTO LTDA</t>
  </si>
  <si>
    <t>27.108.529/0001-80</t>
  </si>
  <si>
    <t>Rua Tenente Miguel Delia, n° 114</t>
  </si>
  <si>
    <t>08021-090</t>
  </si>
  <si>
    <t>Vila Rosaria</t>
  </si>
  <si>
    <t>(11)3368-9095</t>
  </si>
  <si>
    <t>crnovonascimento@gmail.com</t>
  </si>
  <si>
    <t>6074.2023/0001396-4</t>
  </si>
  <si>
    <t>07.463.506/0003-48</t>
  </si>
  <si>
    <t>039.2/15</t>
  </si>
  <si>
    <t>QUALITÁ ASSISTÊNCIA A SAÚDE LTDA</t>
  </si>
  <si>
    <t>Rua Verbo Divino, n° 415</t>
  </si>
  <si>
    <t>(11) 5183-4413</t>
  </si>
  <si>
    <t>adm2@residencialqualita.com.br</t>
  </si>
  <si>
    <t>693/23</t>
  </si>
  <si>
    <t>MERVIN - LAR DE LONGA PERMANENCIA PARA IDOSOS LTDA</t>
  </si>
  <si>
    <t>37.818.090/0001-32</t>
  </si>
  <si>
    <t>04319-020</t>
  </si>
  <si>
    <t>Rua Onze de Fevereiro. n° 401</t>
  </si>
  <si>
    <t>(11) 5588-5057</t>
  </si>
  <si>
    <t>meire_enfermagem@hotmail.com</t>
  </si>
  <si>
    <t>6074.2023/0001565-7</t>
  </si>
  <si>
    <t>VILLAGIO EM FAMÍLIA CASA DE REPOUSO LTDA</t>
  </si>
  <si>
    <t>www.recantodoidoso.com.br</t>
  </si>
  <si>
    <t>6074.2023/0001561-4</t>
  </si>
  <si>
    <t>05275-000</t>
  </si>
  <si>
    <t xml:space="preserve">Rod. Anhanguera, KM 21.5 </t>
  </si>
  <si>
    <t>Av. Guarapiranga, nº 2550</t>
  </si>
  <si>
    <t>04901-000</t>
  </si>
  <si>
    <t>Jd.São Luís</t>
  </si>
  <si>
    <t>74.087.081/0001-45</t>
  </si>
  <si>
    <t>CASA PRÓ IDOSO LTDA</t>
  </si>
  <si>
    <t>CASA DE REPOUSO SIRIUS LTDA</t>
  </si>
  <si>
    <t>162.3/17</t>
  </si>
  <si>
    <t>260.2/19</t>
  </si>
  <si>
    <t>CHERUBINS CASA DE REPOUSO LTDA</t>
  </si>
  <si>
    <t>325.2/19</t>
  </si>
  <si>
    <t>694/23</t>
  </si>
  <si>
    <t>695/23</t>
  </si>
  <si>
    <t>696/23</t>
  </si>
  <si>
    <t>697/23</t>
  </si>
  <si>
    <t>698/23</t>
  </si>
  <si>
    <t>699/23</t>
  </si>
  <si>
    <t>LONGHINI RESIDENCIAL SÊNIOR LTDA</t>
  </si>
  <si>
    <t>ESPAÇO VIDA – CDI &amp; ILPI LTDA</t>
  </si>
  <si>
    <t>INSTITUIÇÃO DE LONGA PERMANÊNCIA YESHUAH LTDA</t>
  </si>
  <si>
    <t>CASA DE REPOUSO VILA CARRÃO LTDA</t>
  </si>
  <si>
    <t>RESIDENCIAL HUMANAR LTDA</t>
  </si>
  <si>
    <t>37.507.047/0001-56</t>
  </si>
  <si>
    <t>Rua Ibó, n° 343</t>
  </si>
  <si>
    <t>03346-000</t>
  </si>
  <si>
    <t>Vl. Regente Feijó</t>
  </si>
  <si>
    <t>(11) 2028-5699</t>
  </si>
  <si>
    <t>ana.alice.a.fernandes@gmail.com</t>
  </si>
  <si>
    <t>Rua Franco Paulista, n° 181</t>
  </si>
  <si>
    <t>02332-030</t>
  </si>
  <si>
    <t>(11) 2950-5497</t>
  </si>
  <si>
    <t>6074.2023/0002783-3</t>
  </si>
  <si>
    <t>01035-000</t>
  </si>
  <si>
    <t>Santa Ifigênia</t>
  </si>
  <si>
    <t>(11) 97421-2633</t>
  </si>
  <si>
    <t>6074.2023/0002503-2</t>
  </si>
  <si>
    <t>Rua dos Timbiras, n° 492 (Hotel Columbia)</t>
  </si>
  <si>
    <t>11.437.252/0003-60</t>
  </si>
  <si>
    <t>Rua Bertioga,n° 328</t>
  </si>
  <si>
    <t>04141-100</t>
  </si>
  <si>
    <t>(11) 2362-3182</t>
  </si>
  <si>
    <t>6074.2023/0002504-0</t>
  </si>
  <si>
    <t>04019-090</t>
  </si>
  <si>
    <t>Rua Gassipós, n° 220</t>
  </si>
  <si>
    <t>(11) 5539-2452</t>
  </si>
  <si>
    <t>6074.2023/0001805-2</t>
  </si>
  <si>
    <t>Av. Luis Carlos Gentile de Laet, n° 452</t>
  </si>
  <si>
    <t>(11) 2203-0701</t>
  </si>
  <si>
    <t>enfermagem@hortoflorestal.com.br</t>
  </si>
  <si>
    <t>www.clinicahortoflorestal.com.br</t>
  </si>
  <si>
    <t>6074.2023/0002517-2</t>
  </si>
  <si>
    <t>16.701.566/0002-61</t>
  </si>
  <si>
    <t>Rua Otavio Tarquínio de Souza, n° 1042</t>
  </si>
  <si>
    <t>04604-003</t>
  </si>
  <si>
    <t>(11) 4562-1022</t>
  </si>
  <si>
    <t>www.residencialnewcare.com.br</t>
  </si>
  <si>
    <t>antonio.leiva@terra.com.br</t>
  </si>
  <si>
    <t>6074.2023/0002772-8</t>
  </si>
  <si>
    <t>Rua Capitão Manuel Guimarães, n° 681</t>
  </si>
  <si>
    <t>08021-290</t>
  </si>
  <si>
    <t>Vila Rosária</t>
  </si>
  <si>
    <t>(11) 2058-0445</t>
  </si>
  <si>
    <t>casaderepousosirius2@gmail.com</t>
  </si>
  <si>
    <t>www.casaderepousosirius.com.br</t>
  </si>
  <si>
    <t>6074.2023/0002703-5</t>
  </si>
  <si>
    <t>48.594.435/0001-35</t>
  </si>
  <si>
    <t>48.459.435/0001-35</t>
  </si>
  <si>
    <t>03140-020</t>
  </si>
  <si>
    <t>Rua Marechal Malet, n° 536</t>
  </si>
  <si>
    <t>Pq. da Vila Prudente</t>
  </si>
  <si>
    <t>6074.2023/0002544-0</t>
  </si>
  <si>
    <t>6074.2023/0002748-5</t>
  </si>
  <si>
    <t>30.189.321/0001-47</t>
  </si>
  <si>
    <t>Rua Padre João Beil, n° 177</t>
  </si>
  <si>
    <t>05136-090</t>
  </si>
  <si>
    <t>Jd. Santo Elias</t>
  </si>
  <si>
    <t>(11) 3459-1078</t>
  </si>
  <si>
    <t>casaderepousommpirituba@gmail.com</t>
  </si>
  <si>
    <t>www.casaderepousommpirituba.com.br</t>
  </si>
  <si>
    <t>6074.2023/0002701-9</t>
  </si>
  <si>
    <t>6074.2023/0002778-7</t>
  </si>
  <si>
    <t>6074.2023/0002745-0</t>
  </si>
  <si>
    <t>6074.2023/0002779-5</t>
  </si>
  <si>
    <t>48.292.193/0001-28</t>
  </si>
  <si>
    <t>Largo Boa Vista, n° 123</t>
  </si>
  <si>
    <t>04476-300</t>
  </si>
  <si>
    <t>Eldorado</t>
  </si>
  <si>
    <t>(11) 5673-3811</t>
  </si>
  <si>
    <t>ilp.yeshuah@gmail.com</t>
  </si>
  <si>
    <t>18.243.713/0001-41</t>
  </si>
  <si>
    <t>18.243.719/0001-41</t>
  </si>
  <si>
    <t>Rua Nunes Balboa, n° 252</t>
  </si>
  <si>
    <t>03446-010</t>
  </si>
  <si>
    <t>(11) 98133-7972</t>
  </si>
  <si>
    <t>vilacarrao@outlook.com</t>
  </si>
  <si>
    <t>www.casaderepousovilacarrao.com.br</t>
  </si>
  <si>
    <t>39.369.032-/0001-02</t>
  </si>
  <si>
    <t>39.369.032/0001-02</t>
  </si>
  <si>
    <t>Rua Leopoldo Amaral, n° 118</t>
  </si>
  <si>
    <t>01546-080</t>
  </si>
  <si>
    <t>Jd. da Glória</t>
  </si>
  <si>
    <t>(11) 99186-7095</t>
  </si>
  <si>
    <t>(11) 94586-4187</t>
  </si>
  <si>
    <t>financeiro@espacovidailpi.com</t>
  </si>
  <si>
    <t>taniasassone@adv.oabsp.org.br</t>
  </si>
  <si>
    <t>EDER SANTOS DE SOUZA</t>
  </si>
  <si>
    <t>HOPE RESIDENCIAL PARA IDOSAS</t>
  </si>
  <si>
    <t>Rua Evandro Danton Ferreira Gandra, n° 217</t>
  </si>
  <si>
    <t>05131-100</t>
  </si>
  <si>
    <t>Mangalot</t>
  </si>
  <si>
    <t>(11) 3903-5152</t>
  </si>
  <si>
    <t>6074.2023/0003317-5</t>
  </si>
  <si>
    <t>VITA CARE UNIVERSO DA MELHOR IDADE</t>
  </si>
  <si>
    <t>Rua Bom Jesus, nº 864</t>
  </si>
  <si>
    <t>03344-000</t>
  </si>
  <si>
    <t>(11) 2268-3897</t>
  </si>
  <si>
    <t>www.vitacaremelhoridade.com.br</t>
  </si>
  <si>
    <t>6074.2023/0002910-0</t>
  </si>
  <si>
    <t>Rua João Cabral, n° 100</t>
  </si>
  <si>
    <t>Santa Terezinha</t>
  </si>
  <si>
    <t>(11) 2362-4384</t>
  </si>
  <si>
    <t>contato.guardia10@gmail.com</t>
  </si>
  <si>
    <t>6074.2023/0003091-5</t>
  </si>
  <si>
    <t>6074.2023/0002950-0</t>
  </si>
  <si>
    <t>61.876.868/0001-44</t>
  </si>
  <si>
    <t>servsocial@ocirculo.org.br</t>
  </si>
  <si>
    <t>6074.2023/0003320-5</t>
  </si>
  <si>
    <t>345.2/19</t>
  </si>
  <si>
    <t>25.287.831/0002-06</t>
  </si>
  <si>
    <t>Rua Francisco Pereira Santos, n° 23</t>
  </si>
  <si>
    <t>05121-020</t>
  </si>
  <si>
    <t>(11) 3641-6167</t>
  </si>
  <si>
    <t>residencialrealidoso@gmail.com</t>
  </si>
  <si>
    <t>6074.2023/0003092-3</t>
  </si>
  <si>
    <t>700/23</t>
  </si>
  <si>
    <t>701/23</t>
  </si>
  <si>
    <t>702/23</t>
  </si>
  <si>
    <t>703/23</t>
  </si>
  <si>
    <t>704/23</t>
  </si>
  <si>
    <t>RESIDENCIAL LAR ROSA DE SARON LTDA</t>
  </si>
  <si>
    <t>23.786.385/0001-60</t>
  </si>
  <si>
    <t>Rua Rosa Campanella, n° 40</t>
  </si>
  <si>
    <t>08225-070</t>
  </si>
  <si>
    <t>Vila Regina</t>
  </si>
  <si>
    <t>6074.2023/0003095-8</t>
  </si>
  <si>
    <t>39.435.885/0001-97</t>
  </si>
  <si>
    <t>CAMINHOS DO BEM LAR DE IDOSOS LTDA</t>
  </si>
  <si>
    <t>Rua Domenico Ferrara, nº 30</t>
  </si>
  <si>
    <t>05182-270</t>
  </si>
  <si>
    <t>Cidade D'abril</t>
  </si>
  <si>
    <t>(11) 99519-5203</t>
  </si>
  <si>
    <t>6074.2023/0003097-4</t>
  </si>
  <si>
    <t>lvianadasilvapadilha@yahoo.com.br</t>
  </si>
  <si>
    <t>OBRA SOCIAL SÃO JUDAS TADEU</t>
  </si>
  <si>
    <t>04.322.035/0001-06</t>
  </si>
  <si>
    <t>42.241.177/0001-20</t>
  </si>
  <si>
    <t>MORADA SANTA BÁRBARA SERVIÇOS DE SAÚDE LTDA</t>
  </si>
  <si>
    <t>Rua República do Togo, n° 307</t>
  </si>
  <si>
    <t>05537-110</t>
  </si>
  <si>
    <t>(11) 963184345</t>
  </si>
  <si>
    <t>6074.2023/0003275-6</t>
  </si>
  <si>
    <t>JULIANA BONSAVER CASA DE REPOUSO LTDA</t>
  </si>
  <si>
    <t>6074.2023/0003278-0</t>
  </si>
  <si>
    <t>34.077.105/0001-60</t>
  </si>
  <si>
    <t>Rua Jaguarão, n° 184</t>
  </si>
  <si>
    <t>04318-040</t>
  </si>
  <si>
    <t>(11) 5588-0997</t>
  </si>
  <si>
    <t>jubonsaver@yahoo.com.br</t>
  </si>
  <si>
    <t>FELICITÀ RESIDENCIAL PARA IDOSOS LTDA - ME</t>
  </si>
  <si>
    <t>Rua Francisco Mainardi, n° 20</t>
  </si>
  <si>
    <t>05075-070</t>
  </si>
  <si>
    <t>(11) 3831-9246</t>
  </si>
  <si>
    <t>felicitaresidencial@outlook.com</t>
  </si>
  <si>
    <t>6074.2023/0003382-5</t>
  </si>
  <si>
    <t>705/23</t>
  </si>
  <si>
    <t>NOVA ALIANÇA CASA DE REPOUSO LTDA</t>
  </si>
  <si>
    <t>11.593.487/0001-80</t>
  </si>
  <si>
    <t>hoperesidencial@gmail.com</t>
  </si>
  <si>
    <t>Rua Padre Donizetti Tavares de Lima, n° 212</t>
  </si>
  <si>
    <t>02404-100</t>
  </si>
  <si>
    <t>(11) 2737-7011</t>
  </si>
  <si>
    <t>6074.2023/0003405-8</t>
  </si>
  <si>
    <t>6074.2023/0001189-9</t>
  </si>
  <si>
    <t>(11) 94863-8402</t>
  </si>
  <si>
    <t>Jardim Planalto</t>
  </si>
  <si>
    <t>Rua Torres Florêncio e Rielli, n° 152</t>
  </si>
  <si>
    <t>03984-050</t>
  </si>
  <si>
    <t>contato@moradasantabarbara.com.br; jessicateixeiracantillana@yahoo.com</t>
  </si>
  <si>
    <t>Rua Dentista Barreto, n° 281</t>
  </si>
  <si>
    <t>03420-000</t>
  </si>
  <si>
    <t>repouso.idososalianca@gmail.com</t>
  </si>
  <si>
    <t>6074.2023/0003402-3</t>
  </si>
  <si>
    <t>Planalto Paulista</t>
  </si>
  <si>
    <t>coordenacaoobrasocial@saojudas.org.br</t>
  </si>
  <si>
    <t>6074.2023/0003105-9</t>
  </si>
  <si>
    <t>706/23</t>
  </si>
  <si>
    <t>707/23</t>
  </si>
  <si>
    <t>708/23</t>
  </si>
  <si>
    <t>CASA DE SAÚDE VITÓRIA</t>
  </si>
  <si>
    <t>6074.2023/0003496-1</t>
  </si>
  <si>
    <t>CLÍNICA DE LONGA PERMANÊNCIA RECANTO BELLA VIDA LTDA</t>
  </si>
  <si>
    <t>RICARDO NEI BENEDITO CASA DE REPOUSO EIRELI</t>
  </si>
  <si>
    <t>RECANTO BELLA VIDA</t>
  </si>
  <si>
    <t>6074.2023/0003545-3</t>
  </si>
  <si>
    <t>6074.2023/0003570-4</t>
  </si>
  <si>
    <t>GILBERTO VIEIRA DE SOUZA - CASA DE SAÚDE</t>
  </si>
  <si>
    <t>24.961.292/0001-97</t>
  </si>
  <si>
    <t>Rua Domingues Vidigal n, 249</t>
  </si>
  <si>
    <t>08160-350</t>
  </si>
  <si>
    <t>(11) 2566-2265</t>
  </si>
  <si>
    <t>vitoria27marques@hotmail.com</t>
  </si>
  <si>
    <t>47.411.423/0001-68</t>
  </si>
  <si>
    <t>02303-050</t>
  </si>
  <si>
    <t>41.516.236/0001-62</t>
  </si>
  <si>
    <t>Rua Dr. Mário Vicente, n° 275</t>
  </si>
  <si>
    <t>04270-000</t>
  </si>
  <si>
    <t>Vila Dom Pedro I</t>
  </si>
  <si>
    <t>(11) 2577-3180</t>
  </si>
  <si>
    <t>ricardonei.benedito@yahoo.com.br</t>
  </si>
  <si>
    <t>109.2/16</t>
  </si>
  <si>
    <t>709/23</t>
  </si>
  <si>
    <t>710/23</t>
  </si>
  <si>
    <t>711/23</t>
  </si>
  <si>
    <t>712/23</t>
  </si>
  <si>
    <t>713/23</t>
  </si>
  <si>
    <t>714/23</t>
  </si>
  <si>
    <t>715/23</t>
  </si>
  <si>
    <t>716/23</t>
  </si>
  <si>
    <t>717/23</t>
  </si>
  <si>
    <t>CASA DE REPOUSO SAMARITANA LTDA</t>
  </si>
  <si>
    <t>07.589.423/0001-38</t>
  </si>
  <si>
    <t>Av. Cel. Otaviano de Freitas Costa, n° 310</t>
  </si>
  <si>
    <t>04773-000</t>
  </si>
  <si>
    <t>(11) 5522-8731</t>
  </si>
  <si>
    <t>thais.melgar@gmail.com</t>
  </si>
  <si>
    <t>www.casaderepousosamaritana.com.br</t>
  </si>
  <si>
    <t>6074.2023/0003686-7</t>
  </si>
  <si>
    <t>CASA DE REPOUSO CANTINHO DO ACONCHEGO LTDA</t>
  </si>
  <si>
    <t>CASA DE REPOUSO CANTINHO DO ACONCHEGO</t>
  </si>
  <si>
    <t>30.849503/0001-05</t>
  </si>
  <si>
    <t>Rua Prof. Dario Ribeiro, nº 67</t>
  </si>
  <si>
    <t>02559-000</t>
  </si>
  <si>
    <t>Vila Prado</t>
  </si>
  <si>
    <t>(11) 97796-5943</t>
  </si>
  <si>
    <t>alanio.2204@gmail.com</t>
  </si>
  <si>
    <t>6074.2023/0003806-1</t>
  </si>
  <si>
    <t>INSTITUIÇÃO BENFICENTE AÇÃO UNIVIDA</t>
  </si>
  <si>
    <t>03.355.458/0001-51</t>
  </si>
  <si>
    <t>(11) 2511-5768</t>
  </si>
  <si>
    <t>6074.2023/0003863-0</t>
  </si>
  <si>
    <t>ASSOCIAÇÃO DE MULHERES UNIDAS VENCEREMOS</t>
  </si>
  <si>
    <t>PROJETO APRENDER PARA EMPREENDER</t>
  </si>
  <si>
    <t>73.670.986/0003-80</t>
  </si>
  <si>
    <t>(11) 95908-9704</t>
  </si>
  <si>
    <t>romildacorreira55@hotmail.com</t>
  </si>
  <si>
    <t>6074.2023/0003898-3</t>
  </si>
  <si>
    <t>CARITAS CAMPO LIMPO - CCL</t>
  </si>
  <si>
    <t>NCI SÃO PAULO APÓSTOLO</t>
  </si>
  <si>
    <t>64.033.061/0001-38</t>
  </si>
  <si>
    <t>64.033.061/0040-44</t>
  </si>
  <si>
    <t>05783-171</t>
  </si>
  <si>
    <t>Rua Isidoro Larraiá, n° 51</t>
  </si>
  <si>
    <t>(11) 5812-0717 / Ramal 104</t>
  </si>
  <si>
    <t>caritas@caritascl.org.br</t>
  </si>
  <si>
    <t>www.caritascl.org.br</t>
  </si>
  <si>
    <t>6074.2023/0003992-0</t>
  </si>
  <si>
    <t>08.692.272/0001-01</t>
  </si>
  <si>
    <t>(11) 95657-9975</t>
  </si>
  <si>
    <t>www.icansp.com.br</t>
  </si>
  <si>
    <t>6074.2023/0003996-3</t>
  </si>
  <si>
    <t>21.360.744/0002-78</t>
  </si>
  <si>
    <t>Rua do Horto, n° 1100</t>
  </si>
  <si>
    <t>02377-000</t>
  </si>
  <si>
    <t>(11) 2952-6967</t>
  </si>
  <si>
    <t>administrativo@palotinas.com.br / irsalete@palotinas.com.br</t>
  </si>
  <si>
    <t>6074.2023/0004239-5</t>
  </si>
  <si>
    <t>109.3/16</t>
  </si>
  <si>
    <t>109.4/16</t>
  </si>
  <si>
    <t>61.705.877/0001-72</t>
  </si>
  <si>
    <t>CAEI IDOSOS - SHEKINAH</t>
  </si>
  <si>
    <t>Rua Madre Rita Amada de Jesus, n° 165</t>
  </si>
  <si>
    <t>6074.2023/0003652-2</t>
  </si>
  <si>
    <t>HOTEL NOBILIS</t>
  </si>
  <si>
    <t>HOTEL AMÉRICA DO SUL</t>
  </si>
  <si>
    <t>Rua Santa Ifigênia, n° 72</t>
  </si>
  <si>
    <t>Rua Júlio de Mesquita, n° 90</t>
  </si>
  <si>
    <t>(11)2619-5400</t>
  </si>
  <si>
    <t>(11)2307-3717</t>
  </si>
  <si>
    <t>04721-050</t>
  </si>
  <si>
    <t>01207-010</t>
  </si>
  <si>
    <t>01209-010</t>
  </si>
  <si>
    <t>HOSPCLÍNICA CAMPO BELO</t>
  </si>
  <si>
    <t>(11) 5044-5331</t>
  </si>
  <si>
    <t>6074.2023/0004407-0</t>
  </si>
  <si>
    <t>60.597.044/0001-72</t>
  </si>
  <si>
    <t>(11) 3123-7300</t>
  </si>
  <si>
    <t>Rua Larival Gea Sanches, n° 457</t>
  </si>
  <si>
    <t>Vl. Vitório Mazzei</t>
  </si>
  <si>
    <t>02409-000</t>
  </si>
  <si>
    <t>(11) 2996-6315</t>
  </si>
  <si>
    <t>6074.2023/0003973-4</t>
  </si>
  <si>
    <t>Rua José Domingos, n° 56</t>
  </si>
  <si>
    <t>(11) 96899-0255</t>
  </si>
  <si>
    <t>www.residencialnovotempo.com.br</t>
  </si>
  <si>
    <t>6074.2023/0003707-3</t>
  </si>
  <si>
    <t>Rua Fagundes, n° 121 - 3° andar</t>
  </si>
  <si>
    <t>01508-030</t>
  </si>
  <si>
    <t>(11) 3274-6518</t>
  </si>
  <si>
    <t>www.enkyo.org.br</t>
  </si>
  <si>
    <t>6074.2023/0003862-2</t>
  </si>
  <si>
    <t>CASA DE REPOUSO BELA IDADE - LTDA</t>
  </si>
  <si>
    <t>41.884.035/0001-18</t>
  </si>
  <si>
    <t>Av. Cel. Otaviano de Freitas Costa, n° 278</t>
  </si>
  <si>
    <t>(11) 2528-0997</t>
  </si>
  <si>
    <t>6074.2023/0003993-9</t>
  </si>
  <si>
    <t>CASA DE CUIDADOS CANTAREIRA LTDA</t>
  </si>
  <si>
    <t>59.937.813/0001-55</t>
  </si>
  <si>
    <t>Rua Antonio Portugal, n° 178</t>
  </si>
  <si>
    <t>02358-050</t>
  </si>
  <si>
    <t>(11) 2204-0918</t>
  </si>
  <si>
    <t>cantareiracasadecuidados@gmail.com</t>
  </si>
  <si>
    <t>www.casadecuidados.com.br</t>
  </si>
  <si>
    <t>RECANTO FELIZ 3 IDADE</t>
  </si>
  <si>
    <t>718.1/23</t>
  </si>
  <si>
    <t>718.2/23</t>
  </si>
  <si>
    <t>INSTITUTO CASA COMUM</t>
  </si>
  <si>
    <t>27.079.486-0001-51</t>
  </si>
  <si>
    <t>ASAS À LONGEVIDADE : AUTONOMIA E SEGURANÇA FINANCEIRA</t>
  </si>
  <si>
    <t>(11) 99953-2308</t>
  </si>
  <si>
    <t>icc@institutocasacomum.org</t>
  </si>
  <si>
    <t>institutocasacomum.org.br</t>
  </si>
  <si>
    <t>6074.2023/0004419-3</t>
  </si>
  <si>
    <t>6074.2023/0004411-8</t>
  </si>
  <si>
    <t>719/23</t>
  </si>
  <si>
    <t>CENTRO DE ASSISTÊNCIA AO IDOSO NOVA VIDA EIRELI</t>
  </si>
  <si>
    <t>CASA DE REPOUSO NOVA VIDA</t>
  </si>
  <si>
    <t>37.246.641/0001-30</t>
  </si>
  <si>
    <t>Av. Junta Mizumoto, n° 237</t>
  </si>
  <si>
    <t>05537-070</t>
  </si>
  <si>
    <t>(11) 3731-2673</t>
  </si>
  <si>
    <t>www.repousovidanova.com.br</t>
  </si>
  <si>
    <t>josianifernandes4@gmail.com</t>
  </si>
  <si>
    <t>6074.2023/0004539-4</t>
  </si>
  <si>
    <t>720/23</t>
  </si>
  <si>
    <t>47.465.745/0001-90</t>
  </si>
  <si>
    <t>6074.2023/0004986-1</t>
  </si>
  <si>
    <t>Av. Fábio Prado, n° 15</t>
  </si>
  <si>
    <t>(11) 5571-3686</t>
  </si>
  <si>
    <t>nabempromocaosocial@gmail.com</t>
  </si>
  <si>
    <t>www.nabemsp.com</t>
  </si>
  <si>
    <t>04116-000</t>
  </si>
  <si>
    <t>Rua Mar del Plata, n° 357</t>
  </si>
  <si>
    <t>04771-090</t>
  </si>
  <si>
    <t>Jardim dos Lagos</t>
  </si>
  <si>
    <t>Av. João Batista Santiago, nº 511</t>
  </si>
  <si>
    <t>Pq Santa Rita</t>
  </si>
  <si>
    <t>acaounivida@acaounivida.org.br</t>
  </si>
  <si>
    <t>www.acaounivida.org.br</t>
  </si>
  <si>
    <t>08150-030</t>
  </si>
  <si>
    <t>CASA DE REPOUSO BELLICA LTDA</t>
  </si>
  <si>
    <t>01234-000</t>
  </si>
  <si>
    <t>Av. Pacaembu, n° 1730</t>
  </si>
  <si>
    <t>RESIDENCIAL PACAEMBU</t>
  </si>
  <si>
    <t>(11) 3871-5853</t>
  </si>
  <si>
    <t xml:space="preserve">cr-bellica@bol.com.br </t>
  </si>
  <si>
    <t>6074.2023/0005391-5</t>
  </si>
  <si>
    <t>RESIDENCIAL GERIÁTRICO BROOKLIN LTDA</t>
  </si>
  <si>
    <t>6074.2023/0005169-6</t>
  </si>
  <si>
    <t>6074.2023/0005362-1</t>
  </si>
  <si>
    <t>CENTRO INTEGRADO DE PSIQUIATRIA E GERIATRIA ANCIEN LTDA</t>
  </si>
  <si>
    <t>Rua Joaquim Távora, n° 1555</t>
  </si>
  <si>
    <t>04015-003</t>
  </si>
  <si>
    <t>Via Mariana</t>
  </si>
  <si>
    <t>(11) 5575-2078</t>
  </si>
  <si>
    <t>financeiro@mentalsenior.com.br</t>
  </si>
  <si>
    <t>www.mentalsenior.com</t>
  </si>
  <si>
    <t>198.3/17</t>
  </si>
  <si>
    <t>Jd. do Colégio</t>
  </si>
  <si>
    <t>(11) 2371-3191</t>
  </si>
  <si>
    <t>villaunidadesantana@gmail.com</t>
  </si>
  <si>
    <t>6074.2023/0005246-3</t>
  </si>
  <si>
    <t>109.5/16</t>
  </si>
  <si>
    <t>CDI ARTE DE VIVER</t>
  </si>
  <si>
    <t>Estrada de Itapecerica, n° 7453 A</t>
  </si>
  <si>
    <t>Capão Redondo</t>
  </si>
  <si>
    <t>(11) 5199-6676</t>
  </si>
  <si>
    <t>05858-005</t>
  </si>
  <si>
    <t>RESIDENCIAL MAIS VIDA</t>
  </si>
  <si>
    <t>Rua Afonso Celso, n° 338</t>
  </si>
  <si>
    <t>04119-001</t>
  </si>
  <si>
    <t>(11) 5081-4059</t>
  </si>
  <si>
    <t>www.residencialmaisvida.com.br</t>
  </si>
  <si>
    <t>6074.2022/0006769-8</t>
  </si>
  <si>
    <t>713.2/23</t>
  </si>
  <si>
    <t>NCI ARACATI</t>
  </si>
  <si>
    <t>64.033.061/0042-06</t>
  </si>
  <si>
    <t>Rua Jaime Treiger, nº 32</t>
  </si>
  <si>
    <t>04945-070</t>
  </si>
  <si>
    <t>M'Boi Mirim</t>
  </si>
  <si>
    <t>Parque do Lago</t>
  </si>
  <si>
    <t>(11) 5517-1144</t>
  </si>
  <si>
    <t>713.3/23</t>
  </si>
  <si>
    <t>713.4/23</t>
  </si>
  <si>
    <t>NCI MARIA MÃE DA IGREJA</t>
  </si>
  <si>
    <t>NCI NOSSA SENHORA DAS GRAÇAS</t>
  </si>
  <si>
    <t>64.033.061/0091-94</t>
  </si>
  <si>
    <t xml:space="preserve">Rua João Alves de Torres, nº 9 </t>
  </si>
  <si>
    <t>Jardim das Flores</t>
  </si>
  <si>
    <t>04904-120</t>
  </si>
  <si>
    <t>(11) 5514-3229</t>
  </si>
  <si>
    <t>(11) 5514-0201</t>
  </si>
  <si>
    <t>Vila Damasceno</t>
  </si>
  <si>
    <t>05864-060</t>
  </si>
  <si>
    <t>Rua Francisco Nogueira Silva, 294</t>
  </si>
  <si>
    <t>64.033.061/0082-01</t>
  </si>
  <si>
    <t>721/23</t>
  </si>
  <si>
    <t>CASA DE REPOUSO DA VÓ IRACI LTDA</t>
  </si>
  <si>
    <t>47.442.661/0001-30</t>
  </si>
  <si>
    <t>CASA DE REPOUSO DA VOVÓ IRACI</t>
  </si>
  <si>
    <t>08431-370</t>
  </si>
  <si>
    <t>Jardim Guaianases</t>
  </si>
  <si>
    <t>(11) 2961-3805</t>
  </si>
  <si>
    <t>6074.2023/0005234-0</t>
  </si>
  <si>
    <t>Rua Iolanda Diorio Franca, nº72</t>
  </si>
  <si>
    <t>722/23</t>
  </si>
  <si>
    <t>LFM MARPE RESIDENCIAL DA TERCEIRA IDADE LTDA</t>
  </si>
  <si>
    <t>MARPE RESIDENCIAL PARA TERCEIRA IDADE</t>
  </si>
  <si>
    <t>27.420.356/0001-30</t>
  </si>
  <si>
    <t>Rua Conde de Porto Alegre, 1860</t>
  </si>
  <si>
    <t>04608-003</t>
  </si>
  <si>
    <t>(11) 5561-3767</t>
  </si>
  <si>
    <t>marpeconde@gmail.com</t>
  </si>
  <si>
    <t>6074.2023/0005441-5</t>
  </si>
  <si>
    <t>6074.2023/0005444-0</t>
  </si>
  <si>
    <t>723/23</t>
  </si>
  <si>
    <t>RESIDENCIAL MASTER INSTITUIÇÃO DE LONGA PERMANÊNCIA PARA IDOSOS LTDA</t>
  </si>
  <si>
    <t>RESIDENCIAL MASTER</t>
  </si>
  <si>
    <t>20.628.146/0001-93</t>
  </si>
  <si>
    <t>Rua Professor Elias Vita, nº 148</t>
  </si>
  <si>
    <t>Parque da Mooca</t>
  </si>
  <si>
    <t>(11) 2021-7555</t>
  </si>
  <si>
    <t>contato@residencialmaster.com.br</t>
  </si>
  <si>
    <t>724/23</t>
  </si>
  <si>
    <t>RESIDENCIAL GERIÁTRICO LUZ DO AMOR LTDA</t>
  </si>
  <si>
    <t>BEZERRA DE MENEZES</t>
  </si>
  <si>
    <t>38.598.650/0001-53</t>
  </si>
  <si>
    <t>Rua Ocarina, nº 116</t>
  </si>
  <si>
    <t>04317-250</t>
  </si>
  <si>
    <t>(11) 5011-0001</t>
  </si>
  <si>
    <t>residencialgeriatricoluzdoamor@gmail.com</t>
  </si>
  <si>
    <t>6074.2023/0004241-7</t>
  </si>
  <si>
    <t>6074.2023/0005439-3</t>
  </si>
  <si>
    <t>INSTITUTO LUZ AOS CEGOS</t>
  </si>
  <si>
    <t>28.042.628/0001-79</t>
  </si>
  <si>
    <t>Rua Turvania, nº19</t>
  </si>
  <si>
    <t>05181-200</t>
  </si>
  <si>
    <t>(11) 2776-2034</t>
  </si>
  <si>
    <t xml:space="preserve">luzaoscegos@gmail.com </t>
  </si>
  <si>
    <t>726/23</t>
  </si>
  <si>
    <t>6074.2023/0005576-4</t>
  </si>
  <si>
    <t>VILLA DEI FIORI INSTITUIÇÃO DE LONGA PERMANÊNCIA PARA IDOSOS LTDA</t>
  </si>
  <si>
    <t>VILLA DEI FIORI SANTANA ILPI</t>
  </si>
  <si>
    <t>35.412.049/001-38</t>
  </si>
  <si>
    <t>Rua João Cabral, nº111</t>
  </si>
  <si>
    <t>Jardim do colégio</t>
  </si>
  <si>
    <t>33.212.290/0001-96</t>
  </si>
  <si>
    <t>727/23</t>
  </si>
  <si>
    <t>ESPAÇO DE CONVIVÊNCIA LAR ROSA LTDA</t>
  </si>
  <si>
    <t>ESPAÇO DE CONVIÊNCIA LAR ROSA</t>
  </si>
  <si>
    <t>Rua Conselheiro Moreira de Barros, n° 3561</t>
  </si>
  <si>
    <t>02430-002</t>
  </si>
  <si>
    <t>(11) 2247-6547</t>
  </si>
  <si>
    <t>espacolarrose@hotmail.com</t>
  </si>
  <si>
    <t>www.larrose.com.br</t>
  </si>
  <si>
    <t>728/23</t>
  </si>
  <si>
    <t>RESIDENCIAL MARIA E MARIA LTDA</t>
  </si>
  <si>
    <t>RESIDENCIAL MARIA E MARIA</t>
  </si>
  <si>
    <t>47.047.379/0001-59</t>
  </si>
  <si>
    <t>Av. Governador Adhemar Pereira de Barros, n° 132</t>
  </si>
  <si>
    <t>03454-070</t>
  </si>
  <si>
    <t>Jd. Aricanduva</t>
  </si>
  <si>
    <t>(11) 99023-6160</t>
  </si>
  <si>
    <t>contato@residencialmariaemaria.com</t>
  </si>
  <si>
    <t>www.residencialmariaemaria.com</t>
  </si>
  <si>
    <t>6074.2023/0005479-2</t>
  </si>
  <si>
    <t>6074.2023/0005397-4</t>
  </si>
  <si>
    <t>contato@institutofelicidade.org.br</t>
  </si>
  <si>
    <t>www.institutofelicidade.org.br</t>
  </si>
  <si>
    <t>729/23</t>
  </si>
  <si>
    <t>SOCIEDADE BENEFICENTE EDUCACIONAL SÃO TIAGO - SOBEST</t>
  </si>
  <si>
    <t xml:space="preserve"> INFORMÁTICA PARA IDOSOS EM SITUAÇÃO DE VULNERABILIDADE</t>
  </si>
  <si>
    <t>60.559.960/0001-18</t>
  </si>
  <si>
    <t>Rua das Três Marias, nº 57</t>
  </si>
  <si>
    <t>Pq. Novo Santo Amaro</t>
  </si>
  <si>
    <t>M Boi Mirim</t>
  </si>
  <si>
    <t>730/23</t>
  </si>
  <si>
    <t>05.424.712/0001-51</t>
  </si>
  <si>
    <t>instituto.pm.sp@gmail.com</t>
  </si>
  <si>
    <t>(11) 99620-9463</t>
  </si>
  <si>
    <t>atendimento@moradaprimavera.com</t>
  </si>
  <si>
    <t>https://casaderepousomoradaprimavera.com</t>
  </si>
  <si>
    <t>6074.2023/0005786-4</t>
  </si>
  <si>
    <t>Rua Edalberto dos Santos, nº 313</t>
  </si>
  <si>
    <t>08090-120</t>
  </si>
  <si>
    <t>(11) 2585-3880</t>
  </si>
  <si>
    <t>coordenaçãoidelfranca@gmail.com</t>
  </si>
  <si>
    <t>6074.2023/0005788-0</t>
  </si>
  <si>
    <t>6074.2023/0005804-6</t>
  </si>
  <si>
    <t>CONEXÃO DOURADA</t>
  </si>
  <si>
    <t>519.2/21</t>
  </si>
  <si>
    <t>(11) 3068-0517</t>
  </si>
  <si>
    <t>https://www.facebook.com/idade.dourada/</t>
  </si>
  <si>
    <t>731/23</t>
  </si>
  <si>
    <t>ORGANIZAÇÃO SOCIAL IDENTIDADE PERIFÉRICA</t>
  </si>
  <si>
    <t>IDADE EM FOCO SAMPA - A ARTE URBANA COMO FACILITADOR INTERGERACIONAL</t>
  </si>
  <si>
    <t>28.735.847/0001-33</t>
  </si>
  <si>
    <t>Rua Sara Kubtscheck, nº165B</t>
  </si>
  <si>
    <t>08472-724</t>
  </si>
  <si>
    <t>(11) 97258-2598</t>
  </si>
  <si>
    <t>contato@identidadeperiférica.org</t>
  </si>
  <si>
    <t>www.identidadeperiferica.org</t>
  </si>
  <si>
    <t>(11) 3384-0704</t>
  </si>
  <si>
    <t>163.4/17</t>
  </si>
  <si>
    <t>CASA DE REPOUSO CONVIVÊNCIA LTDA</t>
  </si>
  <si>
    <t>122.2/17</t>
  </si>
  <si>
    <t>Rua Dom João Maria Ogno, n° 324</t>
  </si>
  <si>
    <t>03530-050</t>
  </si>
  <si>
    <t>(11) 3586-7454</t>
  </si>
  <si>
    <t>convivenciacasaderepouso@hotmail.com</t>
  </si>
  <si>
    <t>www.casaderepousoconvivencia.com.br</t>
  </si>
  <si>
    <t>6074.2023/0005860-7</t>
  </si>
  <si>
    <t>VIVÊNCIAS ARTÍSTICAS E CULTURAIS DA PESSOA IDOSA</t>
  </si>
  <si>
    <t>ILPI LAPA</t>
  </si>
  <si>
    <t xml:space="preserve">anamaria.gabi@bol.com.br </t>
  </si>
  <si>
    <t>6074.2023/0005746-5</t>
  </si>
  <si>
    <t>6074.2023/0005747-3</t>
  </si>
  <si>
    <t>07.476.110/0001-73</t>
  </si>
  <si>
    <t>6074.2023/0003643-3</t>
  </si>
  <si>
    <t xml:space="preserve"> 6074.2023/0003643-3</t>
  </si>
  <si>
    <t>Rua Dr. Ubaldo Franco Caiube, nº 280</t>
  </si>
  <si>
    <t>04651-020</t>
  </si>
  <si>
    <t>5011-0935</t>
  </si>
  <si>
    <t>https://residencialrosa.negocio.site</t>
  </si>
  <si>
    <t>6074.2023/0005888-7</t>
  </si>
  <si>
    <t>Avenida do Guacá, nº 1025</t>
  </si>
  <si>
    <t>(11) 2609-7544</t>
  </si>
  <si>
    <t>cr.aparecida2@gmail.com</t>
  </si>
  <si>
    <t>6074.2023/0005884-4</t>
  </si>
  <si>
    <t>732/23</t>
  </si>
  <si>
    <t>22.489.399/0001-59</t>
  </si>
  <si>
    <t>OLGA E DYRCE RESIDENCIAL PARA IDOSOS</t>
  </si>
  <si>
    <t>Rua Santo Irineu, nº 835</t>
  </si>
  <si>
    <t>04127-120</t>
  </si>
  <si>
    <t>Jardim da Saúde</t>
  </si>
  <si>
    <t>(11) 5071-1441</t>
  </si>
  <si>
    <t>ljcprime@gmail.com</t>
  </si>
  <si>
    <t>6074.2023/0006002-4</t>
  </si>
  <si>
    <t>733/23</t>
  </si>
  <si>
    <t>34.376.761/0001-64</t>
  </si>
  <si>
    <t>Rua Marcelino Champagnat, nº 185</t>
  </si>
  <si>
    <t>04114-000</t>
  </si>
  <si>
    <t>(11) 5571-4044</t>
  </si>
  <si>
    <t>administração@residencialklabin.com</t>
  </si>
  <si>
    <t>www.residencialklabin.com.br</t>
  </si>
  <si>
    <t>6074.2023/0006168-3</t>
  </si>
  <si>
    <t>734/23</t>
  </si>
  <si>
    <t>07.595.943/0001-53</t>
  </si>
  <si>
    <t>Rua Av. Dos Imares, nº 632</t>
  </si>
  <si>
    <t>04085-001</t>
  </si>
  <si>
    <t>(11) 5098-0134</t>
  </si>
  <si>
    <t>residencialgeriatrico@hotmail.com</t>
  </si>
  <si>
    <t>www.casaderepousomoema.com.br</t>
  </si>
  <si>
    <t>6074.2023/0006170-5</t>
  </si>
  <si>
    <t>735/23</t>
  </si>
  <si>
    <t>46.262.008/0001-27</t>
  </si>
  <si>
    <t>(11) 95705-0950</t>
  </si>
  <si>
    <t>6074.2023/0006171-3</t>
  </si>
  <si>
    <t>RESIDENCIAL JARDIM DA VIDA</t>
  </si>
  <si>
    <t>736/23</t>
  </si>
  <si>
    <t>LAR AMORE MIO</t>
  </si>
  <si>
    <t>LAR MARIA DE LOURDES E MADALENA PARA IDOSOS LTDA-ME</t>
  </si>
  <si>
    <t>33.980.688/0001-72</t>
  </si>
  <si>
    <t>03080-000</t>
  </si>
  <si>
    <t>(11)  2097-6487</t>
  </si>
  <si>
    <t>andreaamaral1131@gmail.com</t>
  </si>
  <si>
    <t>www.laramoremio.com.br</t>
  </si>
  <si>
    <t>6074.2023/0006243-4</t>
  </si>
  <si>
    <t>737/23</t>
  </si>
  <si>
    <t>04.994.965/0001-06</t>
  </si>
  <si>
    <t>NOVO  LAR CASA DE REPOUSO E CENTRO DE REINTEGRAÇÃO DO IDOSO LTDA</t>
  </si>
  <si>
    <t>NOVO LAR</t>
  </si>
  <si>
    <t>Rua Lótus, nº 137</t>
  </si>
  <si>
    <t>Rua Jacirendi, nº 156</t>
  </si>
  <si>
    <t>Rua Monguba, nº 473</t>
  </si>
  <si>
    <t>03265-000</t>
  </si>
  <si>
    <t>Vila Divina Pastoral</t>
  </si>
  <si>
    <t>(11) 2216-3472</t>
  </si>
  <si>
    <t>michelli_teo@hotmail.com</t>
  </si>
  <si>
    <t>www.novolarcasaderepouso.com.br</t>
  </si>
  <si>
    <t>6074.2023/0006245-0</t>
  </si>
  <si>
    <t>RESIDENCIAL NOVOS AMIGOS</t>
  </si>
  <si>
    <t>01.548-020</t>
  </si>
  <si>
    <t>Rua Mariano Procopio, nº111</t>
  </si>
  <si>
    <t>6074.2023/0006246-9</t>
  </si>
  <si>
    <t>www.residencialnovosamigos.com.br</t>
  </si>
  <si>
    <t xml:space="preserve">contato@residencialnovosamigos.com.br </t>
  </si>
  <si>
    <t>(11) 2215-6277</t>
  </si>
  <si>
    <t>APOIO CASA DE REPOUSO LTDA</t>
  </si>
  <si>
    <t>Rua Professor Nelson de Senna, n° 10</t>
  </si>
  <si>
    <t>04387-230</t>
  </si>
  <si>
    <t>Vl. Santa Catarina</t>
  </si>
  <si>
    <t>(11) 5678-9000</t>
  </si>
  <si>
    <t>6074.2023/0006259-0</t>
  </si>
  <si>
    <t>04319-060</t>
  </si>
  <si>
    <t>(11) 5588-3183</t>
  </si>
  <si>
    <t>www.residencialcidadevargas.com.br</t>
  </si>
  <si>
    <t>6074.2023/0005973-5</t>
  </si>
  <si>
    <t>CASA DE REPOUSO RESIDENCIAL KLABIN 1 LTDA</t>
  </si>
  <si>
    <t>RESIDENCIAL KLABIN 1</t>
  </si>
  <si>
    <t>RESIDENCIAL GERIÁTRICO MOEMA LTDA</t>
  </si>
  <si>
    <t>EMANUELA PONTES DO NASCIMENTO PEREIRA</t>
  </si>
  <si>
    <t>RESIDENCIAL GERIÁTRICO MOEMA</t>
  </si>
  <si>
    <t>SOCIEDADE DE AMIGOS DE VILA MARA E VILAS ADJASCENTES</t>
  </si>
  <si>
    <t>NCI VIVER MELHOR</t>
  </si>
  <si>
    <t>NCI VIVER MELHOR II</t>
  </si>
  <si>
    <t>738.2/23</t>
  </si>
  <si>
    <t>738.1/23</t>
  </si>
  <si>
    <t>43.220.540/0001-93</t>
  </si>
  <si>
    <t>43.220.540/0010-84</t>
  </si>
  <si>
    <t>Rua Salvador Fernandes Cardia, n° 1037</t>
  </si>
  <si>
    <t>Rua Padre Vicente de Araújo, n° 906</t>
  </si>
  <si>
    <t>Jardim Quisiana</t>
  </si>
  <si>
    <t>(11) 2025-8081</t>
  </si>
  <si>
    <t>(11) 2511-9042</t>
  </si>
  <si>
    <t>micarvalho.isabel@gmail.com</t>
  </si>
  <si>
    <t>www.sociedadeamigosdevilamara.com.br</t>
  </si>
  <si>
    <t>6074.2023/0006254-0</t>
  </si>
  <si>
    <t>739/23</t>
  </si>
  <si>
    <t>CASA DE REPOUSO VILA ALEGRE LTDA</t>
  </si>
  <si>
    <t>08.193.509/0001-00</t>
  </si>
  <si>
    <t>CASA DE REPOUSO VILA ALEGRE</t>
  </si>
  <si>
    <t>Rua Adão Lorenzini, n° 283</t>
  </si>
  <si>
    <t>03948-010</t>
  </si>
  <si>
    <t>6074.2023/0006344-9</t>
  </si>
  <si>
    <t>740/23</t>
  </si>
  <si>
    <t>INSTITUTO ARNALDO FARIA DE SÁ</t>
  </si>
  <si>
    <t>DIREITO PARA TODOS</t>
  </si>
  <si>
    <t>33.339.183/0001-23</t>
  </si>
  <si>
    <t>(11) 5015-0500</t>
  </si>
  <si>
    <t>institutoioprev@gmail.com</t>
  </si>
  <si>
    <t>6074.2023/0006389-9</t>
  </si>
  <si>
    <t>53.818.191/0001-60</t>
  </si>
  <si>
    <t>741/23</t>
  </si>
  <si>
    <t>MORADA SÃO GUALTER LTDA</t>
  </si>
  <si>
    <t>MORADA SÃO GUALTER</t>
  </si>
  <si>
    <t>30.863.515/0001-86</t>
  </si>
  <si>
    <t>(11) 3022-5021</t>
  </si>
  <si>
    <t>6074.2023/0006531-0</t>
  </si>
  <si>
    <t>742/23</t>
  </si>
  <si>
    <t>VIVA VIDA CASA DE REPOUSO LTDA</t>
  </si>
  <si>
    <t>30.946.023/0001-54</t>
  </si>
  <si>
    <t>03647-030</t>
  </si>
  <si>
    <t>6074.2023/0006532-8</t>
  </si>
  <si>
    <t>004.4/13</t>
  </si>
  <si>
    <t>CCINTER ANTONIO CARLOS CARUSO</t>
  </si>
  <si>
    <t>53.818.191/0023-75</t>
  </si>
  <si>
    <t>04811-150</t>
  </si>
  <si>
    <t>Jardim Régis</t>
  </si>
  <si>
    <t>(11) 5666-0242</t>
  </si>
  <si>
    <t>www.sobei.org.br</t>
  </si>
  <si>
    <t>6074.2023/0006498-4</t>
  </si>
  <si>
    <t>Rua Angelina Regolim Cardoso de Mendonça, n° 51</t>
  </si>
  <si>
    <t>21.564.411/0001-80</t>
  </si>
  <si>
    <t>6074.2023/0006875-0</t>
  </si>
  <si>
    <t>LENIRA COSTA DE ALMEIDA</t>
  </si>
  <si>
    <t>Rua Mario Graccho, n° 61</t>
  </si>
  <si>
    <t>08020-100</t>
  </si>
  <si>
    <t>Parque Sonia</t>
  </si>
  <si>
    <t>(11) 98559-0554</t>
  </si>
  <si>
    <t>hmacontabil@hotmail.com</t>
  </si>
  <si>
    <t>HOTEL DA VOVÓ LTDA</t>
  </si>
  <si>
    <t>Rua Noêmia, n° 128/130</t>
  </si>
  <si>
    <t>02913-060</t>
  </si>
  <si>
    <t>Piqueri</t>
  </si>
  <si>
    <t>(11) 3977-8899</t>
  </si>
  <si>
    <t>6074.2023/0006713-4</t>
  </si>
  <si>
    <t>(11) 5096-0530</t>
  </si>
  <si>
    <t>casaderepousosps@outlook.com</t>
  </si>
  <si>
    <t>www.casa-de-repouso.negocio.site/</t>
  </si>
  <si>
    <t>6074.2023/0006654-5</t>
  </si>
  <si>
    <t>533.2/21</t>
  </si>
  <si>
    <t>ENVELHECER COM NOTA MÁXIMA</t>
  </si>
  <si>
    <t>(11) 3535-0151</t>
  </si>
  <si>
    <t>260.3/19</t>
  </si>
  <si>
    <t>11.437.252/0002-80</t>
  </si>
  <si>
    <t>Rua das Orquídeas, n° 215</t>
  </si>
  <si>
    <t>(11) 98212-5621</t>
  </si>
  <si>
    <t>6074.2023/0006658-8</t>
  </si>
  <si>
    <t>743/23</t>
  </si>
  <si>
    <t>VILLA DEI FIORI SUMAREZINHO INSTITUIÇÃO DE LONGA PERMANÊNCIA PARA IDOSOS LTDA</t>
  </si>
  <si>
    <t>47.866.024/0001-91</t>
  </si>
  <si>
    <t>Rua Pereira Leite, n° 279</t>
  </si>
  <si>
    <t>05442-00</t>
  </si>
  <si>
    <t>(11) 2216-4060</t>
  </si>
  <si>
    <t>villadeifiorisumarezinho@gmail.com</t>
  </si>
  <si>
    <t>6074.2023/0006755-0</t>
  </si>
  <si>
    <t>6074.2023/0006951-0</t>
  </si>
  <si>
    <t>02431-140</t>
  </si>
  <si>
    <t>Rua Pelegrino, nº 163</t>
  </si>
  <si>
    <t>www.residencialrecanto.com.br</t>
  </si>
  <si>
    <t>6074.2023/0007079-8</t>
  </si>
  <si>
    <t>744/23</t>
  </si>
  <si>
    <t>MJA CUIDADOS LTDA</t>
  </si>
  <si>
    <t>SEMPRE AOS CUIDADOS</t>
  </si>
  <si>
    <t>24.194.445/0001-18</t>
  </si>
  <si>
    <t>Rua Luis Carlos Paranaá, n° 333</t>
  </si>
  <si>
    <t>04652-170</t>
  </si>
  <si>
    <t>Jd. Cidália</t>
  </si>
  <si>
    <t>(11) 5677-4602</t>
  </si>
  <si>
    <t>mja.sempreaoscuidados@gmail.com</t>
  </si>
  <si>
    <t>6074.2023/0007080-1</t>
  </si>
  <si>
    <t>745/23</t>
  </si>
  <si>
    <t>ESPLENDOR RESIDENCIAL PARA IDOSOS EIRELI</t>
  </si>
  <si>
    <t>ESPLENDOR RESIDENCIAL PARA IDOSOS</t>
  </si>
  <si>
    <t>26.700.644/0001-86</t>
  </si>
  <si>
    <t>Rua Nunes Blaboa, n° 622</t>
  </si>
  <si>
    <t>(11) 2097-0440</t>
  </si>
  <si>
    <t>esplendorresidencial@gmail.com</t>
  </si>
  <si>
    <t>www.esplendorresidencial.com.br</t>
  </si>
  <si>
    <t>6074.2023/0007118-2</t>
  </si>
  <si>
    <t>746/23</t>
  </si>
  <si>
    <t>RESIDENCIAL ALPHA SÊNIOR LTDA</t>
  </si>
  <si>
    <t>47.864.805/0001-47</t>
  </si>
  <si>
    <t>Rua Brasílio Veiga, n° 296</t>
  </si>
  <si>
    <t>04775-110</t>
  </si>
  <si>
    <t>Vila Califórnia</t>
  </si>
  <si>
    <t>(11) 5681-8182</t>
  </si>
  <si>
    <t>residencialalphasenior@gmail.com</t>
  </si>
  <si>
    <t>RESIDENCIAL ALPHA SÊNIOR</t>
  </si>
  <si>
    <t xml:space="preserve"> www.redecidada.org.br</t>
  </si>
  <si>
    <t>6074.2023/0007404-1</t>
  </si>
  <si>
    <t>CASA DE REPOUSO LUZ DA MANHÃ SS LTDA</t>
  </si>
  <si>
    <t>Rua Hugo Carotini, n° 567</t>
  </si>
  <si>
    <t>05532-020</t>
  </si>
  <si>
    <t>Jd. Previdência</t>
  </si>
  <si>
    <t>(11) 3721-3075</t>
  </si>
  <si>
    <t>casaderepousoluzdamanha@gmail.com</t>
  </si>
  <si>
    <t>6074.2023/0007539-0</t>
  </si>
  <si>
    <t>SELMA PERES LONGA PERMANÊNCIA DE IDOSOS</t>
  </si>
  <si>
    <t>RESIDENCIAL SANTANNA</t>
  </si>
  <si>
    <t>Rua Edgar de Souza, n° 1128</t>
  </si>
  <si>
    <t>03502-010</t>
  </si>
  <si>
    <t>(11) 2366-3990</t>
  </si>
  <si>
    <t>residencialsantanna@gmail.com</t>
  </si>
  <si>
    <t>6074.2023/0007212-0</t>
  </si>
  <si>
    <t>Rua Maurício de Castilho, nº 200</t>
  </si>
  <si>
    <t>04264-020</t>
  </si>
  <si>
    <t xml:space="preserve"> Vila Monumento</t>
  </si>
  <si>
    <t>(11) 2591-6061</t>
  </si>
  <si>
    <t>residencialnovotempo@yahoo.com</t>
  </si>
  <si>
    <t>6074.2023/0007406-8</t>
  </si>
  <si>
    <t>DOCE VIDA</t>
  </si>
  <si>
    <t>02342-000</t>
  </si>
  <si>
    <t>(11) 2261-2950</t>
  </si>
  <si>
    <t>RESIDENCIAL CLUB LEGER</t>
  </si>
  <si>
    <t>05184-000</t>
  </si>
  <si>
    <t>Vila Chica Luisa</t>
  </si>
  <si>
    <t>6074.2023/0007289-8</t>
  </si>
  <si>
    <t>747/23</t>
  </si>
  <si>
    <t>748/23</t>
  </si>
  <si>
    <t>749/23</t>
  </si>
  <si>
    <t>750/23</t>
  </si>
  <si>
    <t>751/23</t>
  </si>
  <si>
    <t>752/23</t>
  </si>
  <si>
    <t>753/23</t>
  </si>
  <si>
    <t>754/23</t>
  </si>
  <si>
    <t>ASSOCIAÇÃO GRITO DOS EXCLUÍDOS CONTINENTAL</t>
  </si>
  <si>
    <t>ECOAR 60+: PROMOVENDO INCLUSÃO DIGITAL E CIDADANIA</t>
  </si>
  <si>
    <t>05.661.201/0002-34</t>
  </si>
  <si>
    <t>CASA DE REPOUSO SOLAR DA CANTAREIRA LTDA</t>
  </si>
  <si>
    <t>SOLAR DA CANTAREIRA</t>
  </si>
  <si>
    <t>71.583.041/0001-04</t>
  </si>
  <si>
    <t>Rua Icamaquã, n° 147</t>
  </si>
  <si>
    <t>(11) 2203-8910</t>
  </si>
  <si>
    <t>solcanta@uo.com.br</t>
  </si>
  <si>
    <t>www.solcanta.com.br</t>
  </si>
  <si>
    <t>6074.2023/0007200-6</t>
  </si>
  <si>
    <t>6074.2023/0007402-5</t>
  </si>
  <si>
    <t>6074.2023/0007142-5</t>
  </si>
  <si>
    <t>JARDINS UNIDOS NUM TRABALHO DE ORBAS SOCIAIS JUNTOS</t>
  </si>
  <si>
    <t>NCI FORÇA JOVEM</t>
  </si>
  <si>
    <t>48.492.391/0001-35</t>
  </si>
  <si>
    <t>Rua Car do Limão, n° 36</t>
  </si>
  <si>
    <t>08230-680</t>
  </si>
  <si>
    <t>(11) 97415-3355</t>
  </si>
  <si>
    <t>entidadejuntos@gmail.com</t>
  </si>
  <si>
    <t>6074.2023/0007398-3</t>
  </si>
  <si>
    <t>ORIENTAÇÃO FINANCEIRA PARA PESSOAS IDOSAS</t>
  </si>
  <si>
    <t>23.984.111/0001-85</t>
  </si>
  <si>
    <t>6074.2023/0007563-3</t>
  </si>
  <si>
    <t>LUCIANE HELENA PIRES DE LUCENA</t>
  </si>
  <si>
    <t>28.185.851/0001-75</t>
  </si>
  <si>
    <t>Rua Matinada, n° 58</t>
  </si>
  <si>
    <t>01548-060</t>
  </si>
  <si>
    <t>(11) 3294-8943</t>
  </si>
  <si>
    <t>vintageresidencialsp@gmail.com</t>
  </si>
  <si>
    <t>6074.2023/0007585-4</t>
  </si>
  <si>
    <t>VINTAGE RESIDENCIAL IPIRANGA</t>
  </si>
  <si>
    <t>CUIDANDO E CAPACITANDO</t>
  </si>
  <si>
    <t>08.279.661/0001-00</t>
  </si>
  <si>
    <t>INSTITUTO NACIONAL DE VALORIZAÇÃO HUMANA AMBIENTAL E ASSISTENCIAL</t>
  </si>
  <si>
    <t>6074.2023/0007588-9</t>
  </si>
  <si>
    <t>AGÊNCIA ADVENTISTA DE DESENVOLVIMENTO E RECURSOS ASSISTENCIAIS CENTRAL BRASILEIRA</t>
  </si>
  <si>
    <t>15.355.260/0019-86</t>
  </si>
  <si>
    <t>15.355.260/0001-57</t>
  </si>
  <si>
    <t>AVANÇA 60</t>
  </si>
  <si>
    <t>6074.2023/0007613-3</t>
  </si>
  <si>
    <t>INSTITUTO BIXIGA - PESQUISA, FORMAÇÃO E CULTURA POPULAR</t>
  </si>
  <si>
    <t>33.398.419/0001-00</t>
  </si>
  <si>
    <t>6074.2023/0007743-1</t>
  </si>
  <si>
    <t>755/23</t>
  </si>
  <si>
    <t>CASA DE REPOUSO PARA IDOSOS KAMPAI LTDA</t>
  </si>
  <si>
    <t>CASA DE REPOUSO KAMPAI</t>
  </si>
  <si>
    <t>47.951.572/0001-10</t>
  </si>
  <si>
    <t>Rua Joaquim Severina, nº59</t>
  </si>
  <si>
    <t>04652-204</t>
  </si>
  <si>
    <t>(11) 2476-4061</t>
  </si>
  <si>
    <t>casaderepousokampai@gmail.com</t>
  </si>
  <si>
    <t>6074.2023/0007785-7</t>
  </si>
  <si>
    <t>6074.2023/0007788-1</t>
  </si>
  <si>
    <t>silvana.cazonato@adventistas.org</t>
  </si>
  <si>
    <t>ASSOCIAÇÃO MAIS VIVER</t>
  </si>
  <si>
    <t>51.205.094/0001-76</t>
  </si>
  <si>
    <t>Rua Rego Barros, n° 626</t>
  </si>
  <si>
    <t>03460-000</t>
  </si>
  <si>
    <t>Jd. Vila Formosa</t>
  </si>
  <si>
    <t>(11) 2783-0003</t>
  </si>
  <si>
    <t>redivivolar@hotmail.com</t>
  </si>
  <si>
    <t>6074.2023/0007790-3</t>
  </si>
  <si>
    <t>315.2/19</t>
  </si>
  <si>
    <t>315.3/19</t>
  </si>
  <si>
    <t>315.4/19</t>
  </si>
  <si>
    <t>756/23</t>
  </si>
  <si>
    <t>757/23</t>
  </si>
  <si>
    <t>758/23</t>
  </si>
  <si>
    <t>759/23</t>
  </si>
  <si>
    <t>761/23</t>
  </si>
  <si>
    <t>MSA CUIDADOS LTDA</t>
  </si>
  <si>
    <t>NOTTING HILL GROUP LTDA</t>
  </si>
  <si>
    <t>RAYAT RESIDENCIAL SÊNIOR</t>
  </si>
  <si>
    <t>INSTITUTO CRIANÇA CIDADÃ</t>
  </si>
  <si>
    <t>RESIDENCIAL VOVÔ DITO</t>
  </si>
  <si>
    <t>38.177.776/0001-54</t>
  </si>
  <si>
    <t>Rua Luis Carlos Paraná, n° 217</t>
  </si>
  <si>
    <t>Jardim Cidália</t>
  </si>
  <si>
    <t>Cupecê</t>
  </si>
  <si>
    <t>(11) 2638-8078</t>
  </si>
  <si>
    <t>msacuidados@gmail.com</t>
  </si>
  <si>
    <t>HORTA ORGÂNICA DA MALÚ, ALIMENTAÇÃO SAUDÁVEL</t>
  </si>
  <si>
    <t>INSTITUTO NACIONAL CIDADANIA E TRABALHO - INCT</t>
  </si>
  <si>
    <t>08.732.822/0001-79</t>
  </si>
  <si>
    <t>(11) 95957-8381</t>
  </si>
  <si>
    <t>47.995.610/0001-36</t>
  </si>
  <si>
    <t>Rua Siqueira Bueno, n° 57</t>
  </si>
  <si>
    <t>03059-010</t>
  </si>
  <si>
    <t>03.205.769/0010-25</t>
  </si>
  <si>
    <t>03.205.769/0001-34</t>
  </si>
  <si>
    <t>Rua Fontoura Xavier, n° 1199</t>
  </si>
  <si>
    <t>08295-300</t>
  </si>
  <si>
    <t>CCINTER CASA DE CULTURA LEIDE DAS NEVES</t>
  </si>
  <si>
    <t>Vila Carmosina</t>
  </si>
  <si>
    <t>(11) 2071-5666</t>
  </si>
  <si>
    <t>icc@iccsp.org.br</t>
  </si>
  <si>
    <t>BALI  RESIDENCIAL PARA IDOSOS LTDA</t>
  </si>
  <si>
    <t>44.834.327/0001-34</t>
  </si>
  <si>
    <t>Rua Ribeiro do Vale, n° 1362</t>
  </si>
  <si>
    <t>04568-004</t>
  </si>
  <si>
    <t>(11) 5543-8034</t>
  </si>
  <si>
    <t>contato@baliresidencial.com.br</t>
  </si>
  <si>
    <t>www.baliresidencial.com.br</t>
  </si>
  <si>
    <t>RESIDENCIAL VOVÔ DITO LTDA</t>
  </si>
  <si>
    <t>47.259.681/0001-52</t>
  </si>
  <si>
    <t>Rua Durval Egídio da Silva, n° 116</t>
  </si>
  <si>
    <t>04828-020</t>
  </si>
  <si>
    <t>Jardim Esmeralda</t>
  </si>
  <si>
    <t>(11) 2365-5383</t>
  </si>
  <si>
    <t>residencialvovodito@gmail.com</t>
  </si>
  <si>
    <t>RESIDENCIAL PERDIZES LTDA</t>
  </si>
  <si>
    <t>53.371.308/0001-00</t>
  </si>
  <si>
    <t>Rua Turiassú, n° 566</t>
  </si>
  <si>
    <t>05005-000</t>
  </si>
  <si>
    <t>(11) 3862-7273</t>
  </si>
  <si>
    <t>www.clinicaderepousoperdizes.com.br</t>
  </si>
  <si>
    <t>6074.2023/0008184-6</t>
  </si>
  <si>
    <t>6074.2023/0008182-0</t>
  </si>
  <si>
    <t>Rua Claudio Rossi, n° 383</t>
  </si>
  <si>
    <t>01547-000</t>
  </si>
  <si>
    <t>Jardim da Glória</t>
  </si>
  <si>
    <t>(11) 5081-2389</t>
  </si>
  <si>
    <t>crvidaesaude@outlook.com</t>
  </si>
  <si>
    <t>www.casaderepousovidaesaude.com</t>
  </si>
  <si>
    <t>Travessa Padre Francisco Jorge do Amaral, n° 36</t>
  </si>
  <si>
    <t>02415-025</t>
  </si>
  <si>
    <t>(11) 3791-4182</t>
  </si>
  <si>
    <t>www.paraisodospais.com.br</t>
  </si>
  <si>
    <t>RESIDENCIAL PERDIZES</t>
  </si>
  <si>
    <t>6074.2023/0007903-5</t>
  </si>
  <si>
    <t xml:space="preserve"> ESCOLA DA MATURIDADE</t>
  </si>
  <si>
    <t xml:space="preserve"> NÚCLEO DE PROMOÇÃO DE ACESSO A DIREITOS</t>
  </si>
  <si>
    <t xml:space="preserve"> TRABALHABILIDADE SÊNIOR</t>
  </si>
  <si>
    <t>07.749.605/0003-90</t>
  </si>
  <si>
    <t>03409-000</t>
  </si>
  <si>
    <t>Chácara Santo Antonio (Z. Leste)</t>
  </si>
  <si>
    <t>Rua Itanhangá, n° 311</t>
  </si>
  <si>
    <t>02342-110</t>
  </si>
  <si>
    <t>6074.2023/0008026-2</t>
  </si>
  <si>
    <t>713.5/23</t>
  </si>
  <si>
    <t>64.033.061/0041-25</t>
  </si>
  <si>
    <t>762/23</t>
  </si>
  <si>
    <t>763/23</t>
  </si>
  <si>
    <t>764/23</t>
  </si>
  <si>
    <t>ASSOCIAÇÃO CRISTÃ DE IGREJAS MISSIONÁRIAS</t>
  </si>
  <si>
    <t>RECANTO MELHOR IDADE</t>
  </si>
  <si>
    <t>ASSOCIAÇÃO DE PROTEÇÃO À MATERNIDADE, À INFÂNCIA E À ADOLESCÊNCIA</t>
  </si>
  <si>
    <t>NCI ASPROMATINA</t>
  </si>
  <si>
    <t>73.062.325/0001-72</t>
  </si>
  <si>
    <t>Rua Nilva, n° 324</t>
  </si>
  <si>
    <t>Vila Piauí</t>
  </si>
  <si>
    <t>(11) 3621-7906</t>
  </si>
  <si>
    <t>aspromatina@aspromatina.org.br</t>
  </si>
  <si>
    <t>www.aspromatina.org.br</t>
  </si>
  <si>
    <t>6074.2023/0008570-1</t>
  </si>
  <si>
    <t>43.826.725/0001-67</t>
  </si>
  <si>
    <t>RECANTO MELHOR IDADE LTDA</t>
  </si>
  <si>
    <t>(11) 97676-8974</t>
  </si>
  <si>
    <t>rmelhoridade14977@gmail.com</t>
  </si>
  <si>
    <t>6074.2023/0008443-8</t>
  </si>
  <si>
    <t>04.168.203/0001-23</t>
  </si>
  <si>
    <t>Rua Ipê Roxo, n° 36</t>
  </si>
  <si>
    <t>(11) 96762-5494</t>
  </si>
  <si>
    <t>pastoralilianalves@gmail.com</t>
  </si>
  <si>
    <t>6074.2023/0008533-7</t>
  </si>
  <si>
    <t>6074.2023/0008201-0</t>
  </si>
  <si>
    <t>6074.2023/0008208-7</t>
  </si>
  <si>
    <t>6074.2023/0008185-4</t>
  </si>
  <si>
    <t>6074.2023/0007562-5</t>
  </si>
  <si>
    <t>6074.2023/0008083-1</t>
  </si>
  <si>
    <t>6074.2023/0007901-9</t>
  </si>
  <si>
    <t>NCI SÃO FRANCISCO DE ASSIS</t>
  </si>
  <si>
    <t>Rua Luar do Sertão, n° 07</t>
  </si>
  <si>
    <t>Valo Velho</t>
  </si>
  <si>
    <t>(11) 5870-7957</t>
  </si>
  <si>
    <t>6074.2023/0008402-0</t>
  </si>
  <si>
    <t>6074.2023/0008400-4</t>
  </si>
  <si>
    <t>www.bellasenior.com.br</t>
  </si>
  <si>
    <t>CASA DE REPOUSO AMOR AO IDOSO</t>
  </si>
  <si>
    <t>Rua Soldado João Pereira da Silva, n° 94</t>
  </si>
  <si>
    <t>02189-010</t>
  </si>
  <si>
    <t>Pqrque Novo Mundo</t>
  </si>
  <si>
    <t>(11) 3569-4817</t>
  </si>
  <si>
    <t>www.amoraoidoso.com.br</t>
  </si>
  <si>
    <t>6074.2023/0008631-7</t>
  </si>
  <si>
    <t>RECANTO ALEGRE REPOUSO PARA IDOSOS</t>
  </si>
  <si>
    <t>Rua Comendados Gil Pinheiro, n° 202</t>
  </si>
  <si>
    <t>03406-000</t>
  </si>
  <si>
    <t>Chácara Califórnia</t>
  </si>
  <si>
    <t>(11) 2597-4172</t>
  </si>
  <si>
    <t>crerecantoalegre@gmail.com</t>
  </si>
  <si>
    <t>www.casaderepousorecantoalegre.com.br</t>
  </si>
  <si>
    <t>6074.2023/0008423-3</t>
  </si>
  <si>
    <t xml:space="preserve">Avenida Santo Amaro, nº 6487 </t>
  </si>
  <si>
    <t>amaobranca@amaobranca.org.br</t>
  </si>
  <si>
    <t>6074.2023/0008636-8</t>
  </si>
  <si>
    <t>Rua Luiz Baldinato, nº 13</t>
  </si>
  <si>
    <t>04935-100</t>
  </si>
  <si>
    <t>(11) 5873-7434</t>
  </si>
  <si>
    <t>(11) 5523-2055</t>
  </si>
  <si>
    <t>08140-200</t>
  </si>
  <si>
    <t>05109-170</t>
  </si>
  <si>
    <t>Rua Borja Castro, 183</t>
  </si>
  <si>
    <t>Conj. Hab. Águia de Haia</t>
  </si>
  <si>
    <t>(11) 98437-1013</t>
  </si>
  <si>
    <t>6074.2023/0008773-9</t>
  </si>
  <si>
    <t>08223-340</t>
  </si>
  <si>
    <t>CLÍNICA ASSISTENCIAL MAIS HUMANO</t>
  </si>
  <si>
    <t>6074.2023/0009949-4</t>
  </si>
  <si>
    <t>CASA DE REPOUSO RESIDENCIAL VILA ZELINA EIRELI - ME</t>
  </si>
  <si>
    <t>6074.2023/0010221-5</t>
  </si>
  <si>
    <t>6074.2023/0010222-3</t>
  </si>
  <si>
    <t>765/23</t>
  </si>
  <si>
    <t>RESIDENCIAL GERIÁTRICO SOLAR DOS ANJOS LTDA</t>
  </si>
  <si>
    <t>34.609.183/0001-69</t>
  </si>
  <si>
    <t>Rua Eng Jean Buff, nº 176</t>
  </si>
  <si>
    <t>Jardim Paraiso</t>
  </si>
  <si>
    <t>(11) 2373-0076 / (11) 94285-9755</t>
  </si>
  <si>
    <t>fernandojpsouza@hotmail.com</t>
  </si>
  <si>
    <t>6074.2023/0008860-3</t>
  </si>
  <si>
    <t>766/23</t>
  </si>
  <si>
    <t>D&amp;D CASA DE REPOUSO LTDA</t>
  </si>
  <si>
    <t>D&amp;D  ASSESSORIA PARA IDOSO</t>
  </si>
  <si>
    <t>44.662.829/0001-25</t>
  </si>
  <si>
    <t>Rua Francisco Marengo, 210</t>
  </si>
  <si>
    <t>03313-000</t>
  </si>
  <si>
    <t>legalização@grupopacini.com.br</t>
  </si>
  <si>
    <t>6074.2023/0008865-4</t>
  </si>
  <si>
    <t>6074.2023/0008968-5</t>
  </si>
  <si>
    <t>633.2/22</t>
  </si>
  <si>
    <t>CIDI - CENTRO DE INCLUSÃO DIGITAL DO IDOSO</t>
  </si>
  <si>
    <t>Rua dos Campineiros, 547</t>
  </si>
  <si>
    <t>03167-020</t>
  </si>
  <si>
    <t>(11) 95289-0009</t>
  </si>
  <si>
    <t>390.3/20</t>
  </si>
  <si>
    <t>TERCEIRO SINAL: PROMOVENDO O PROTAGONISMO DA PESSOA IDOSA EM PRODUÇÕES ARTÍSTICAS E CULTURAIS</t>
  </si>
  <si>
    <t>05820-201</t>
  </si>
  <si>
    <t>Rua Nova Tuparoquera, nº 249</t>
  </si>
  <si>
    <t>Jd. Novo Santo Amaro</t>
  </si>
  <si>
    <t>(11) 5853-2050 / (11) 98920-0546</t>
  </si>
  <si>
    <t>projetos@fundaçãojulita.org.br</t>
  </si>
  <si>
    <t>www.fundaçãojulita.org.br</t>
  </si>
  <si>
    <t>6074.2023/0009017-9</t>
  </si>
  <si>
    <t>LAR DAS IDOSAS</t>
  </si>
  <si>
    <t>767/23</t>
  </si>
  <si>
    <t>FORTALEZA RESIDENCIAL PARA IDOSOS LTDA</t>
  </si>
  <si>
    <t>41.874.714/0001-06</t>
  </si>
  <si>
    <t>Rua Sandoval Ferreira Cabral, 170</t>
  </si>
  <si>
    <t>05135-330</t>
  </si>
  <si>
    <t>Jd. Santos Elias</t>
  </si>
  <si>
    <t>(11) 4306-1475/ (11) 95414-5041</t>
  </si>
  <si>
    <t>ultravioletapower@hotmail.com</t>
  </si>
  <si>
    <t>6074.2023/0009258-9</t>
  </si>
  <si>
    <t>559.2/21</t>
  </si>
  <si>
    <t>559.3/21</t>
  </si>
  <si>
    <t>559.4/21</t>
  </si>
  <si>
    <t>Rua Folha da Fortuna, 1</t>
  </si>
  <si>
    <t>Ermilino Matarazzo</t>
  </si>
  <si>
    <t>03810-100</t>
  </si>
  <si>
    <t>(11) 3339-9125/ 98270-9525/ 5583-1400</t>
  </si>
  <si>
    <t>Av. General Penha Brasil, 2508</t>
  </si>
  <si>
    <t>Cachoeirinha</t>
  </si>
  <si>
    <t>(11) 3859-2300/ 98270-9525/ 38592300</t>
  </si>
  <si>
    <t>Travessa Jasmim da Beirada, 71</t>
  </si>
  <si>
    <t>05868-580</t>
  </si>
  <si>
    <t>02673-000</t>
  </si>
  <si>
    <t>(11) 3339-9125/ 98270-9525/ 5821-2220</t>
  </si>
  <si>
    <t>admprojetos@institutoolgakos.org.br</t>
  </si>
  <si>
    <t>(11) 2561-5668/ 97466-1707</t>
  </si>
  <si>
    <t>ASILO DA VOVÓ LICA LTDA</t>
  </si>
  <si>
    <t>05177-270</t>
  </si>
  <si>
    <t xml:space="preserve">Rua Manuel Bento da Cruz, nº 111 </t>
  </si>
  <si>
    <t>6074.2023/0009448-4</t>
  </si>
  <si>
    <t>Av. Miguel Estefano, 726</t>
  </si>
  <si>
    <t>04050-000</t>
  </si>
  <si>
    <t>(11) 5071-3182/ 98212-5621</t>
  </si>
  <si>
    <t>www.clinicacherubins.com.br</t>
  </si>
  <si>
    <t>6074.2023.0009451-4</t>
  </si>
  <si>
    <t>Rua das Oiticicas, nº 150</t>
  </si>
  <si>
    <t>Parque Jabaquara</t>
  </si>
  <si>
    <t>(11) 5588-3812/ 94965-8270</t>
  </si>
  <si>
    <t>Crepousoesperancaeprosperidade@gmail.com</t>
  </si>
  <si>
    <t>452.2/21</t>
  </si>
  <si>
    <t>Estrada das Lágrimas, 2385</t>
  </si>
  <si>
    <t>04244-000</t>
  </si>
  <si>
    <t>(11) 3071-4040/ 98265-4746</t>
  </si>
  <si>
    <t>Rua Padre Vicente Gaudineri, 51</t>
  </si>
  <si>
    <t>05177-000</t>
  </si>
  <si>
    <t>(11) 3901-5793/ 95256-0760</t>
  </si>
  <si>
    <t>6074.2023/0009578-2</t>
  </si>
  <si>
    <t>187.2/17</t>
  </si>
  <si>
    <t>PAIVA LIMA</t>
  </si>
  <si>
    <t>Rua Anhumas, 340</t>
  </si>
  <si>
    <t>03284-000</t>
  </si>
  <si>
    <t>Vila Santa Virginia</t>
  </si>
  <si>
    <t>(11) 2918-2837/ 97379-0490</t>
  </si>
  <si>
    <t>casaderepousopaivalima@gmail.com</t>
  </si>
  <si>
    <t>6074.2023/0009524-3</t>
  </si>
  <si>
    <t>768/23</t>
  </si>
  <si>
    <t>ASSOCIAÇÃO SÃO DOMINGOS SÁVIO</t>
  </si>
  <si>
    <t>NCI SÃO DOMINGOS SÁVIO</t>
  </si>
  <si>
    <t>55.064.513/0001-58</t>
  </si>
  <si>
    <t>Rua José Queiroz dos Santos, 163</t>
  </si>
  <si>
    <t>05138-080</t>
  </si>
  <si>
    <t>Jardim Líbano</t>
  </si>
  <si>
    <t>(11) 3904-9431/ 9344-2780</t>
  </si>
  <si>
    <t>aesds.aesds@gmail.com</t>
  </si>
  <si>
    <t>6074.2023/0009529-4</t>
  </si>
  <si>
    <t>Rua São Serapião, 953</t>
  </si>
  <si>
    <t>03664-000</t>
  </si>
  <si>
    <t xml:space="preserve">RESIDENCIAL SÊNIOR SANT'ANNA LTDA </t>
  </si>
  <si>
    <t>RESIDENCIAL SÊNIOR SANT'ANNA</t>
  </si>
  <si>
    <t>Rua do Horto, 691</t>
  </si>
  <si>
    <t>(11) 3539-0440/ 98950-6710</t>
  </si>
  <si>
    <t>residencialseniorsantanna@gmail.com</t>
  </si>
  <si>
    <t>www.residencialseniorsantanna.om.br</t>
  </si>
  <si>
    <t>6074.2023/0009579-0</t>
  </si>
  <si>
    <t>769/23</t>
  </si>
  <si>
    <t>INSTITUIÇÃO DE LONGA PERMANÊNCIA RECANTO FELIZ</t>
  </si>
  <si>
    <t>CASA DE REPOUSO RECANTO FELIZ</t>
  </si>
  <si>
    <t>07.914.072/000-93</t>
  </si>
  <si>
    <t>Rua Dentista Barreto, 575</t>
  </si>
  <si>
    <t>(11) 2295-7557/ 97370-4262</t>
  </si>
  <si>
    <t>6074.2023/0009676-2</t>
  </si>
  <si>
    <t>622.4/22</t>
  </si>
  <si>
    <t xml:space="preserve">CURSO EAD PARTICIPAÇÃO SOCIAL E CIDADANIA AO LONGO DA VIDA </t>
  </si>
  <si>
    <t>60.990751/0001-24</t>
  </si>
  <si>
    <t>(11) 36703333/ 3670-3399</t>
  </si>
  <si>
    <t>770/23</t>
  </si>
  <si>
    <t>INSTITUTO AMIGOS DA FÉ</t>
  </si>
  <si>
    <t>NÚCLEO DO IDOSO</t>
  </si>
  <si>
    <t>05.852.903/0001-14</t>
  </si>
  <si>
    <t>Rua Antenor Bettarello, 01</t>
  </si>
  <si>
    <t>04773-020</t>
  </si>
  <si>
    <t>(11) 5548-1613/ 97257-9638</t>
  </si>
  <si>
    <t>amigosdafe.iaf@gmail.com</t>
  </si>
  <si>
    <t>www.institutoamigosdafe.org.br</t>
  </si>
  <si>
    <t>6074.2023/0009690-8</t>
  </si>
  <si>
    <t>771/23</t>
  </si>
  <si>
    <t>A. A. B. DA SILVA RESIDENCIAL GERIÁTRICO</t>
  </si>
  <si>
    <t>RESIDENCIAL GERIÁTRICO SONHO MEU</t>
  </si>
  <si>
    <t>30.579.695/0001-79</t>
  </si>
  <si>
    <t>Rua da Azaléas, 266</t>
  </si>
  <si>
    <t>04049-010</t>
  </si>
  <si>
    <t>(11) 5058-0878/ 98506-4394</t>
  </si>
  <si>
    <t>residencialgeriatricosonhomeu@gmail.com</t>
  </si>
  <si>
    <t>6074.2023/0009779-3</t>
  </si>
  <si>
    <t>Rua Azevedo Soares, 21</t>
  </si>
  <si>
    <t>03322-001</t>
  </si>
  <si>
    <t>Vila Gomes Cardim</t>
  </si>
  <si>
    <t xml:space="preserve">(11) 4750-2023/ </t>
  </si>
  <si>
    <t>legalizacao@bslsaude.com.br</t>
  </si>
  <si>
    <t>www.corasenior.com.br/cora-tatuape-residencial-para-idosos/</t>
  </si>
  <si>
    <t>6074.2023/0009886-2</t>
  </si>
  <si>
    <t>NCI JOVEM VEM VIVER</t>
  </si>
  <si>
    <t>Rua Engenheiro Vilares da Silva, 425</t>
  </si>
  <si>
    <t>08215-320</t>
  </si>
  <si>
    <t>mi@domboscoitaquera.org.br</t>
  </si>
  <si>
    <t>www.domboscoitaquera.org.br</t>
  </si>
  <si>
    <t>6074.2023/0009917-6</t>
  </si>
  <si>
    <t>772/23</t>
  </si>
  <si>
    <t>CENTRO DE PROMOÇÃO E INCLUSÃO SOCIAL 26 DE JULHO</t>
  </si>
  <si>
    <t>COMEÇAR DE NOVO - INTERGERACIONAL</t>
  </si>
  <si>
    <t>03.645.949/0001-37</t>
  </si>
  <si>
    <t>Rua George Bekesy, 7</t>
  </si>
  <si>
    <t>03977-015</t>
  </si>
  <si>
    <t>Fazenda da Juta</t>
  </si>
  <si>
    <t>(11) 2015-9493/ 96576-6795</t>
  </si>
  <si>
    <t xml:space="preserve">cpis26dejulho@cpis26dejulho.org.br </t>
  </si>
  <si>
    <t xml:space="preserve">www.cpis26dejulho.org.br </t>
  </si>
  <si>
    <t>6074.2023/0009923-0</t>
  </si>
  <si>
    <t>773/23</t>
  </si>
  <si>
    <t>ELIANE RODRIGUES DA SILVA LTDA</t>
  </si>
  <si>
    <t>LAR PARA IDOSOS JARDIM DA VOVO</t>
  </si>
  <si>
    <t>41.076.501/0001-39</t>
  </si>
  <si>
    <t>Rua General Teixeira de Campos, 265</t>
  </si>
  <si>
    <t>05546-000</t>
  </si>
  <si>
    <t>Jardim Claúdia</t>
  </si>
  <si>
    <t>(11) 97478-9520</t>
  </si>
  <si>
    <t>janete.safe@outlook.com</t>
  </si>
  <si>
    <t>6074.2023/0009943-5</t>
  </si>
  <si>
    <t>kelly. rodrigues@tercadaserra.com.br</t>
  </si>
  <si>
    <t>774/23</t>
  </si>
  <si>
    <t>I. DA S. PENHA CASA DE REPOUSO</t>
  </si>
  <si>
    <t>CASA DE REPOUSO EL ROHI</t>
  </si>
  <si>
    <t>Rua Marcelo de Menezes, 260</t>
  </si>
  <si>
    <t>26.106.787/0001-64</t>
  </si>
  <si>
    <t>02069-030</t>
  </si>
  <si>
    <t>Carandiru</t>
  </si>
  <si>
    <t>6074.2023/0009956-7</t>
  </si>
  <si>
    <t>775/23</t>
  </si>
  <si>
    <t>RESIDENCIAL SENIOR CDDP CAMPO BELO LTDA</t>
  </si>
  <si>
    <t>TERCA DA SERRA CAMPO BELO</t>
  </si>
  <si>
    <t>49.681.925/0001-34</t>
  </si>
  <si>
    <t>Rua João Álvares Soares, 1891</t>
  </si>
  <si>
    <t>04609-005</t>
  </si>
  <si>
    <t>(11) 5044-6912/ 93202-1000</t>
  </si>
  <si>
    <t>campobelo@tercadaserra.com.br</t>
  </si>
  <si>
    <t>6074.2023/0010066-2</t>
  </si>
  <si>
    <t>776/23</t>
  </si>
  <si>
    <t>13.244.646/0001-66</t>
  </si>
  <si>
    <t>Rua Morro do Livramento, 39</t>
  </si>
  <si>
    <t>02281-000</t>
  </si>
  <si>
    <t>Vila Nova Galvão</t>
  </si>
  <si>
    <t>(11) 95759-9946/ 95595-1919</t>
  </si>
  <si>
    <t>institutobran@gmail.com</t>
  </si>
  <si>
    <t>6074.2023/0010140-5</t>
  </si>
  <si>
    <t>777/23</t>
  </si>
  <si>
    <t>CARI NONNI CENTRO-DIA PARA IDOSOS LTDA</t>
  </si>
  <si>
    <t>CARI NONNI CENTRO PARA IDOSOS</t>
  </si>
  <si>
    <t>24.614.384/0001-09</t>
  </si>
  <si>
    <t>Rua Rio Grande, 846</t>
  </si>
  <si>
    <t>04018-001</t>
  </si>
  <si>
    <t>(11) 3467-6169/ 97622-0569</t>
  </si>
  <si>
    <t>administrativo@carinonni.com.br</t>
  </si>
  <si>
    <t>www.carinonni.com.br</t>
  </si>
  <si>
    <t>6074.2023/0010141-3</t>
  </si>
  <si>
    <t>CASA DE REPOUSO CANTINHO DA VILA LTDA</t>
  </si>
  <si>
    <t>17.070.693/0001-91</t>
  </si>
  <si>
    <t>CASA DE RE POUSO DA VOVÓ LICA</t>
  </si>
  <si>
    <t>RESIDENCIAL VÔ CHICO</t>
  </si>
  <si>
    <t>TERÇA DA SERRA</t>
  </si>
  <si>
    <t>AGENTE DE CIDADANIA 60+</t>
  </si>
  <si>
    <t>778/23</t>
  </si>
  <si>
    <t>MARIA REIS DOS PRAZERES RICALDONI</t>
  </si>
  <si>
    <t>PREMIER CARE</t>
  </si>
  <si>
    <t>779/23</t>
  </si>
  <si>
    <t>SERENIDADE CASA DE REPOUSO LTDA</t>
  </si>
  <si>
    <t>33.264.028/0001-95</t>
  </si>
  <si>
    <t>Rua Ária, 192</t>
  </si>
  <si>
    <t>03223-120</t>
  </si>
  <si>
    <t>2116-5100/ 95100-0703</t>
  </si>
  <si>
    <t>serenidaderepouso@gmail.com</t>
  </si>
  <si>
    <t>6074.2023/0010143-0</t>
  </si>
  <si>
    <t>204.5/17</t>
  </si>
  <si>
    <t>coordenacao@espacoaberto.org.br</t>
  </si>
  <si>
    <t>642.2/22</t>
  </si>
  <si>
    <t>62.272.497/0010-45</t>
  </si>
  <si>
    <t>CDI LAR SANTO ALBERTO</t>
  </si>
  <si>
    <t>Rua Professor Dorival Dias Minhoto, n° 231</t>
  </si>
  <si>
    <t>(11) 2236-1418</t>
  </si>
  <si>
    <t>asa@asatransforma.org.br</t>
  </si>
  <si>
    <t>www.asatransforma.org.br</t>
  </si>
  <si>
    <t>6074.2023/0009887-0</t>
  </si>
  <si>
    <t>02435-090</t>
  </si>
  <si>
    <t>49.263.528/0004-95</t>
  </si>
  <si>
    <t>Av. Norberto Mayer, n° 260</t>
  </si>
  <si>
    <t>03425-070</t>
  </si>
  <si>
    <t xml:space="preserve">Vila Santa Isabel </t>
  </si>
  <si>
    <t>(11) 3362 - 9772</t>
  </si>
  <si>
    <t>(11) 2995-2044</t>
  </si>
  <si>
    <t>(11) 2293-5099</t>
  </si>
  <si>
    <t>www.ipvss.org.br</t>
  </si>
  <si>
    <t>6074.2023/0009892-7</t>
  </si>
  <si>
    <t>CASA DE REPOUSO VIDA &amp; SAÚDE LTDA</t>
  </si>
  <si>
    <t>Rua Heitor Peixoto, n° 562</t>
  </si>
  <si>
    <t>01543-001</t>
  </si>
  <si>
    <t>Cambuci</t>
  </si>
  <si>
    <t>(11) 2936-4629</t>
  </si>
  <si>
    <t>6074.2023/0009944-3</t>
  </si>
  <si>
    <t>LIFE CARE</t>
  </si>
  <si>
    <t>PROJETO IDOSO DIGITAL</t>
  </si>
  <si>
    <t>(11) 3781-8893</t>
  </si>
  <si>
    <t>PLATAFORMA ATADOS - ACESSO À REDE DE ONGS</t>
  </si>
  <si>
    <t>AUTONOMIA DIGITAL PARA O DESENVOLVIMENTO SÊNIOR</t>
  </si>
  <si>
    <t>(31) 3290-8000 / (11)  99767-3270</t>
  </si>
  <si>
    <t>parceriaspublicas@redecidada.org.br</t>
  </si>
  <si>
    <t>27.965.853/0001-14</t>
  </si>
  <si>
    <t>Rua Portela de Góis, n° 152</t>
  </si>
  <si>
    <t>04829-070</t>
  </si>
  <si>
    <t>Jd. Bela Vista</t>
  </si>
  <si>
    <t>(11) 2359-1893</t>
  </si>
  <si>
    <t>ricaldonilima@yahoo.com.br</t>
  </si>
  <si>
    <t>6074.2023/0010231-2</t>
  </si>
  <si>
    <t>Rua Rodrigues Barbosa, n° 102</t>
  </si>
  <si>
    <t>03334-040</t>
  </si>
  <si>
    <t>PINHEIRO MEU BEM QUERER</t>
  </si>
  <si>
    <t>INSTITUTO OLGA KOS DE INCLUSÃO CULTURAL</t>
  </si>
  <si>
    <t>656.5/22</t>
  </si>
  <si>
    <t>6074.2023/0010861-2</t>
  </si>
  <si>
    <t>LETRAMENTO DIGITAL PARA PESSOAS IDOSAS</t>
  </si>
  <si>
    <t>780/23</t>
  </si>
  <si>
    <t>INSTITUTO PLENA PRIMAVERA</t>
  </si>
  <si>
    <t>IDOSOS EM MOVIMENTO</t>
  </si>
  <si>
    <t>21.548.834/0001-70</t>
  </si>
  <si>
    <t>6074.2023/0010803-5</t>
  </si>
  <si>
    <t>primaveraipp@hotmail.com</t>
  </si>
  <si>
    <t>6074.2023/0011001-3</t>
  </si>
  <si>
    <t>INSTITUTO BRASILEIRO FILHAS DE SÃO CAMILO</t>
  </si>
  <si>
    <t>12.920.752/0002-30</t>
  </si>
  <si>
    <t>Rua Adelino Bertoli, n° 139</t>
  </si>
  <si>
    <t>02241-120</t>
  </si>
  <si>
    <t>Vl. Dom Pedro II</t>
  </si>
  <si>
    <t>www.filhasdesaocamilo.com.br</t>
  </si>
  <si>
    <t>(11) 2973-0813</t>
  </si>
  <si>
    <t>6074.2023/0011032-3</t>
  </si>
  <si>
    <t>INSTITUIÇÃO DE LONGA PERMANÊNCIA PARA IDOSOS SÃO CAMILO</t>
  </si>
  <si>
    <t>ALTRUDA &amp; CABRAL CASA DE REPOUSO LTDA</t>
  </si>
  <si>
    <t xml:space="preserve">ALTRUDA &amp; CABRAL CASA DE REPOUSO LTDA </t>
  </si>
  <si>
    <t>Rua Vicente Leporace, n° 1456</t>
  </si>
  <si>
    <t>04619-034</t>
  </si>
  <si>
    <t xml:space="preserve">Campo Belo </t>
  </si>
  <si>
    <t>(11) 2597-2241</t>
  </si>
  <si>
    <t>grupoaecres@gmail</t>
  </si>
  <si>
    <t>www.residencialespacosaude.com.br</t>
  </si>
  <si>
    <t>6074.2023/0011034-0</t>
  </si>
  <si>
    <t>Av. Prof. Vicente Rao, n° 753</t>
  </si>
  <si>
    <t>04636-000</t>
  </si>
  <si>
    <t>Jd. Petrópolis</t>
  </si>
  <si>
    <t>(11) 5041-5296</t>
  </si>
  <si>
    <t>(11) 2338-4299</t>
  </si>
  <si>
    <t>www.grupomdsi.com.br</t>
  </si>
  <si>
    <t>6074.2023/0010900-7</t>
  </si>
  <si>
    <t>Rua Pedra Bonita, n° 383</t>
  </si>
  <si>
    <t>02635-000</t>
  </si>
  <si>
    <t>Vl. Pedra Branca</t>
  </si>
  <si>
    <t>(11) 2232-2882</t>
  </si>
  <si>
    <t>6074.2023/0010816-7</t>
  </si>
  <si>
    <t>Rua Dr. Antônio Bento nº 736</t>
  </si>
  <si>
    <t>04750-001</t>
  </si>
  <si>
    <t>(11) 3774-6642</t>
  </si>
  <si>
    <t>casaderepousobelavida</t>
  </si>
  <si>
    <t>CASA DE REPOUSO BELA VIDA</t>
  </si>
  <si>
    <t>6074.2023/0010526-5</t>
  </si>
  <si>
    <t>781/23</t>
  </si>
  <si>
    <t>782/23</t>
  </si>
  <si>
    <t>783/23</t>
  </si>
  <si>
    <t>784/23</t>
  </si>
  <si>
    <t>785/23</t>
  </si>
  <si>
    <t>786/23</t>
  </si>
  <si>
    <t>787/23</t>
  </si>
  <si>
    <t>788/23</t>
  </si>
  <si>
    <t>789/23</t>
  </si>
  <si>
    <t>790/23</t>
  </si>
  <si>
    <t>HOME FAMILY EIRELI</t>
  </si>
  <si>
    <t>RESIDENCIAL JAQUE QUEIROZ</t>
  </si>
  <si>
    <t>TERÇA DA SERRA ALTO DA LAPA</t>
  </si>
  <si>
    <t>RESIDENCIAL PARA IDOSOS DONA NEUSA</t>
  </si>
  <si>
    <t>CASA DE REPOUSO E HOTEL D'PAULA LTDA</t>
  </si>
  <si>
    <t>768.2/23</t>
  </si>
  <si>
    <t>CDI SÃO DOMINGOS SÁVIO</t>
  </si>
  <si>
    <t>Rua Monsenhor de Castro Nery, n° 676</t>
  </si>
  <si>
    <t>São Domingos</t>
  </si>
  <si>
    <t>(11) 3901-3139</t>
  </si>
  <si>
    <t>22.463.783/0001-82</t>
  </si>
  <si>
    <t>CASA DE REPOUSO VILLAGGIO DEL SIGNORE LTDA</t>
  </si>
  <si>
    <t>VILLAGIO DEL SIGNORE</t>
  </si>
  <si>
    <t>Rua Ibicuí-Mirim, n° 48</t>
  </si>
  <si>
    <t>04320-070</t>
  </si>
  <si>
    <t>(11) 2548-8917</t>
  </si>
  <si>
    <t>contato@villaggio.com.br</t>
  </si>
  <si>
    <t>www.villaggio.com.br</t>
  </si>
  <si>
    <t>6074.2023/0010407-2</t>
  </si>
  <si>
    <t>HOME FAMILY</t>
  </si>
  <si>
    <t>21.587.408/0001-81</t>
  </si>
  <si>
    <t>Rua das Glicínias, n° 128</t>
  </si>
  <si>
    <t>04048-050</t>
  </si>
  <si>
    <t>(11) 97076-5339</t>
  </si>
  <si>
    <t>homecfamily@gmail.com</t>
  </si>
  <si>
    <t>6074.2023/0010459-5</t>
  </si>
  <si>
    <t>GUILHERME SOUZA QUEIROZ CASA DE REPOUSO LTDA</t>
  </si>
  <si>
    <t>48.290.313/0001-58</t>
  </si>
  <si>
    <t>Rua Guaxatuba, n° 74</t>
  </si>
  <si>
    <t>04662-050</t>
  </si>
  <si>
    <t>(11) 5687-7003</t>
  </si>
  <si>
    <t>residencialjaquequeiroz@gmail.com</t>
  </si>
  <si>
    <t>6074.2023/0010530-3</t>
  </si>
  <si>
    <t>RESIDENCIAL SÊNIOR GG ALTO DA LAPA LTDA</t>
  </si>
  <si>
    <t>39.530.496/0001-40</t>
  </si>
  <si>
    <t>Rua Tomé de Souza, n° 700</t>
  </si>
  <si>
    <t>05079-100</t>
  </si>
  <si>
    <t>(11) 3798-5796</t>
  </si>
  <si>
    <t>ingrid.carvalho@tercadaserrra.com.br</t>
  </si>
  <si>
    <t>RESIDENCIAL DONA NEUSA</t>
  </si>
  <si>
    <t>48.212.280/0001-28</t>
  </si>
  <si>
    <t>Av. Piassanguaba, n° 1208</t>
  </si>
  <si>
    <t>04060-001</t>
  </si>
  <si>
    <t>(11) 5051-2372</t>
  </si>
  <si>
    <t>www.cgmm.com.br</t>
  </si>
  <si>
    <t>6074.2023/0010687-3</t>
  </si>
  <si>
    <t>ASSISTÊNCIA SOCIAL A COLMEIA</t>
  </si>
  <si>
    <t>51.150.423/0001-29</t>
  </si>
  <si>
    <t>51.150.423/0013.62</t>
  </si>
  <si>
    <t>NCI TIA DIRCE</t>
  </si>
  <si>
    <t>Rua Titan, n° 139</t>
  </si>
  <si>
    <t>08330-550</t>
  </si>
  <si>
    <t>Cidade Satélite Santa Bárbara</t>
  </si>
  <si>
    <t>(11) 2015-2309</t>
  </si>
  <si>
    <t>ncitiadirce@acolmeia.org.br</t>
  </si>
  <si>
    <t>www.acolmeia.org.br</t>
  </si>
  <si>
    <t>6074.2023/0010688-1</t>
  </si>
  <si>
    <t>D'PAULA CASA DE REPOUSO</t>
  </si>
  <si>
    <t>30.866.176/0001-91</t>
  </si>
  <si>
    <t>Rua Garopa, n° 563</t>
  </si>
  <si>
    <t>08030-410</t>
  </si>
  <si>
    <t>6074.2023/0010691-1</t>
  </si>
  <si>
    <t>RESIDENCIAL SÊNIOR IPÊ AMARELO UNIDADE PREMIUM LTDA</t>
  </si>
  <si>
    <t>IPÊ AMARELO PREMIUM</t>
  </si>
  <si>
    <t>51.009.262/0001-58</t>
  </si>
  <si>
    <t>05121-000</t>
  </si>
  <si>
    <t>6074.2023/0010693-8</t>
  </si>
  <si>
    <t>R. Dr. Odon Carlos de Figueiredo Ferraz, n° 524</t>
  </si>
  <si>
    <t>INSTITUTO DE RECUPERÇÃO E NATAÇÃO ÁGUA CRISTALINA</t>
  </si>
  <si>
    <t>NCI ÁGUA CRISTALINA</t>
  </si>
  <si>
    <t>02.498.522/0001-90</t>
  </si>
  <si>
    <t>02.498.522/0002-71</t>
  </si>
  <si>
    <t>Av. Alexandrina Malisano de Lima, n° 501</t>
  </si>
  <si>
    <t>04920-000</t>
  </si>
  <si>
    <t>Jd. Herculano</t>
  </si>
  <si>
    <t>(11) 5831-1628</t>
  </si>
  <si>
    <t>irnac@irnac.com.br</t>
  </si>
  <si>
    <t>www.iirnac@irnac.com.br</t>
  </si>
  <si>
    <t>6074.2023/0010899-0</t>
  </si>
  <si>
    <t>6074.2023/0011106-0</t>
  </si>
  <si>
    <t>NOSSO LAR</t>
  </si>
  <si>
    <t>51.643.178/0001-91</t>
  </si>
  <si>
    <t>Rua Paulo Maldi, n° 393 - cj 397</t>
  </si>
  <si>
    <t>narifabina1978@gmail.com</t>
  </si>
  <si>
    <t>6074.2023/0011101-0</t>
  </si>
  <si>
    <t>CLÍNICA DE LONGA PERMANÊNCIA NOSSO LAR LTDA</t>
  </si>
  <si>
    <t>RESIDENCIAL PARA IDOSOS ROYALE</t>
  </si>
  <si>
    <t>Av. São Gualter, nº 1922</t>
  </si>
  <si>
    <t>05455-002</t>
  </si>
  <si>
    <t>(11) 3021-3065</t>
  </si>
  <si>
    <t>www.residencialroyale.com.br</t>
  </si>
  <si>
    <t>(11) 3836-0003/3645-4176</t>
  </si>
  <si>
    <t>6074.2023/0011147-8</t>
  </si>
  <si>
    <t>Rua Pascal, n° 1548</t>
  </si>
  <si>
    <t>04616-005</t>
  </si>
  <si>
    <t>(11) 3554-9724</t>
  </si>
  <si>
    <t>1º/12/2027</t>
  </si>
  <si>
    <t>791/23</t>
  </si>
  <si>
    <t>792/23</t>
  </si>
  <si>
    <t>RESIDENCIAL DE LONGA PERMANÊNCIA AMOR E VIDA LTDA</t>
  </si>
  <si>
    <t>A.B.P. ASSOCIAÇÃO BRASILEIRA DE PIPAS</t>
  </si>
  <si>
    <t>CASA DE REPOUSO AMOREVITTA</t>
  </si>
  <si>
    <t>33.156.776/0001-54</t>
  </si>
  <si>
    <t>749.2/23</t>
  </si>
  <si>
    <t>NCI ENERGIA</t>
  </si>
  <si>
    <t>793/23</t>
  </si>
  <si>
    <t>794/23</t>
  </si>
  <si>
    <t>795/23</t>
  </si>
  <si>
    <t>CASA DE REPOUSO AGUIAR LTDA</t>
  </si>
  <si>
    <t>MORADA NOSSO LAR</t>
  </si>
  <si>
    <t>ITS CASA DE REPOUSO</t>
  </si>
  <si>
    <t>GARDEN VILLE</t>
  </si>
  <si>
    <t>36.458.817/0001-55</t>
  </si>
  <si>
    <t>Rua Francisca Julia, n° 182</t>
  </si>
  <si>
    <t>02403-010</t>
  </si>
  <si>
    <t>(11) 2574-1954</t>
  </si>
  <si>
    <t>www.residencialvipsenior.com.br</t>
  </si>
  <si>
    <t>6074.2023/0011628-3</t>
  </si>
  <si>
    <t>05159-500</t>
  </si>
  <si>
    <t>Maria Eugênia</t>
  </si>
  <si>
    <t>(11) 3901-5819</t>
  </si>
  <si>
    <t>casaderepousovozelinda@gmail.com</t>
  </si>
  <si>
    <t>6074.2023/0011475-2</t>
  </si>
  <si>
    <t>Rua Coronel José Rufino Freire, n° 302</t>
  </si>
  <si>
    <t>Rua Rogério Giorgio, n° 204</t>
  </si>
  <si>
    <t>03431-00</t>
  </si>
  <si>
    <t>(11) 2094-2892</t>
  </si>
  <si>
    <t>www.casaderepousonocarrao.com.br</t>
  </si>
  <si>
    <t>6074.2023/0011531-7</t>
  </si>
  <si>
    <t>Rua Xiririca, n° 270</t>
  </si>
  <si>
    <t>03428-000</t>
  </si>
  <si>
    <t>(11) 2225-1918</t>
  </si>
  <si>
    <t>www.colibriresidencial.com.br</t>
  </si>
  <si>
    <t>6074.2023/0011641-0</t>
  </si>
  <si>
    <t>COLIBRI CASA DE REPOUSO</t>
  </si>
  <si>
    <t>RESIDENCIAL LARES</t>
  </si>
  <si>
    <t>Rua Chamantá, n° 653</t>
  </si>
  <si>
    <t>03127-000</t>
  </si>
  <si>
    <t>(11) 2022-5681</t>
  </si>
  <si>
    <t>www.casaderepousosolares.com.br</t>
  </si>
  <si>
    <t>6074.2023/0011553-8</t>
  </si>
  <si>
    <t>Parque Guarani</t>
  </si>
  <si>
    <t>32.699.273/0001-62</t>
  </si>
  <si>
    <t>Rua Prof. Rodolfo São Tiago, n° 164</t>
  </si>
  <si>
    <t>03059-050</t>
  </si>
  <si>
    <t>6074.2023/0011490-6</t>
  </si>
  <si>
    <t>PIPAS AMARELO - ILPI</t>
  </si>
  <si>
    <t>17.285.190/0001-33</t>
  </si>
  <si>
    <t>Rua Mussumés, n° 562</t>
  </si>
  <si>
    <t>02130-070</t>
  </si>
  <si>
    <t>(11) 2751-7617</t>
  </si>
  <si>
    <t>projetosabp@gmail.com</t>
  </si>
  <si>
    <t>www.associacaodepipas.org</t>
  </si>
  <si>
    <t>6074.2023/0011526-0</t>
  </si>
  <si>
    <t>Rua Getúlio Vargas Filho, nº 707</t>
  </si>
  <si>
    <t>(11) 5021-5219</t>
  </si>
  <si>
    <t>moradanossolar@gmail.com</t>
  </si>
  <si>
    <t>6074.2023/0011688-7</t>
  </si>
  <si>
    <t>6074.2023/0011647-0</t>
  </si>
  <si>
    <t>35.044.428/0001-10</t>
  </si>
  <si>
    <t>Rua Itá, n° 381</t>
  </si>
  <si>
    <t>02636-030</t>
  </si>
  <si>
    <t>(11) 2235-6993</t>
  </si>
  <si>
    <t>rh.gardenvillesp@gmail.com</t>
  </si>
  <si>
    <t>www.gardenvillesp.com.br</t>
  </si>
  <si>
    <t>SOLAR III</t>
  </si>
  <si>
    <t>34.609.183/0003-20</t>
  </si>
  <si>
    <t>Av. do Guacá, n° 1077</t>
  </si>
  <si>
    <t>02435-001</t>
  </si>
  <si>
    <t>(11) 4801-6999</t>
  </si>
  <si>
    <t>765.2/23</t>
  </si>
  <si>
    <t>contatoresidencialemanuel@gmail.com</t>
  </si>
  <si>
    <t>310.2/19</t>
  </si>
  <si>
    <t>CAEI 21 ABECAL</t>
  </si>
  <si>
    <t>Rua 21 de Abril, n° 370/374</t>
  </si>
  <si>
    <t>03047-000</t>
  </si>
  <si>
    <t>(11) 2691-6888</t>
  </si>
  <si>
    <t>CASA DE REPOUSO IPE AMARELO LTDA</t>
  </si>
  <si>
    <t>RESIDENCIAL SENIOR IPE AMARELO CASA DE REPOUSO</t>
  </si>
  <si>
    <t>45.703.669/0001-88</t>
  </si>
  <si>
    <t>Av. Elísio Cordeiro de Siqueira, n° 627</t>
  </si>
  <si>
    <t>05136-000</t>
  </si>
  <si>
    <t>(11) 3903-5064</t>
  </si>
  <si>
    <t>residencialsenioripeamarelo@hotmail.com</t>
  </si>
  <si>
    <t>www.residencialsenioripeamarelo.com</t>
  </si>
  <si>
    <t>6074.2023/0011716-6</t>
  </si>
  <si>
    <t>10.550.726/0001-51</t>
  </si>
  <si>
    <t>6074.2023/0011750-6</t>
  </si>
  <si>
    <t>LUMINA RESIDENCIAL SÊNIOR</t>
  </si>
  <si>
    <t xml:space="preserve">CASA DE REPOUSO IDEAL </t>
  </si>
  <si>
    <t>(11) 3567-3800</t>
  </si>
  <si>
    <t>www.luminaresidencialsenior.com.br</t>
  </si>
  <si>
    <t>796/23</t>
  </si>
  <si>
    <t>Rua Colônia Alemã, n° 35</t>
  </si>
  <si>
    <t>04892-160</t>
  </si>
  <si>
    <t>6074.2023/0011748-4</t>
  </si>
  <si>
    <t>6074.2023/0011777-8</t>
  </si>
  <si>
    <t>797/23</t>
  </si>
  <si>
    <t>ASSOCIAÇÃO RECREATIVA E CULTURAL BLOCO CARNAVALESCO BANDA DO FUXICO</t>
  </si>
  <si>
    <t>FUXICO ONLINE</t>
  </si>
  <si>
    <t>09.361.318/0001-72</t>
  </si>
  <si>
    <t>FMID</t>
  </si>
  <si>
    <t>(11) 3129-9725</t>
  </si>
  <si>
    <t>ongbandadofuxico@hotmail.com</t>
  </si>
  <si>
    <t>https://www.ongbandadofuxico.org.br/</t>
  </si>
  <si>
    <t>CASA DE REPOUSO LAR IDA TEIXEIRA DA CRUZ</t>
  </si>
  <si>
    <t>Av. Agenor Couto de Magalhães, n° 1166</t>
  </si>
  <si>
    <t>05174-000</t>
  </si>
  <si>
    <t>(11) 3975-2563</t>
  </si>
  <si>
    <t>6074.2023/0011805-7</t>
  </si>
  <si>
    <t>677.2/23</t>
  </si>
  <si>
    <t>765.3/23</t>
  </si>
  <si>
    <t>34.609.183/0002-40</t>
  </si>
  <si>
    <t>Rua Jacarapinima, n° 49</t>
  </si>
  <si>
    <t>02415-010</t>
  </si>
  <si>
    <t>(11) 2640-0007</t>
  </si>
  <si>
    <t>SOLAR II</t>
  </si>
  <si>
    <t>GUIA PAULISTANO DA TERCEIRA IDADE</t>
  </si>
  <si>
    <t>Rua Manuel Alves da Rocha, n° 675</t>
  </si>
  <si>
    <t>08235-620</t>
  </si>
  <si>
    <t>6074.2024/0000015-5</t>
  </si>
  <si>
    <t>15.156.557/0001-93</t>
  </si>
  <si>
    <t>Rua Eulália Felisbela de Oliveira, n° 59</t>
  </si>
  <si>
    <t>(11) 2956-7495</t>
  </si>
  <si>
    <t>asbeascrsj@gmail.com</t>
  </si>
  <si>
    <t>6074.2023/0011855-3</t>
  </si>
  <si>
    <t>6074.2021/0001314-6</t>
  </si>
  <si>
    <t>001.2/12</t>
  </si>
  <si>
    <t>INCLUSÃO DIGITAL PARA PESSOAS IDOSAS</t>
  </si>
  <si>
    <t>thais.certain@asatrasnforma.org.br</t>
  </si>
  <si>
    <t>SMADS</t>
  </si>
  <si>
    <t>Rua Barão de Campinas, n° 99</t>
  </si>
  <si>
    <t>(11) 3224-9299</t>
  </si>
  <si>
    <t>01201-001</t>
  </si>
  <si>
    <t>Rua Dr. Aires Martins Torres, n° 135</t>
  </si>
  <si>
    <t>05352-060</t>
  </si>
  <si>
    <t>(11) 3718-0277</t>
  </si>
  <si>
    <t>casarenascer2016@gmail.com</t>
  </si>
  <si>
    <t>6074.2024/0000058-9</t>
  </si>
  <si>
    <t>6074.2024/0000019-8</t>
  </si>
  <si>
    <t>798/24</t>
  </si>
  <si>
    <t>BELA IDADE CASA DE REPOUSO ALVARENGA LTDA</t>
  </si>
  <si>
    <t>51.526.447/0001-30</t>
  </si>
  <si>
    <t>Rua Alvarenga, n° 96</t>
  </si>
  <si>
    <t>05509-000</t>
  </si>
  <si>
    <t>(11) 3813-6094</t>
  </si>
  <si>
    <t>6074.2024/0000323-5</t>
  </si>
  <si>
    <t>SAFE CARE RESIDENCIAL E HOTELARIA PARA IDOSOS</t>
  </si>
  <si>
    <t>https://www.sasbjp.org.br</t>
  </si>
  <si>
    <t>47.296.884/0002-18</t>
  </si>
  <si>
    <t>Rua Santa Rosa de Lima, 703</t>
  </si>
  <si>
    <t>08080-000</t>
  </si>
  <si>
    <t>(11) 25841992</t>
  </si>
  <si>
    <t>www.sepas.org.br</t>
  </si>
  <si>
    <t>www.uol.com.br</t>
  </si>
  <si>
    <t>www.bol.com.br</t>
  </si>
  <si>
    <t>www.casaderepousovidaplena.com.br</t>
  </si>
  <si>
    <t>www.tellus.org.br</t>
  </si>
  <si>
    <t>www.grupopacini.com.br</t>
  </si>
  <si>
    <t>www.outlook.com</t>
  </si>
  <si>
    <t>www.abrigobezerrademenezes.org.br</t>
  </si>
  <si>
    <t>www.gmail.com</t>
  </si>
  <si>
    <t>www.não possui</t>
  </si>
  <si>
    <t>www.cantinhodaterceiraidade.com.br</t>
  </si>
  <si>
    <t>www.laripiranga.com.br</t>
  </si>
  <si>
    <t>www.grupodacaridade.org</t>
  </si>
  <si>
    <t>www.hotmail.com</t>
  </si>
  <si>
    <t>www.espacoaberto.org.br</t>
  </si>
  <si>
    <t>www.Não consta</t>
  </si>
  <si>
    <t>www.globo.com</t>
  </si>
  <si>
    <t>www.casaderepousoamorevitta.com.br</t>
  </si>
  <si>
    <t>www.N/C</t>
  </si>
  <si>
    <t>www.yahoo.com.br</t>
  </si>
  <si>
    <t>www.yahoo.com</t>
  </si>
  <si>
    <t>www.paraisopolis.org</t>
  </si>
  <si>
    <t>www.institutopinheiro.org.br</t>
  </si>
  <si>
    <t>www.solardamooca.com.br</t>
  </si>
  <si>
    <t>www.hotmail.com.br</t>
  </si>
  <si>
    <t>www.grupoipcsaude.com.br</t>
  </si>
  <si>
    <t>www.einstein.br</t>
  </si>
  <si>
    <t>www.casaderepousosanraphael.com.br</t>
  </si>
  <si>
    <t>www.residencialipiranga.com.br</t>
  </si>
  <si>
    <t>www.solardosnobres.com.br</t>
  </si>
  <si>
    <t>www.socialbomjesus.org.br</t>
  </si>
  <si>
    <t>www.SEM EFEITO</t>
  </si>
  <si>
    <t>www.sem email</t>
  </si>
  <si>
    <t>www.casaderepousorddocelar.com.br</t>
  </si>
  <si>
    <t>www.larsantaana.com.br</t>
  </si>
  <si>
    <t>www.institutobemmaior.org.br</t>
  </si>
  <si>
    <t>www.apoiocr.com.br</t>
  </si>
  <si>
    <t>www.www.nossoinstitutoanima.com.br</t>
  </si>
  <si>
    <t>www.adj.org.br</t>
  </si>
  <si>
    <t>www.outlook.com.br</t>
  </si>
  <si>
    <t>www.casaderepousofilo.com.br</t>
  </si>
  <si>
    <t>www.tricotandocasa.com.br</t>
  </si>
  <si>
    <t>www.residencialtopsenior.com.br</t>
  </si>
  <si>
    <t>www.villaprimaverasenior.com.br</t>
  </si>
  <si>
    <t>www.invar.org.br</t>
  </si>
  <si>
    <t>www.Não indicado</t>
  </si>
  <si>
    <t>www.casaderepousopaineiras.com.br</t>
  </si>
  <si>
    <t>www.hotmail.com (indisponível)</t>
  </si>
  <si>
    <t>www.casaderepousooliveiras.com.br</t>
  </si>
  <si>
    <t>www.damasdacaridade.org.br</t>
  </si>
  <si>
    <t>www.casaderepousobelavida</t>
  </si>
  <si>
    <t>www.anniazzurri.com.br</t>
  </si>
  <si>
    <t>www.alltimesaude.com.br</t>
  </si>
  <si>
    <t>www.meuaconchego.com.br</t>
  </si>
  <si>
    <t>www.casaderepousototalcare.com.br</t>
  </si>
  <si>
    <t>www.casaderepousocoracaodejesus.com.br</t>
  </si>
  <si>
    <t>www.ecrecantodoslirios.com.br</t>
  </si>
  <si>
    <t>www.residencialmariafigueiredo.com.br</t>
  </si>
  <si>
    <t>www.unas.org.br</t>
  </si>
  <si>
    <t>www.casaderepousoreviver.com.br</t>
  </si>
  <si>
    <t>www.worldcontabil.com.br</t>
  </si>
  <si>
    <t>www.arvoredavidasenior.com.br</t>
  </si>
  <si>
    <t>www.gmail.com.com</t>
  </si>
  <si>
    <t>www.organife.com.br</t>
  </si>
  <si>
    <t>www.sfresidencialparaidosos.com.br</t>
  </si>
  <si>
    <t>www.espacovidailpi.com</t>
  </si>
  <si>
    <t>www.adv.oabsp.org.br</t>
  </si>
  <si>
    <t>www.palotinas.com.br</t>
  </si>
  <si>
    <t>www.residencialmaster.com.br</t>
  </si>
  <si>
    <t>www.iccsp.org.br</t>
  </si>
  <si>
    <t>6074.2024/0000297-2</t>
  </si>
  <si>
    <t>47.296.884/0006-41</t>
  </si>
  <si>
    <t>08040-250</t>
  </si>
  <si>
    <t>Rua Ana Gertrudes Vieira, 120A</t>
  </si>
  <si>
    <t>Cidada São Miguel</t>
  </si>
  <si>
    <t>(11) 3297-7600</t>
  </si>
  <si>
    <t>Rua Celso Barbosa Lima, nº 7- A</t>
  </si>
  <si>
    <t>08160-600</t>
  </si>
  <si>
    <t>Jd. Silva Teles</t>
  </si>
  <si>
    <t>(11) 2568-7960</t>
  </si>
  <si>
    <t>6074.2024/0000237-9</t>
  </si>
  <si>
    <t>Rua Gil Fernandes, nº 407</t>
  </si>
  <si>
    <t>04148-020</t>
  </si>
  <si>
    <t>Bosque da Saúde</t>
  </si>
  <si>
    <t>(11) 5077-3221</t>
  </si>
  <si>
    <t>6074.2024/0000266-2</t>
  </si>
  <si>
    <t>ANNI AZZURRI</t>
  </si>
  <si>
    <t>04858-570</t>
  </si>
  <si>
    <t>(11) 5938-1819/ (11) 5527-2159</t>
  </si>
  <si>
    <t>60.981.073/0001-33</t>
  </si>
  <si>
    <t>Rua Aglaê Reis, n° 337</t>
  </si>
  <si>
    <t>05870-010</t>
  </si>
  <si>
    <t>(11) 5831-7005</t>
  </si>
  <si>
    <t>ncitiaalzira@pontodeluz.ong.br</t>
  </si>
  <si>
    <t>6074.2024/0000776-1</t>
  </si>
  <si>
    <t>Rua Leôncio de Carvalho, n° 98</t>
  </si>
  <si>
    <t>04003-010</t>
  </si>
  <si>
    <t>Paraíso</t>
  </si>
  <si>
    <t>6074.2024/0000861-0</t>
  </si>
  <si>
    <t>HOTEL RESIDENCIAL BOA VIDA LIMITADA</t>
  </si>
  <si>
    <t>RESIDENCIAL BOA VIDA</t>
  </si>
  <si>
    <t>Rua Dias Leme, n° 38</t>
  </si>
  <si>
    <t>03118-040</t>
  </si>
  <si>
    <t>(11) 3895-6946</t>
  </si>
  <si>
    <t>www.hotelresidencialboavida.com.br</t>
  </si>
  <si>
    <t>6074.2024/0000843-1</t>
  </si>
  <si>
    <t>(11) 91405-1572</t>
  </si>
  <si>
    <t>admviverbem01@gmail.com</t>
  </si>
  <si>
    <t>6074.2024/0000773-7</t>
  </si>
  <si>
    <t>799/24</t>
  </si>
  <si>
    <t>CASA DE REPOUSO ARCO ÍRIS LTDA</t>
  </si>
  <si>
    <t>49.306.455/0001-29</t>
  </si>
  <si>
    <t>(11) 98367-4918</t>
  </si>
  <si>
    <t>casaderepouso.arcoiris2023@gmail.com</t>
  </si>
  <si>
    <t>www.casaderepousoarcoiris.com.br</t>
  </si>
  <si>
    <t>6074.2024/0000186-0</t>
  </si>
  <si>
    <t>CIMI SEU LAR EIRELI</t>
  </si>
  <si>
    <t>CASA DE REPOUSO SEU LAR</t>
  </si>
  <si>
    <t>30.519.604/0001-00</t>
  </si>
  <si>
    <t>Rua Nagib Izar, n° 314</t>
  </si>
  <si>
    <t>(11) 98080-0606</t>
  </si>
  <si>
    <t>casaderepousoseular@gmail.com</t>
  </si>
  <si>
    <t>6074.2024/0000449-5</t>
  </si>
  <si>
    <t>NIX DIVERSIDADE E ECONOMIA SOCIAL</t>
  </si>
  <si>
    <t>04.332.178/0001-90</t>
  </si>
  <si>
    <t>6074.2024/0000448-7</t>
  </si>
  <si>
    <t>CULTURA ITINERANTE</t>
  </si>
  <si>
    <t>RECANTO DA DAMI LTDA</t>
  </si>
  <si>
    <t>RECANTO DA DAMI</t>
  </si>
  <si>
    <t>42.358.790/0001-21</t>
  </si>
  <si>
    <t>Rua Padre Abreu e  Lima, n° 306</t>
  </si>
  <si>
    <t>04358-130</t>
  </si>
  <si>
    <t>Pq. Jabaquara</t>
  </si>
  <si>
    <t>(11) 5077-4895</t>
  </si>
  <si>
    <t>6074.2024/0000846-6</t>
  </si>
  <si>
    <t>39.888.550/0001-24</t>
  </si>
  <si>
    <t>RESIDENCIAL DÉBORA CASA DE REPOUSO LTDA</t>
  </si>
  <si>
    <t>CASA DÉBORA</t>
  </si>
  <si>
    <t>(11) 5036-0310</t>
  </si>
  <si>
    <t>debora.casaderepouso@gmail.com</t>
  </si>
  <si>
    <t>www.casadebora.com.br</t>
  </si>
  <si>
    <t>6074.2024/0000700-1</t>
  </si>
  <si>
    <t>RESIDENCIAL VOVÓ LOURDES UNIDADE II LTDA</t>
  </si>
  <si>
    <t>RESIDENCIAL VOVÓ LOURDES II</t>
  </si>
  <si>
    <t>37.798.130/0001-21</t>
  </si>
  <si>
    <t>Rua Martins Bonilha, n ° 33</t>
  </si>
  <si>
    <t>03183-100</t>
  </si>
  <si>
    <t>(11) 3405-3075</t>
  </si>
  <si>
    <t>residencialvovolourdesmooca@outlook.com</t>
  </si>
  <si>
    <t>6074.2024/0000463-0</t>
  </si>
  <si>
    <t>SAFE CARE RESIDENCIAL E HOTELARIA PARA IDOSOS LTDA</t>
  </si>
  <si>
    <t>02466-000</t>
  </si>
  <si>
    <t>SPAZIO RESIDENCIAL LTDA</t>
  </si>
  <si>
    <t>42.970.773/0001-40</t>
  </si>
  <si>
    <t>04550-081</t>
  </si>
  <si>
    <t>Vila Olímpia</t>
  </si>
  <si>
    <t>SPAZIO RESIDENCIAL SENIOR</t>
  </si>
  <si>
    <t>(11) 98141-4130</t>
  </si>
  <si>
    <t>diretoria@spazioresidencialsenior.com.br</t>
  </si>
  <si>
    <t>www.spazioresidencialsenior.com.br</t>
  </si>
  <si>
    <t>6074.2024/0000296-4</t>
  </si>
  <si>
    <t>INSTITUTO MÃOS E GRATIDÃO</t>
  </si>
  <si>
    <t>PROJETO ZUMBA</t>
  </si>
  <si>
    <t>21.463.068/0001-87</t>
  </si>
  <si>
    <t>6074.2024/0000948-9</t>
  </si>
  <si>
    <t>SERENITY CLÍNICA DE REPOUSO LTDA</t>
  </si>
  <si>
    <t>49.888.015/0001-27</t>
  </si>
  <si>
    <t>02373-000</t>
  </si>
  <si>
    <t>Vila Albertina</t>
  </si>
  <si>
    <t>(11) 2953-5550</t>
  </si>
  <si>
    <t>6074.2024/0001332-0</t>
  </si>
  <si>
    <t>VILA SOCIAL</t>
  </si>
  <si>
    <t>NÚCLEO DE IDOSOS CRISTINA ABREU</t>
  </si>
  <si>
    <t>11.111.253/0001-59</t>
  </si>
  <si>
    <t>Rua Jacofer, n° 615-A</t>
  </si>
  <si>
    <t>02712-070</t>
  </si>
  <si>
    <t>Jd. Pereira Leite</t>
  </si>
  <si>
    <t>(11) 3488-9411</t>
  </si>
  <si>
    <t>social@ctn.org.br</t>
  </si>
  <si>
    <t>www.ctn.org.br</t>
  </si>
  <si>
    <t>6074.2024/0001054-1</t>
  </si>
  <si>
    <t>CASA DE REPOUSO MAMMA MIA RESIDENCIAL E SEMI-INTERNATO PARA IDOSOS - LTDA</t>
  </si>
  <si>
    <t>Rua Arizona, n° 594</t>
  </si>
  <si>
    <t>04567-002</t>
  </si>
  <si>
    <t>(11) 2275-9391</t>
  </si>
  <si>
    <t>mlspaiva@terra.com.br</t>
  </si>
  <si>
    <t>www.casaderepousomammamia.com.br</t>
  </si>
  <si>
    <t>6074.2024/0001511-0</t>
  </si>
  <si>
    <t>RESIDENCIAL BELA VIDA</t>
  </si>
  <si>
    <t>(11) 5541-0200</t>
  </si>
  <si>
    <t>6074.2024/0001500-4</t>
  </si>
  <si>
    <t xml:space="preserve">CASA DE REPOUSO RENOVAR LTDA </t>
  </si>
  <si>
    <t>Rua Mercedes Lopes, 82</t>
  </si>
  <si>
    <t>03614-000</t>
  </si>
  <si>
    <t>(11) 2954-2728</t>
  </si>
  <si>
    <t>www.crrvitorial.com.br</t>
  </si>
  <si>
    <t>6074.2024/0001408-3</t>
  </si>
  <si>
    <t>Rua Sete Barras, 215</t>
  </si>
  <si>
    <t>02927-080</t>
  </si>
  <si>
    <t xml:space="preserve"> (11) 3931-2576</t>
  </si>
  <si>
    <t>6074.2024/0001520-9</t>
  </si>
  <si>
    <t>Rua Conselheiro Moreira de Barro, n° 1887</t>
  </si>
  <si>
    <t>02430-000</t>
  </si>
  <si>
    <t>6074.2024/0001413-0</t>
  </si>
  <si>
    <t>(11) 4175-1798</t>
  </si>
  <si>
    <t>6074.2024/0001418-0</t>
  </si>
  <si>
    <t>LILIAN COSTA CARVALHO CASA DE REPOUSO</t>
  </si>
  <si>
    <t>MIGLIORES ERA CASA DI RIPOSO</t>
  </si>
  <si>
    <t>21.859.963/0001-15</t>
  </si>
  <si>
    <t>Rua Piracununga, n° 1212</t>
  </si>
  <si>
    <t>03187-010</t>
  </si>
  <si>
    <t>(11) 3567-9722</t>
  </si>
  <si>
    <t>migliore.eta@gmail.com</t>
  </si>
  <si>
    <t>www.migliore-eta.com.br</t>
  </si>
  <si>
    <t>6074.2024/0001335-4</t>
  </si>
  <si>
    <t>800/24</t>
  </si>
  <si>
    <t>801/24</t>
  </si>
  <si>
    <t>SOLAR DA MATRIZ REPOUSO PARA IDOSOS S/S LTDA</t>
  </si>
  <si>
    <t>802/24</t>
  </si>
  <si>
    <t>803/24</t>
  </si>
  <si>
    <t>804/24</t>
  </si>
  <si>
    <t>805/24</t>
  </si>
  <si>
    <t>806/24</t>
  </si>
  <si>
    <t>807/24</t>
  </si>
  <si>
    <t>808/24</t>
  </si>
  <si>
    <t>809/24</t>
  </si>
  <si>
    <t>TIA ALZIRA</t>
  </si>
  <si>
    <t>Rua Rio São Lourenço, N° 66</t>
  </si>
  <si>
    <t>Rua Cabo Verde, n° 325</t>
  </si>
  <si>
    <t>T CUIDO RESIDENCIAL JM LIMITADA</t>
  </si>
  <si>
    <t>RESIDENCIAL PARA IDOSOS JOSÉ E MARIA</t>
  </si>
  <si>
    <t>Praça Marcelino Machado, n° 152</t>
  </si>
  <si>
    <t>02134-030</t>
  </si>
  <si>
    <t>(11) 2539-641</t>
  </si>
  <si>
    <t>residencialjoseemaria@gmail.com</t>
  </si>
  <si>
    <t>www.residencialjoseemaria.com.br</t>
  </si>
  <si>
    <t>6074.2024/0001749-0</t>
  </si>
  <si>
    <t>6074.2024/0001553-5</t>
  </si>
  <si>
    <t>810/24</t>
  </si>
  <si>
    <t>ACONCHEGO SENIOR CASA DE REPOUSO LTDA</t>
  </si>
  <si>
    <t>RESIDENCIAL ACONHEGO SENIOR</t>
  </si>
  <si>
    <t>49.659.518/0001-20</t>
  </si>
  <si>
    <t>Rua José Tavares Siqueira, n° 592</t>
  </si>
  <si>
    <t>03085-030</t>
  </si>
  <si>
    <t>Pq. São Jorge</t>
  </si>
  <si>
    <t>(11) 3476-7766</t>
  </si>
  <si>
    <t>contato@residencialaconchegosenior.com.br</t>
  </si>
  <si>
    <t>6074.2024/0001763-5</t>
  </si>
  <si>
    <t>811/24</t>
  </si>
  <si>
    <t>CASA DE REPOUSO E CRECHE SOPHYE LTDA</t>
  </si>
  <si>
    <t>30.653.720/0001-17</t>
  </si>
  <si>
    <t>Rua Caetano de Moura, n° 55</t>
  </si>
  <si>
    <t>02833-060</t>
  </si>
  <si>
    <t>Vila Nina</t>
  </si>
  <si>
    <t>(11) 4323-4452</t>
  </si>
  <si>
    <t>edileuzasophye@gmail.com</t>
  </si>
  <si>
    <t>6074.2024/0001747-3</t>
  </si>
  <si>
    <t>812/24</t>
  </si>
  <si>
    <t>00.277.850/0011-03</t>
  </si>
  <si>
    <t>00.277.850/0001-31</t>
  </si>
  <si>
    <t>Av. Coronel Sezefredo Fagundes, n° 6666</t>
  </si>
  <si>
    <t>02366-000</t>
  </si>
  <si>
    <t>Jd. Francisco Mendes</t>
  </si>
  <si>
    <t>(11) 97063-3449</t>
  </si>
  <si>
    <t>gerencia.sezefredo@fundacaoreviver.com.br</t>
  </si>
  <si>
    <t>6074.2024/0001745-7</t>
  </si>
  <si>
    <t>RETAGUARDA CASA DE REPOUSO LTDA</t>
  </si>
  <si>
    <t>48.967.169/0001-41</t>
  </si>
  <si>
    <t>Rua Santo Estácio, n° 460</t>
  </si>
  <si>
    <t>04319-010</t>
  </si>
  <si>
    <t>(11) 5021-6011</t>
  </si>
  <si>
    <t>retaguardacasaderepouso2023@gmail.com</t>
  </si>
  <si>
    <t>6074.2024/0001710-4</t>
  </si>
  <si>
    <t>813.1/24</t>
  </si>
  <si>
    <t>813.2/24</t>
  </si>
  <si>
    <t>ANA RODRIGUES DE MELO</t>
  </si>
  <si>
    <t>CASA DE REPOUSO VIDEIRA</t>
  </si>
  <si>
    <t>32.752.681/0001-30</t>
  </si>
  <si>
    <t>Rua José Benedito da Rosa, n° 27</t>
  </si>
  <si>
    <t>03563-020</t>
  </si>
  <si>
    <t>Vila Nhocuné</t>
  </si>
  <si>
    <t>32.752.681/0002-11</t>
  </si>
  <si>
    <t>Rua Mirador, n° 29</t>
  </si>
  <si>
    <t>03556-070</t>
  </si>
  <si>
    <t>(11) 2389-7574</t>
  </si>
  <si>
    <t>casaderepousovideira@gmail.com</t>
  </si>
  <si>
    <t>6074.2024/0002155-1</t>
  </si>
  <si>
    <t>(11) 2748-4155</t>
  </si>
  <si>
    <t>814/24</t>
  </si>
  <si>
    <t>CASA DE REPOUSO GOLDEN LTDA</t>
  </si>
  <si>
    <t>48.530.108/0001-12</t>
  </si>
  <si>
    <t>Rua Joaquim Nabuco, n° 705 - Letra A</t>
  </si>
  <si>
    <t>04621-003</t>
  </si>
  <si>
    <t>(11) 2368-2005</t>
  </si>
  <si>
    <t>casaderepousogolden@gmail.com</t>
  </si>
  <si>
    <t>6074.2024/0002159-4</t>
  </si>
  <si>
    <t>815/24</t>
  </si>
  <si>
    <t>INSTITUTO ROSA DOS VENTOS</t>
  </si>
  <si>
    <t>INSTITUTO ROSA DOS VENTOS/60+</t>
  </si>
  <si>
    <t>03.940.443/0001-50</t>
  </si>
  <si>
    <t>contato@institutorosadosventos.com.br</t>
  </si>
  <si>
    <t>www.institutorosadosventos.com.br</t>
  </si>
  <si>
    <t>6074.2024/0002271-0</t>
  </si>
  <si>
    <t>(11) 2691-4987</t>
  </si>
  <si>
    <t>816/24</t>
  </si>
  <si>
    <t>656.6/22</t>
  </si>
  <si>
    <t>O ESTATUTO DA PESSOA IDOSA: REVELANDO DIREITOS, CONSTRUINDO SABERES</t>
  </si>
  <si>
    <t>6074.2024/0001922-0</t>
  </si>
  <si>
    <t>CASA DE REPOUSO JARDIM FRANÇA LTDA</t>
  </si>
  <si>
    <t>Rua Doutor Alcides Prestes, n° 155</t>
  </si>
  <si>
    <t>02336-010</t>
  </si>
  <si>
    <t>6074.2024/0002338-4</t>
  </si>
  <si>
    <t>Rua Capricho, n° 962</t>
  </si>
  <si>
    <t>02254-000</t>
  </si>
  <si>
    <t>(11) 2985-1095</t>
  </si>
  <si>
    <t>6074.2024/0002283-3</t>
  </si>
  <si>
    <t>RESIDENCIAL PARA IDOSOS SPEIAR LTDA</t>
  </si>
  <si>
    <t>RESIDENCIAL PARA IDOSOS SPEIAR</t>
  </si>
  <si>
    <t>Rua Henrique Rodrigues Peres, N° 105</t>
  </si>
  <si>
    <t>03582-020</t>
  </si>
  <si>
    <t>6074.2024/0002278-7</t>
  </si>
  <si>
    <t>RESIDENCIAL VOVÓ MARGARIDA</t>
  </si>
  <si>
    <t>Rua Macambira, N° 117</t>
  </si>
  <si>
    <t>02342-070</t>
  </si>
  <si>
    <t>6074.2024/0002072-5</t>
  </si>
  <si>
    <t>HOSPEDARIA VOVÓ LOURDES</t>
  </si>
  <si>
    <t>(11) 95157-8998</t>
  </si>
  <si>
    <t>6074.2024/0002181-0</t>
  </si>
  <si>
    <t>Rua Jacarapinima,n° 152</t>
  </si>
  <si>
    <t>817/24</t>
  </si>
  <si>
    <t>ASSOCIAÇÃO KAPOK CORPORATE INNOVATION</t>
  </si>
  <si>
    <t>34.732.442/0001-44</t>
  </si>
  <si>
    <t>(11) 4113-5698</t>
  </si>
  <si>
    <t>www.intitutokapok.org.br</t>
  </si>
  <si>
    <t>6074.2024/0002343-0</t>
  </si>
  <si>
    <t>KAPOK ACADEMY: MENTORIA SÊNIOR</t>
  </si>
  <si>
    <t>818/24</t>
  </si>
  <si>
    <t>ANDREA COSTA FELIPPE - CASA DE REPOUSO ILPI LTDA</t>
  </si>
  <si>
    <t>MORUMBI RESIDENCE CARE</t>
  </si>
  <si>
    <t>10.544.347/0001-59</t>
  </si>
  <si>
    <t>Rua Joaquim Nabuco, n° 760</t>
  </si>
  <si>
    <t xml:space="preserve">Brooklin </t>
  </si>
  <si>
    <t>(11) 2306-6754</t>
  </si>
  <si>
    <t>guilherme.contatosp@gmail.com</t>
  </si>
  <si>
    <t>6074.2024/0002513-1</t>
  </si>
  <si>
    <t>6074.2024/0002514-0</t>
  </si>
  <si>
    <t>Rua Vilarinho, n° 95</t>
  </si>
  <si>
    <t xml:space="preserve"> (11) 2203-2761 </t>
  </si>
  <si>
    <t>Avenida Itaquera, n° 7374</t>
  </si>
  <si>
    <t>(11) 2585-8381</t>
  </si>
  <si>
    <t>6074.2024/0002520-4</t>
  </si>
  <si>
    <t>08295-420</t>
  </si>
  <si>
    <t>819/24</t>
  </si>
  <si>
    <t>CASA DE REPOUSO GIRASSÓIS DE LONGA PERMANÊNCIA PARA IDOSOS - ILPI LTDA</t>
  </si>
  <si>
    <t>CASA DE REPOUSO GIRASSÓIS</t>
  </si>
  <si>
    <t>43.102.877/0001-04</t>
  </si>
  <si>
    <t>Rua Marli Ferraz de Arruda, n° 225 -Sl01</t>
  </si>
  <si>
    <t>04891-040</t>
  </si>
  <si>
    <t>Vila Roschel</t>
  </si>
  <si>
    <t>(11) 94078-6111</t>
  </si>
  <si>
    <t>maria_angelicangel@hotmail.com</t>
  </si>
  <si>
    <t>6074.2024/0002521-2</t>
  </si>
  <si>
    <t>163.5/17</t>
  </si>
  <si>
    <t>820/24</t>
  </si>
  <si>
    <t>INSTITUTO RASCOVSKI</t>
  </si>
  <si>
    <t>48.532.335/0001-87</t>
  </si>
  <si>
    <t>(11) 5545-1818</t>
  </si>
  <si>
    <t>contato@institutorascovski.com.be</t>
  </si>
  <si>
    <t>www.cerebroemacao.com.br</t>
  </si>
  <si>
    <t>6074.2024/0002447-0</t>
  </si>
  <si>
    <t>CÉREBRO EM AÇÃO</t>
  </si>
  <si>
    <t>FUNDAÇÃO REVIVER - REFÚGIO, VIDA VERDADEIRA</t>
  </si>
  <si>
    <t>PRÓ-VIDA CASA DE REPOUSO LTDA</t>
  </si>
  <si>
    <t>Rua Ribeirão Vermelho, n° 462</t>
  </si>
  <si>
    <t>05170-000</t>
  </si>
  <si>
    <t>Vila Boaçava</t>
  </si>
  <si>
    <t>(11) 3901-0306</t>
  </si>
  <si>
    <t>Rua Tibiri, n° 215</t>
  </si>
  <si>
    <t>02043-070</t>
  </si>
  <si>
    <t xml:space="preserve">ÁRVORE DA VIDA SÊNIOR RESIDENCIAL </t>
  </si>
  <si>
    <t>(11) 2994-0853</t>
  </si>
  <si>
    <t>CASA DE REPOUSO ÁRVORE DA VIDA SÊNIOR RESIDENTIAL LTDA</t>
  </si>
  <si>
    <t>821/24</t>
  </si>
  <si>
    <t>ASSOCIAÇÃO CULTURAL TOCA DA ONÇA</t>
  </si>
  <si>
    <t>REPROGRAME-SE, VIDA É MOVIMENTO E MOVIMENTO É VIDA</t>
  </si>
  <si>
    <t>28.388.972/0001-14</t>
  </si>
  <si>
    <t>(11) 95480-8478</t>
  </si>
  <si>
    <t>associacaotocadaonca@gmail.com</t>
  </si>
  <si>
    <t>www.associacaotocadaonca.com.br</t>
  </si>
  <si>
    <t>822/24</t>
  </si>
  <si>
    <t>NEGRITUDE FUTEBOL CLUBE</t>
  </si>
  <si>
    <t>52.641.149/0001-53</t>
  </si>
  <si>
    <t>(11) 2043-5198</t>
  </si>
  <si>
    <t>joser.andrade8@gmail.com</t>
  </si>
  <si>
    <t>CASA DE REPOUSO ANA NERY LTDA</t>
  </si>
  <si>
    <t>CASA DE REPOUSO ANA NERY</t>
  </si>
  <si>
    <t>Rua Dr. Alberto Bentro, n° 742</t>
  </si>
  <si>
    <t>(11) 5686-2215</t>
  </si>
  <si>
    <t>www.casaderepousoananery;com.br</t>
  </si>
  <si>
    <t>ESPORTE PARA TODOS</t>
  </si>
  <si>
    <t>823/24</t>
  </si>
  <si>
    <t>ONCO RIR</t>
  </si>
  <si>
    <t>09.665.394/0001-71</t>
  </si>
  <si>
    <t>(11) 3085-1255</t>
  </si>
  <si>
    <t>contato@sorrirparavida.org.br</t>
  </si>
  <si>
    <t>www.sorrirparavida.org.br</t>
  </si>
  <si>
    <t>EMENDA</t>
  </si>
  <si>
    <t>ricardo.lima@institutokapok.org</t>
  </si>
  <si>
    <t>22.905.318/0002-35</t>
  </si>
  <si>
    <t>Rua Cirene Jorge Ribeiro, n° 365</t>
  </si>
  <si>
    <t>03616-040</t>
  </si>
  <si>
    <t>Vila Salete</t>
  </si>
  <si>
    <t>ALVORADA NOVA CASA DE REPOUSO LTDA</t>
  </si>
  <si>
    <t>179.2/17</t>
  </si>
  <si>
    <t>452.3/21</t>
  </si>
  <si>
    <t>824/24</t>
  </si>
  <si>
    <t>825/24</t>
  </si>
  <si>
    <t>826/24</t>
  </si>
  <si>
    <t xml:space="preserve">Rua Nova Jerusalém, n° 504 </t>
  </si>
  <si>
    <t>03410-000</t>
  </si>
  <si>
    <t>(11) 3895-0746</t>
  </si>
  <si>
    <t>6074.2024/0003245-6</t>
  </si>
  <si>
    <t>137.2/17</t>
  </si>
  <si>
    <t>PLATAFORMA TECNOLÓGICA E ASSISTENCIAL PARA APRIMORAMENTO, APLICAÇÃO, MULTIPLICAÇÃO DE METODOLOGIA PARA DIAGNÓSTICO E PREVENÇÃO DO QUADRO DE DEPRESSÃO E ESTIMULAÇÃO MOTORA E COGNITIVA EM PESSOAS IDOSAS INSTITUCIONALIZADAS</t>
  </si>
  <si>
    <t>projetos@ondinalobo.org.br</t>
  </si>
  <si>
    <t>6074.2024/0002764-9</t>
  </si>
  <si>
    <t>57.184.723/0019-34</t>
  </si>
  <si>
    <t>CENTRO DIA PARA IDOSO SANTA CLARA</t>
  </si>
  <si>
    <t>Av. Fernando Amaro de Miranda, n° 61 - casa 1, 2 e 3</t>
  </si>
  <si>
    <t>04821-100</t>
  </si>
  <si>
    <t>Jardim Colonial</t>
  </si>
  <si>
    <t>(11) 5661-5634</t>
  </si>
  <si>
    <t>www.ccja.ccja.org.br</t>
  </si>
  <si>
    <t>6074.2024/0002930-7</t>
  </si>
  <si>
    <t>19.566.875/0002.64</t>
  </si>
  <si>
    <t>RESIDENCIAL BEM VIVER VILA FORMOSA</t>
  </si>
  <si>
    <t>Praça Marquês de Nazaré, n° 100</t>
  </si>
  <si>
    <t>03359-070</t>
  </si>
  <si>
    <t>(11) 2668-0259</t>
  </si>
  <si>
    <t>6074.2024/0002927-7</t>
  </si>
  <si>
    <t>YOUSSEF MOHAMED ORRA JUNIOR</t>
  </si>
  <si>
    <t>CASA DE REPOUSO PARQUE DA MOOCA</t>
  </si>
  <si>
    <t>Rua Emboaçava,n°  613</t>
  </si>
  <si>
    <t xml:space="preserve"> 03124-010</t>
  </si>
  <si>
    <t>6074.2024/0002854-8</t>
  </si>
  <si>
    <t>CORPO E MENTE EM MOVIMENTO - IVA 2024</t>
  </si>
  <si>
    <t>(11) 3071-4040</t>
  </si>
  <si>
    <t>RESIDENCIAL VOVÓ CATARINA</t>
  </si>
  <si>
    <t>Rua Ernesto Manograsso, n° 254</t>
  </si>
  <si>
    <t>03963-100</t>
  </si>
  <si>
    <t>6074.2024/0002934-0</t>
  </si>
  <si>
    <t>Rua Artia, n° 361</t>
  </si>
  <si>
    <t>6074.2024/0002768-1</t>
  </si>
  <si>
    <t>CASA DE REPOUSO BRILHO DA LUA LTDA</t>
  </si>
  <si>
    <t>BRILHO DA LUA</t>
  </si>
  <si>
    <t>31.047.652/0001-05</t>
  </si>
  <si>
    <t>Rua Pedro Colaço, nº 121</t>
  </si>
  <si>
    <t>02912-010</t>
  </si>
  <si>
    <t>(11) 3998-6737</t>
  </si>
  <si>
    <t>enfermagem@casaderepousobrilhodalua.com.br</t>
  </si>
  <si>
    <t>www.casaderepousobrilhodalua.com.br</t>
  </si>
  <si>
    <t>6074.2024/0002737-1</t>
  </si>
  <si>
    <t>6074.2024/0002617-0</t>
  </si>
  <si>
    <t>6074.2024/0002593-0</t>
  </si>
  <si>
    <t>6074.2024/0002595-6</t>
  </si>
  <si>
    <t>CASA DE REPOUSO FLOR DO IPÊ LTDA</t>
  </si>
  <si>
    <t>07.116.331/0001-30</t>
  </si>
  <si>
    <t>Rua Zacarias Góis, n° 1933</t>
  </si>
  <si>
    <t>(11) 99502-3283</t>
  </si>
  <si>
    <t>jaferlourenco@gmail.com</t>
  </si>
  <si>
    <t>6074.2024/0003147-6</t>
  </si>
  <si>
    <t>NOAH RESIDENCIAL PARA IDOSOS LTDA</t>
  </si>
  <si>
    <t>30.676.122/0001-63</t>
  </si>
  <si>
    <t>Rua Aristeu Dias Leme, n° 70</t>
  </si>
  <si>
    <t>04691-050</t>
  </si>
  <si>
    <t>(11) 2528-7531</t>
  </si>
  <si>
    <t>residencialnoah@hotmail.com</t>
  </si>
  <si>
    <t>6074.2024/0002718-5</t>
  </si>
  <si>
    <t>Rua Regina Brada, n° 471</t>
  </si>
  <si>
    <t>04641-000</t>
  </si>
  <si>
    <t>Jardim dos Estados</t>
  </si>
  <si>
    <t>6074.2024/0003403-3</t>
  </si>
  <si>
    <t>137.1 /17</t>
  </si>
  <si>
    <t>827.2/24</t>
  </si>
  <si>
    <t>VILA BRASILIS - CASA DE REPOUSO PARA IDOSOS LTDA</t>
  </si>
  <si>
    <t>VILA BRASILIS HOSPEDAGEM PARA IDOSOS (FILIAL)</t>
  </si>
  <si>
    <t>21.339.491/0002-50</t>
  </si>
  <si>
    <t>21.339.491/0001-70</t>
  </si>
  <si>
    <t>Rua Engenheiro Teixeira Soares, n° 700</t>
  </si>
  <si>
    <t>05505-030</t>
  </si>
  <si>
    <t>(11) 3032-3357</t>
  </si>
  <si>
    <t>nelio@vilabrasilis.com.br</t>
  </si>
  <si>
    <t>www.vilabrasilis.com.br</t>
  </si>
  <si>
    <t>6074.2024/0003406-8</t>
  </si>
  <si>
    <t>ILPI CASA VERDE</t>
  </si>
  <si>
    <t>04.676.010/0012-55</t>
  </si>
  <si>
    <t>Rua Antonio Vera Cruz, n° 199</t>
  </si>
  <si>
    <t>02555-010</t>
  </si>
  <si>
    <t>(11) 3384-8383</t>
  </si>
  <si>
    <t xml:space="preserve">ilpicasaverdealps@gmail.com </t>
  </si>
  <si>
    <t>6074.2024/0003411-4</t>
  </si>
  <si>
    <t>828/24</t>
  </si>
  <si>
    <t>52.409.358/0001-76</t>
  </si>
  <si>
    <t>Rua Iguaçaba, n° 267</t>
  </si>
  <si>
    <t>03379-080</t>
  </si>
  <si>
    <t>Chácara Belenzinho</t>
  </si>
  <si>
    <t>ESPAÇO VIDA</t>
  </si>
  <si>
    <t>(11) 4306-5934</t>
  </si>
  <si>
    <t>contato.vilaformosa@espacovidailpi.com</t>
  </si>
  <si>
    <t>6074.2024/0003353-3</t>
  </si>
  <si>
    <t>RESIDENCIAL ESPAÇO VIDA CDI &amp; ILPI LTDA</t>
  </si>
  <si>
    <t>ASSOCIAÇÃO ESFUCO</t>
  </si>
  <si>
    <t> IDOSOS EM AÇÃO</t>
  </si>
  <si>
    <t>CEI</t>
  </si>
  <si>
    <t>04.191877/0001-68</t>
  </si>
  <si>
    <t>829/24</t>
  </si>
  <si>
    <t>(11) 95477-0005</t>
  </si>
  <si>
    <t>esfuco.escola@hotmail.com</t>
  </si>
  <si>
    <t>6074.2024/0003462-9</t>
  </si>
  <si>
    <t>Para encerramento</t>
  </si>
  <si>
    <t>L. DE PAULA PENSIONATO LTDA</t>
  </si>
  <si>
    <t>PENSIONATO RESIDENCIAL PIRES DE PAULA</t>
  </si>
  <si>
    <t>CASA DE REPOUSO REAL VILLE LTDA</t>
  </si>
  <si>
    <t>CASA DE REPOUSO REAL VILLE</t>
  </si>
  <si>
    <t>830/24</t>
  </si>
  <si>
    <t>6074.2024/0003522-6</t>
  </si>
  <si>
    <t>35.146.921/0001-41</t>
  </si>
  <si>
    <t>Rua Ipuaçu, nº 30</t>
  </si>
  <si>
    <t>05890-090</t>
  </si>
  <si>
    <t>Jd. Amalia</t>
  </si>
  <si>
    <t>(11) 5825-0778</t>
  </si>
  <si>
    <t>realville30@gmail.com</t>
  </si>
  <si>
    <t>831/24</t>
  </si>
  <si>
    <t>CASA DE REPOUSO GUAPIRA LTDA</t>
  </si>
  <si>
    <t>CASA DE REPOUSO RECANTO PAULISTA UNIDADE II</t>
  </si>
  <si>
    <t>52.045.474/001-43</t>
  </si>
  <si>
    <t>Avenida Guapira, nº2203</t>
  </si>
  <si>
    <t>02265-002</t>
  </si>
  <si>
    <t>(11) 94800-7404</t>
  </si>
  <si>
    <t>lagalizacao@grupopacini.com.br</t>
  </si>
  <si>
    <t>www.casarecantopaulista.com.br</t>
  </si>
  <si>
    <t>6074.2024/0003947-7</t>
  </si>
  <si>
    <t>RESIDENCIAL CORALINA</t>
  </si>
  <si>
    <t>832/24</t>
  </si>
  <si>
    <t>25.056.598/0001-61</t>
  </si>
  <si>
    <t>Rua Visconde de Indaiatuba, nº160</t>
  </si>
  <si>
    <t>(11) 2495-2733 | (11) 2495-2732</t>
  </si>
  <si>
    <t>www.hospedagemcoralina.com.br</t>
  </si>
  <si>
    <t>6074.2024/0004009-2</t>
  </si>
  <si>
    <t>04677-042</t>
  </si>
  <si>
    <t>Jd. Ernestina</t>
  </si>
  <si>
    <t>6074.2024/0004005-0</t>
  </si>
  <si>
    <t>2497-1126 / (11) 61280549</t>
  </si>
  <si>
    <t>6074.2024/0003642-7</t>
  </si>
  <si>
    <t>Rua Paineira, nº 161</t>
  </si>
  <si>
    <t>Vargem Grande</t>
  </si>
  <si>
    <t>(11) 5926-1222</t>
  </si>
  <si>
    <t>casaderepouso.vp2@gmail.com</t>
  </si>
  <si>
    <t>6074.2024/0003662-1</t>
  </si>
  <si>
    <t>512.1/21</t>
  </si>
  <si>
    <t>512.2/21</t>
  </si>
  <si>
    <t>512.3/21</t>
  </si>
  <si>
    <t>Rua Álvaro Adorno, 1 6</t>
  </si>
  <si>
    <t>(11 ) 2961-8090</t>
  </si>
  <si>
    <t>contato@oscesperanca.org.br</t>
  </si>
  <si>
    <t>www.oscesperanca.org.br</t>
  </si>
  <si>
    <t>Rua Canápolis, 594</t>
  </si>
  <si>
    <t>02220-070</t>
  </si>
  <si>
    <t>Vila Medeiros</t>
  </si>
  <si>
    <t>(11) 2551-9992</t>
  </si>
  <si>
    <t>(11) 2961-5512</t>
  </si>
  <si>
    <t>08440-300</t>
  </si>
  <si>
    <t>Estrada Nossa Senhora da Fonte, nº52</t>
  </si>
  <si>
    <t>Rua General Americano Freire, nº 173</t>
  </si>
  <si>
    <t>08410-440</t>
  </si>
  <si>
    <t>(11) 2961-4116</t>
  </si>
  <si>
    <t>CASA DE REPOUSO VÓ ELIZABETH</t>
  </si>
  <si>
    <t>833/24</t>
  </si>
  <si>
    <t>834/24</t>
  </si>
  <si>
    <t>835/24</t>
  </si>
  <si>
    <t>ASSOCIAÇÃO AMIGOS DO BEM BRAÇOS FORTES</t>
  </si>
  <si>
    <t>50.941.412/0001-02</t>
  </si>
  <si>
    <t>(11) 98080-0639</t>
  </si>
  <si>
    <t>org.bracosfortes@gmail.com</t>
  </si>
  <si>
    <t>6074.2024/0004181-1</t>
  </si>
  <si>
    <t>TRANFORMANDO VIDAS PELA SAÚDE FÍSICA E MENTAL</t>
  </si>
  <si>
    <t>00.309.964/0001-16</t>
  </si>
  <si>
    <t>(11) 2297-0631</t>
  </si>
  <si>
    <t>associacaoquimicos@gmail.com</t>
  </si>
  <si>
    <t>6074.2024/0004264-8</t>
  </si>
  <si>
    <t>ASSOCIAÇÃO DOS TRABALHADORES APOSENTADOS, PENSIONISTAS, ANISTIADOS, ANISTIANDOS QUÍMICOS, FARMACÊUTICOS E PLÁSTICOS DE SÃO PAULO, EMBU ARTES, EMBU-GUAÇU, TABOÃO DA SERRA E CAIERAS</t>
  </si>
  <si>
    <t>ORGANIZACAO AMIGOS EM SINTONIA</t>
  </si>
  <si>
    <t>17.001.957/0001-55</t>
  </si>
  <si>
    <t>(11) 4102-2008</t>
  </si>
  <si>
    <t>direcao@amigosemsintonia.org.br</t>
  </si>
  <si>
    <t>www.amigosemsintonia.org.br</t>
  </si>
  <si>
    <t>6074.2024/0004262-1</t>
  </si>
  <si>
    <t>PROGRAMA DE PROTEÇÃO DE ALTA COMPLEXIDADE - ACOLHIMENTO AO IDOSO</t>
  </si>
  <si>
    <t>836/24</t>
  </si>
  <si>
    <t>Rua Calógero Cália, n° 442</t>
  </si>
  <si>
    <t>04152-101</t>
  </si>
  <si>
    <t>(11) 4562-7317</t>
  </si>
  <si>
    <t>crserenidade2@gmail.com</t>
  </si>
  <si>
    <t>Vila Santo Estéfano</t>
  </si>
  <si>
    <t>www.casaderepousoserenidade.com.br</t>
  </si>
  <si>
    <t>6074.2024/0004258-3</t>
  </si>
  <si>
    <t>NOSSO CANTINHO</t>
  </si>
  <si>
    <t>Rua Tomé de Souza, n° 1575</t>
  </si>
  <si>
    <t>(11) 3596-3808</t>
  </si>
  <si>
    <t>6074.2024/0004309-1</t>
  </si>
  <si>
    <t xml:space="preserve">Rua Diogo Rodrigues Marques, nº 362 </t>
  </si>
  <si>
    <t>(11) 2767-2854</t>
  </si>
  <si>
    <t>CASA DE REPOUSO CORAÇÃO DE JESUS</t>
  </si>
  <si>
    <t>Alto do Lapa</t>
  </si>
  <si>
    <t>(11) 3483-3436</t>
  </si>
  <si>
    <t>6074.2024/0004011-4</t>
  </si>
  <si>
    <t>CASA DE REPOUSO VIDAS PROTEGIDAS LTDA</t>
  </si>
  <si>
    <t>VOCÊ AMANHÃ</t>
  </si>
  <si>
    <t>(11) 2579-6261</t>
  </si>
  <si>
    <t>joycekoch@outlook.com.br</t>
  </si>
  <si>
    <t>6074.2024/0004308-3</t>
  </si>
  <si>
    <t>RESIDENCIAL DE IDOSOS SANTO ANTONIO DE LISBOA LTDA</t>
  </si>
  <si>
    <t>RESIDENCIAL DE IDOSOS SANTO ANTONIO DE LISBOA</t>
  </si>
  <si>
    <t>50.631.390/0001-76</t>
  </si>
  <si>
    <t>Rua Trevo do Mato, n° 121</t>
  </si>
  <si>
    <t>08235-740</t>
  </si>
  <si>
    <t>(11) 99428-2348</t>
  </si>
  <si>
    <t>6074.2024/0004185-4</t>
  </si>
  <si>
    <t>CASA DE REPOUSO ESPERANÇA</t>
  </si>
  <si>
    <t>Rua Saivá, n° 345</t>
  </si>
  <si>
    <t>03617-020</t>
  </si>
  <si>
    <t>Vila Marieta</t>
  </si>
  <si>
    <t>(11) 3477-7271</t>
  </si>
  <si>
    <t>www.hospedagemparamelhoridade.com</t>
  </si>
  <si>
    <t>6074.2024/0004519-1</t>
  </si>
  <si>
    <t>PENSIONATO RESIDENCIAL SANCHEZ LTDA</t>
  </si>
  <si>
    <t>Rua Mateus Mendes Pereira, n° 1313</t>
  </si>
  <si>
    <t>08275-010</t>
  </si>
  <si>
    <t>Jd. Nossa Senhora do Carmo</t>
  </si>
  <si>
    <t>(11) 2742-2337</t>
  </si>
  <si>
    <t>alexandremainardi@gmail.com</t>
  </si>
  <si>
    <t>www.moradadosolresidencial.com.br</t>
  </si>
  <si>
    <t>6074.2024/0004471-3</t>
  </si>
  <si>
    <t>Rua Gaspar de Lemos, n° 263</t>
  </si>
  <si>
    <t>03443-040</t>
  </si>
  <si>
    <t>Vl. Nova Manchester</t>
  </si>
  <si>
    <t>6074.2024/0004425-0</t>
  </si>
  <si>
    <t>Rua João Fidélis Ribeiro, n° 36</t>
  </si>
  <si>
    <t>03627-000</t>
  </si>
  <si>
    <t>Vila Buenos Aires</t>
  </si>
  <si>
    <t>(11) 2621-0896</t>
  </si>
  <si>
    <t>cdisfa@oscsamaritano.org.br</t>
  </si>
  <si>
    <t>www.oscsamaritano.org.br</t>
  </si>
  <si>
    <t>6074.2024/0004386-5</t>
  </si>
  <si>
    <t>320.4/19</t>
  </si>
  <si>
    <t>02.627.820/0008-00</t>
  </si>
  <si>
    <t>Rua Profª Ernestina Loureiro de Miranda, n° 584</t>
  </si>
  <si>
    <t>03682-000</t>
  </si>
  <si>
    <t>Burgo Paulista</t>
  </si>
  <si>
    <t>(11) 2042-2421</t>
  </si>
  <si>
    <t>ncisamaritano@oscsamaritano.org.br</t>
  </si>
  <si>
    <t>6074.2024/0004571-0</t>
  </si>
  <si>
    <t>NCI SAMARITANO</t>
  </si>
  <si>
    <t>CASA DE REPOUSO SILKAVA LTDA</t>
  </si>
  <si>
    <t>CASA DE REPOUSO OLIVEIRA</t>
  </si>
  <si>
    <t>Rua Visconde de Alcântara, n° 355</t>
  </si>
  <si>
    <t>03205-060</t>
  </si>
  <si>
    <t>Vila Alpina</t>
  </si>
  <si>
    <t>(11) 2917-2295</t>
  </si>
  <si>
    <t>silkava.nutri@outlook.com</t>
  </si>
  <si>
    <t>6074.2024/0004374-1</t>
  </si>
  <si>
    <t>TERÇA DA SERRA JARDINS</t>
  </si>
  <si>
    <t>Rua Groenlândia, n° 864</t>
  </si>
  <si>
    <t>01434-000</t>
  </si>
  <si>
    <t>jardins@tercadaserra.com.br</t>
  </si>
  <si>
    <t>6074.2024/0004391-1</t>
  </si>
  <si>
    <t>837/24</t>
  </si>
  <si>
    <t>838/24</t>
  </si>
  <si>
    <t>839/24</t>
  </si>
  <si>
    <t>840/24</t>
  </si>
  <si>
    <t>841/24</t>
  </si>
  <si>
    <t>842/24</t>
  </si>
  <si>
    <t>843/24</t>
  </si>
  <si>
    <t>844/24</t>
  </si>
  <si>
    <t>845/24</t>
  </si>
  <si>
    <t>846/24</t>
  </si>
  <si>
    <t>847/24</t>
  </si>
  <si>
    <t>ASSOCIAÇÃO COMUNITÁRIA SANTA LUZIA</t>
  </si>
  <si>
    <t>00.126.699/0001-30</t>
  </si>
  <si>
    <t>(11) 2569-7735</t>
  </si>
  <si>
    <t>associacao_acsl@yahoo.com.br</t>
  </si>
  <si>
    <t>6074.2024/0004402-0</t>
  </si>
  <si>
    <t>ASSISTÊNCIA E PROMOÇÃO SOCIAL EXÉRCITO DA SALVAÇÃO</t>
  </si>
  <si>
    <t>PROJETO TRÊS CORAÇÕES</t>
  </si>
  <si>
    <t>VIVA IDOSO</t>
  </si>
  <si>
    <t>43.898.923/0012-78</t>
  </si>
  <si>
    <t>6074.2024/0004517-5</t>
  </si>
  <si>
    <t>CASA MESTRE ANANIAS - CENTRO PAULISTANO DE CAPOEIRA E TRADIÇÕES BAIANA</t>
  </si>
  <si>
    <t>10.833.569/0001-91</t>
  </si>
  <si>
    <t>GERAÇÃO NOCAUTE</t>
  </si>
  <si>
    <t>(11) 98291-7787</t>
  </si>
  <si>
    <t>rodrigo@uirapurubr.com.br</t>
  </si>
  <si>
    <t>www.mestreananias.blogspot.com</t>
  </si>
  <si>
    <t>6074.2024/0004470-5</t>
  </si>
  <si>
    <t>23.491.453/0001-63</t>
  </si>
  <si>
    <t>INSTITUTO CÉU ESTRELA GUIA</t>
  </si>
  <si>
    <t>CULINÁRIA EMPREENDEDORA PARA MULHERES DA TERCEIRA IDADE</t>
  </si>
  <si>
    <t>(11) 98101-5578</t>
  </si>
  <si>
    <t>ceupelavida@gmail.com</t>
  </si>
  <si>
    <t>www.ceuestrelaguia.org.br</t>
  </si>
  <si>
    <t>6074.2024/0004523-0</t>
  </si>
  <si>
    <t>CASA DE REPOUSO ALELUIA LTDA</t>
  </si>
  <si>
    <t>CASA DE REPOUSO ALELUIA</t>
  </si>
  <si>
    <t>53.056.687/0001-43</t>
  </si>
  <si>
    <t>Av. José Muniz Ribeiro, n° 110</t>
  </si>
  <si>
    <t>03807-010</t>
  </si>
  <si>
    <t>(11) 2541-1400</t>
  </si>
  <si>
    <t>laissouza605@gmail.com</t>
  </si>
  <si>
    <t>6074.2024/0004446-2</t>
  </si>
  <si>
    <t>51.248.885/0001-83</t>
  </si>
  <si>
    <t>03721-010</t>
  </si>
  <si>
    <t>CASA DE REPOUSO TEATRO FLÁVIO IMPÉRIO</t>
  </si>
  <si>
    <t>(11) 94164-4087</t>
  </si>
  <si>
    <t>6074.2024/0004451-9</t>
  </si>
  <si>
    <t>020.5/14</t>
  </si>
  <si>
    <t>ILPI TULIPAS MOOCA</t>
  </si>
  <si>
    <t>43.473.487/0041-20</t>
  </si>
  <si>
    <t>43.473.487/0001-32</t>
  </si>
  <si>
    <t>Rua Florianópolis, n° 184</t>
  </si>
  <si>
    <t>(11) 2606-6360</t>
  </si>
  <si>
    <t>03185-050</t>
  </si>
  <si>
    <t>6074.2024/0004543-4</t>
  </si>
  <si>
    <t>adm.croph@gmail.com</t>
  </si>
  <si>
    <t>HOSPEDAGEM PARA IDOSOS CORALINA EIRELLI</t>
  </si>
  <si>
    <t>murilo.negrao@hospedagemcoralina.com.br</t>
  </si>
  <si>
    <t>GUIARÁ RESIDENCIAL PARA IDOSOS LTDA</t>
  </si>
  <si>
    <t>33.375.589/0001-61</t>
  </si>
  <si>
    <t>Rua Guiará, n° 395</t>
  </si>
  <si>
    <t>05025-020</t>
  </si>
  <si>
    <t>Vila pompéia</t>
  </si>
  <si>
    <t>(11) 2501-9667</t>
  </si>
  <si>
    <t>casaguiara@hotmail.com</t>
  </si>
  <si>
    <t>6074.2024/0004381-4</t>
  </si>
  <si>
    <t>RESIDENCIAL POR DO SOL</t>
  </si>
  <si>
    <t>44.939.755/0001-21</t>
  </si>
  <si>
    <t>Av. Morumbi, n° 354</t>
  </si>
  <si>
    <t>05606-010</t>
  </si>
  <si>
    <t>tesoureiro@residencialpordosol.org.br</t>
  </si>
  <si>
    <t>www.residencialpordosol.org.br</t>
  </si>
  <si>
    <t>6074.2024/0004468-3</t>
  </si>
  <si>
    <t>512.4/21</t>
  </si>
  <si>
    <t>46.171.797/0001-90</t>
  </si>
  <si>
    <t>RESIDENCIAL SÊNIOR 60+ LTDA</t>
  </si>
  <si>
    <t>Rua Candido do Nascimento, n° 59</t>
  </si>
  <si>
    <t>Jd. Paulista</t>
  </si>
  <si>
    <t>(11) 96313-1537</t>
  </si>
  <si>
    <t>fabiolopes4@hotmail.com</t>
  </si>
  <si>
    <t>6074.2024/0004521-3</t>
  </si>
  <si>
    <t>CASA DE REPOUSO CHÁCARA ODELIA</t>
  </si>
  <si>
    <t>RESIDENCIAL E CENTRO DE CONVIVÊNCIA PARA IDOSOS CHÁCARA ODÉLIA LTDA</t>
  </si>
  <si>
    <t>19.752.840/0001-39</t>
  </si>
  <si>
    <t>04476-240</t>
  </si>
  <si>
    <t>Av. Alda, n° 298 - antigo 298</t>
  </si>
  <si>
    <t>(11) 94734-3868</t>
  </si>
  <si>
    <t>odeliachacara@gmail.com</t>
  </si>
  <si>
    <t>6074.2024/0004596-5</t>
  </si>
  <si>
    <t>615.2/22</t>
  </si>
  <si>
    <t>(11) 3660-8810</t>
  </si>
  <si>
    <t>oram.projetos@gmail.com</t>
  </si>
  <si>
    <t>www.oram.org.br</t>
  </si>
  <si>
    <t>6074.2024/0004971-5</t>
  </si>
  <si>
    <t>ILPI N. S. DA PAZ</t>
  </si>
  <si>
    <t>509.4/21</t>
  </si>
  <si>
    <t>528.2/21</t>
  </si>
  <si>
    <t>ASSOCIAÇÃO TRÊS PODERES</t>
  </si>
  <si>
    <t>26.942.668/0001-41</t>
  </si>
  <si>
    <t>LAR PARA IDOSOS DIVINA MISERICÓRDIA LTDA</t>
  </si>
  <si>
    <t>848/24</t>
  </si>
  <si>
    <t>849/24</t>
  </si>
  <si>
    <t>MAR DE OLIVAS RESIDENCIAL PARA IDOSOS LTDA</t>
  </si>
  <si>
    <t>ACR - ASSOCIAÇÃO CULTURAL DO ROCK</t>
  </si>
  <si>
    <t>850/24</t>
  </si>
  <si>
    <t>CASA DE REPOUSO MIMOS PARA IDOSOS</t>
  </si>
  <si>
    <t>Rua Capricho, N° 1082</t>
  </si>
  <si>
    <t>074.2021/0006670-3</t>
  </si>
  <si>
    <t>Rua Lycurgo de Castro Santos,n° 121 (ampliação com a casa 133)</t>
  </si>
  <si>
    <t>03279-250</t>
  </si>
  <si>
    <t xml:space="preserve">(11) 2302-3511 </t>
  </si>
  <si>
    <t>Rua Jubialu, n° 91</t>
  </si>
  <si>
    <t>03275-160</t>
  </si>
  <si>
    <t>Vila Ivone</t>
  </si>
  <si>
    <t>(11) 3729-4505</t>
  </si>
  <si>
    <t>hugosp25@hotmail.com</t>
  </si>
  <si>
    <t>6074.2024/0005105-1</t>
  </si>
  <si>
    <t>D'VERAS RESIDENCIAL</t>
  </si>
  <si>
    <t xml:space="preserve"> Rua Airosa Galvão, n° 74 </t>
  </si>
  <si>
    <t>05000-070</t>
  </si>
  <si>
    <t>(11) 3864-0013</t>
  </si>
  <si>
    <t>6074.2024/0005004-7</t>
  </si>
  <si>
    <t>LAR SANTA ANA – INSTITUIÇÃO DE LONGA PERMANÊNCIA PARA IDOSOS LTDA</t>
  </si>
  <si>
    <t>LAR SANTA ANA</t>
  </si>
  <si>
    <t>Rua Santa Gertrudes, n° 59</t>
  </si>
  <si>
    <t>03408-020</t>
  </si>
  <si>
    <t>Chácara Santo Antonio</t>
  </si>
  <si>
    <t>(11) 2533-2024</t>
  </si>
  <si>
    <t>dani.chimbata@outlook.com</t>
  </si>
  <si>
    <t>6074.2024/0005280-5</t>
  </si>
  <si>
    <t>CASA DE REPOUSO JS VITÓRIA LTDA</t>
  </si>
  <si>
    <t>CASA DE REPOUSO VITÓRIA</t>
  </si>
  <si>
    <t>Av. Santa Inês, n° 3468</t>
  </si>
  <si>
    <t>02631-000</t>
  </si>
  <si>
    <t>(11) 2233-3612</t>
  </si>
  <si>
    <t>contato@casajsvitoria.com.br</t>
  </si>
  <si>
    <t>www.casajsvitoria.com.br</t>
  </si>
  <si>
    <t>6074.2024/0005226-0</t>
  </si>
  <si>
    <t>ILPI CASA SÃO MARCOS</t>
  </si>
  <si>
    <t>02834-030</t>
  </si>
  <si>
    <t>Rua João Daudt Filho, n° 233</t>
  </si>
  <si>
    <t>(11) 3922-8866</t>
  </si>
  <si>
    <t>6074.2024/0005025-0</t>
  </si>
  <si>
    <t xml:space="preserve">LAR BELA VIDA </t>
  </si>
  <si>
    <t>Rua Verbo Divino, n° 488</t>
  </si>
  <si>
    <t>tesoureiro@larbelavida.org.br</t>
  </si>
  <si>
    <t>www.larbelavida.org.br</t>
  </si>
  <si>
    <t>PROMOVENDO A SAÚDE E A INCLUSÃO DA PESSOA IDOSA COM DEFICÊNCIA INTELECTUAL</t>
  </si>
  <si>
    <t>(11) 5080-7180</t>
  </si>
  <si>
    <t>projetos@ijc.org.br</t>
  </si>
  <si>
    <t>00.099.674/0001-95</t>
  </si>
  <si>
    <t>(11) 95938-8725</t>
  </si>
  <si>
    <t>sheilafeles@gmail.com</t>
  </si>
  <si>
    <t>6074.2024/0004835-2</t>
  </si>
  <si>
    <t>Rua Secundino Rodrigues, n° 683</t>
  </si>
  <si>
    <t>Jd. Independência</t>
  </si>
  <si>
    <t>03223-110</t>
  </si>
  <si>
    <t>Rua Praia dos Estaleiros, n° 183</t>
  </si>
  <si>
    <t>05180-000</t>
  </si>
  <si>
    <t xml:space="preserve"> (11) 4277-7376</t>
  </si>
  <si>
    <t>larparaidososdivina@gmail.com</t>
  </si>
  <si>
    <t>6074.2024/0004735-6</t>
  </si>
  <si>
    <t>49.411.844/0001-14</t>
  </si>
  <si>
    <t>Rua Nova York, n° 1048</t>
  </si>
  <si>
    <t>04560-002</t>
  </si>
  <si>
    <t>(11) 2366-5925</t>
  </si>
  <si>
    <t>contato@residencialmardeolivas.com.br</t>
  </si>
  <si>
    <t>www.residencialmardeolivas.com.br</t>
  </si>
  <si>
    <t>6074.2024/0004738-0</t>
  </si>
  <si>
    <t>ROCK PARA TERCEIRA IDADE</t>
  </si>
  <si>
    <t>38.222.970/0001-04</t>
  </si>
  <si>
    <t>(11) 94728-3133</t>
  </si>
  <si>
    <t>acr.rockbrasil@gmail.com</t>
  </si>
  <si>
    <t>www.acrock.com.br</t>
  </si>
  <si>
    <t>6074.2024/0005189-2</t>
  </si>
  <si>
    <t>RECANTO OSWALITO</t>
  </si>
  <si>
    <t>6074.2024/0005031-4</t>
  </si>
  <si>
    <t>485.2/21</t>
  </si>
  <si>
    <t>60.600.830/0001-81</t>
  </si>
  <si>
    <t>CIDADE DOS VELHINHOS SANTA LUIZA DE MARILLAC</t>
  </si>
  <si>
    <t>ger.social@orsvp.org.br</t>
  </si>
  <si>
    <t>www.filhasdacaridaderj.org. br</t>
  </si>
  <si>
    <t>6074.2024/0005114-0</t>
  </si>
  <si>
    <t>851/24</t>
  </si>
  <si>
    <t>Rua Verbo Divino, 275</t>
  </si>
  <si>
    <t>(11) 5182-5371</t>
  </si>
  <si>
    <t>6074.2024/0005340-2</t>
  </si>
  <si>
    <t>INSTITUTO DE LONGA PERMANENCIA PARA IDOSOS NOSSO LAR LTDA</t>
  </si>
  <si>
    <t>36.290.557/0001-51</t>
  </si>
  <si>
    <t>Rua Rocha Lima, 318</t>
  </si>
  <si>
    <t>02554-010</t>
  </si>
  <si>
    <t>Vila Diva</t>
  </si>
  <si>
    <t>(11) 94646-9051</t>
  </si>
  <si>
    <t>bovenzzorafaella@gmail.com</t>
  </si>
  <si>
    <t>6074.2024/0005454-9</t>
  </si>
  <si>
    <t>852/24</t>
  </si>
  <si>
    <t>M M DE ALCANTARA LAR DE LONGA PERMANÊNCIA LTDA</t>
  </si>
  <si>
    <t>RESIDENCIAL SAGRADA FAMÍLIA</t>
  </si>
  <si>
    <t>39.679.946/0003-23</t>
  </si>
  <si>
    <t>Rua Dione, 275</t>
  </si>
  <si>
    <t>08330-510</t>
  </si>
  <si>
    <t>(11)97710-0701</t>
  </si>
  <si>
    <t>contato@hlcontabilidade.com.br</t>
  </si>
  <si>
    <t xml:space="preserve"> 6074.2024/0005278-3</t>
  </si>
  <si>
    <t>853/24</t>
  </si>
  <si>
    <t>CASA DE REPOUSO RESIDENCIAL OTTA JARAGUÁ LTDA</t>
  </si>
  <si>
    <t>RESIDENCIAL OTTA JARAGUÁ</t>
  </si>
  <si>
    <t>48.590.516/0001-60</t>
  </si>
  <si>
    <t>Travssa Paulo Maria Vidal, 53</t>
  </si>
  <si>
    <t>05181-035</t>
  </si>
  <si>
    <t>(11) 3903-5457</t>
  </si>
  <si>
    <t>residencialotta@gmail.com</t>
  </si>
  <si>
    <t>6074.2024/0005550-2</t>
  </si>
  <si>
    <t>854/24</t>
  </si>
  <si>
    <t>855/24</t>
  </si>
  <si>
    <t>TERÇA DA SERRA BROOKLIN</t>
  </si>
  <si>
    <t>49.707.032/0001-10</t>
  </si>
  <si>
    <t>Rua Américo Brasiliense, 170</t>
  </si>
  <si>
    <t>04715-000</t>
  </si>
  <si>
    <t xml:space="preserve"> (11) 5687-6244</t>
  </si>
  <si>
    <t>tercadaserrabrooklin@gmail.com</t>
  </si>
  <si>
    <t>6074.2024/0005502-2</t>
  </si>
  <si>
    <t>NOVA CENTENÁRIO LTDA</t>
  </si>
  <si>
    <t>PENSIONATO CENTENÁRIO</t>
  </si>
  <si>
    <t>47.705.185/0001-01</t>
  </si>
  <si>
    <t>Rua Joaquim Noberto, 496</t>
  </si>
  <si>
    <t>02301-100</t>
  </si>
  <si>
    <t>Vila Paulicéia</t>
  </si>
  <si>
    <t>sardilliclovis@hotmail.com</t>
  </si>
  <si>
    <t>6074.2024/0005618-5</t>
  </si>
  <si>
    <t>AÇÃO MELHOR IDADE</t>
  </si>
  <si>
    <t>MEMÓRIAS DA MELHOR IDADE</t>
  </si>
  <si>
    <t>Rua Loefgren, 2109</t>
  </si>
  <si>
    <t>04040-033</t>
  </si>
  <si>
    <t>NCI TRES PODERES</t>
  </si>
  <si>
    <t xml:space="preserve">LAR PARA IDOSOS DIVINA MISERICÓRDIA </t>
  </si>
  <si>
    <t xml:space="preserve">MAR DE OLIVAS RESIDENCIAL PARA IDOSOS </t>
  </si>
  <si>
    <t>Avenida Brigadeiro Luis Antonio, 3.814</t>
  </si>
  <si>
    <t>01401-001</t>
  </si>
  <si>
    <t>Rua Profº Candido Nogueira da Mota, n° 140</t>
  </si>
  <si>
    <t>04786-035</t>
  </si>
  <si>
    <t>INSTITUTO DE LONGA PERMANENCIA PARA IDOSOS NOSSO LAR</t>
  </si>
  <si>
    <t>www.odeliacasaderepouso.com.br</t>
  </si>
  <si>
    <t>34.383.239/0002-90</t>
  </si>
  <si>
    <t>não</t>
  </si>
  <si>
    <t>03139-090</t>
  </si>
  <si>
    <t>(11) 94283-7965</t>
  </si>
  <si>
    <t>6074.2024/0005744-0</t>
  </si>
  <si>
    <t>60+ COM INCLUSÃO DIGITAL NO CINE FAVELA</t>
  </si>
  <si>
    <t>(11) 2914-2275</t>
  </si>
  <si>
    <t>cinefavela@gmail.com</t>
  </si>
  <si>
    <t>Rua Fabiano Alves, nº 298</t>
  </si>
  <si>
    <t>137.3/17</t>
  </si>
  <si>
    <t>ESPAÇO INTERGERACIONAL E EDUCACIONAL PARA ALIMENTAÇÃO SAUDÁVEL DE PESSOAS IDOSAS - ONDINA LOBO (GASTRONÔMICO 2.0)</t>
  </si>
  <si>
    <t>6074.2024/0005946-0</t>
  </si>
  <si>
    <t>Rua Padre Raposo, nº 272</t>
  </si>
  <si>
    <t>03118-000</t>
  </si>
  <si>
    <t>(11) 2081-4493 / (11) 2081-4494</t>
  </si>
  <si>
    <t>priscilla@casaderepousonewlife.com.br</t>
  </si>
  <si>
    <t>www.casaderepousonewlife.com.br</t>
  </si>
  <si>
    <t>6074.2024/0005995-8</t>
  </si>
  <si>
    <t>Rua Afonso Celso, n° 552, Cj 53</t>
  </si>
  <si>
    <t>04119-002</t>
  </si>
  <si>
    <t>(11) 5904-1958</t>
  </si>
  <si>
    <t>marilene@institutopinheiro.org.br</t>
  </si>
  <si>
    <t>6074.2024/0006036-0</t>
  </si>
  <si>
    <t>CASA DE REPOUSO STYLLO</t>
  </si>
  <si>
    <t>Rua Mariano Procópio, nº 76</t>
  </si>
  <si>
    <t>01548-020</t>
  </si>
  <si>
    <t>(11) 2063-4740</t>
  </si>
  <si>
    <t>www.casaderepousostyllo.com.br</t>
  </si>
  <si>
    <t>6074.2024/0006034-4</t>
  </si>
  <si>
    <t>ASSOCIAÇÃO FILHAS DE SÃO CAMILO</t>
  </si>
  <si>
    <t>CUIDADOS COM IDOSOS E CRIANÇAS DA ZONA NORTE - COLÉGIO PADRE LUIZ TEZZA</t>
  </si>
  <si>
    <t>61.986.402/0004-44</t>
  </si>
  <si>
    <t>Rua Henrique Braglia, nº 197</t>
  </si>
  <si>
    <t>02244-000</t>
  </si>
  <si>
    <t>Vila D. Pedro II</t>
  </si>
  <si>
    <t xml:space="preserve"> (11) 2973-0457</t>
  </si>
  <si>
    <t>(11) 2950-1954</t>
  </si>
  <si>
    <t>administracao@colegiotezza.com.br</t>
  </si>
  <si>
    <t>www.colegiotezza.com.br</t>
  </si>
  <si>
    <t>6074.2024/0005993-1</t>
  </si>
  <si>
    <t>61.986.402/0001-00</t>
  </si>
  <si>
    <t>Rua da Grota, nº 460</t>
  </si>
  <si>
    <t>02206-010</t>
  </si>
  <si>
    <t>6074.2021/0008587-2</t>
  </si>
  <si>
    <t>CASA DE REPOUSO NEW LIFE</t>
  </si>
  <si>
    <t>INSTITUTO FORMIGUINHAS</t>
  </si>
  <si>
    <t>NÚCLEO DO IDOSO - INSTITUTO FORMIGUINHAS</t>
  </si>
  <si>
    <t>26.687.659/0001-51</t>
  </si>
  <si>
    <t>Rua Carvaxi, nª 300 A</t>
  </si>
  <si>
    <t>05735-040</t>
  </si>
  <si>
    <t>Jd. Rebouças</t>
  </si>
  <si>
    <t>(11) 97026-8788</t>
  </si>
  <si>
    <t>institutoformiguinhas@gmail.com</t>
  </si>
  <si>
    <t>6074.2024/0006085-9</t>
  </si>
  <si>
    <t>LAR PARA IDOSOS VOVÔ LUIZ</t>
  </si>
  <si>
    <t>Rua Dom Jeronimo Osório, nº 127</t>
  </si>
  <si>
    <t>04649-160</t>
  </si>
  <si>
    <t>(11) 98229-6281</t>
  </si>
  <si>
    <t>fjosenilda@gmail.com</t>
  </si>
  <si>
    <t>673.2/22</t>
  </si>
  <si>
    <t>6074.2024/0002567-0</t>
  </si>
  <si>
    <t>6074.2024/0004487-0</t>
  </si>
  <si>
    <t>6074.2024/0006114-6</t>
  </si>
  <si>
    <t>6074.2024/0006437-4</t>
  </si>
  <si>
    <t>RESIDENCIAL ACONCHEGO DO LAR LTDA</t>
  </si>
  <si>
    <t>RESIDENCIAL ACONCHEGO DO LAR</t>
  </si>
  <si>
    <t>53.044.383/0001-66</t>
  </si>
  <si>
    <t xml:space="preserve"> Rua Duarte da Costa, 30</t>
  </si>
  <si>
    <t>www.residencialaconchegodolar.com.br</t>
  </si>
  <si>
    <t>residencialaconchegodolar@gmail.com</t>
  </si>
  <si>
    <t>(11) 95231-8514</t>
  </si>
  <si>
    <t>(11) 3926-3337</t>
  </si>
  <si>
    <t>Rua Nhatumani, 698</t>
  </si>
  <si>
    <t xml:space="preserve">Vila Ré </t>
  </si>
  <si>
    <t>recantodosavosvilare.com.br</t>
  </si>
  <si>
    <t>6074.2024/0006456-0</t>
  </si>
  <si>
    <t xml:space="preserve">Lausane Paulista </t>
  </si>
  <si>
    <t>Professor Dorival Dias Minhoto, 231</t>
  </si>
  <si>
    <t>Rua São Bento, 365, 1° andar</t>
  </si>
  <si>
    <t xml:space="preserve">Jd Esmeralda </t>
  </si>
  <si>
    <t>05564-100</t>
  </si>
  <si>
    <t>: Avenida Eng. Heitor Eiras Garcia, nº 5.985</t>
  </si>
  <si>
    <t>Rua Taquari, nº 546</t>
  </si>
  <si>
    <t xml:space="preserve">03166-000 </t>
  </si>
  <si>
    <t>(11) 98383-4106</t>
  </si>
  <si>
    <t>daniele.paz@institutoanimaeducacao.org.br</t>
  </si>
  <si>
    <t>www.institutoanimaeducacao.org.br</t>
  </si>
  <si>
    <t>Rua Desembargador Eliseu Guilherme, n° 123</t>
  </si>
  <si>
    <t>04004-030</t>
  </si>
  <si>
    <t>3053-6611</t>
  </si>
  <si>
    <t>Rua Largo Leon Tolstoi 42</t>
  </si>
  <si>
    <t>Jd São João Clímaco</t>
  </si>
  <si>
    <t>Av das Nações Unidas 18801, sala 1217</t>
  </si>
  <si>
    <t>04795-1000</t>
  </si>
  <si>
    <t xml:space="preserve">Vila Almeida </t>
  </si>
  <si>
    <t xml:space="preserve">Rua Icaraí, nº 106 - Tatuapé </t>
  </si>
  <si>
    <t>Rua Loefgren 2109</t>
  </si>
  <si>
    <t>11 50807180</t>
  </si>
  <si>
    <t>R Dr Virgilio de Carvalho Pinto 445</t>
  </si>
  <si>
    <t xml:space="preserve"> liliane@parceirosvoluntarios.org.br</t>
  </si>
  <si>
    <t>R Jureia 522</t>
  </si>
  <si>
    <t xml:space="preserve">Chácara Inglesa </t>
  </si>
  <si>
    <t>50 a 100 mil</t>
  </si>
  <si>
    <t>Rua 24 de Maio 250 1º andar</t>
  </si>
  <si>
    <t>01041-000</t>
  </si>
  <si>
    <t>República</t>
  </si>
  <si>
    <t>Rua Basílio da Gama 77</t>
  </si>
  <si>
    <t>01046-020</t>
  </si>
  <si>
    <t xml:space="preserve">República </t>
  </si>
  <si>
    <t>Diversos</t>
  </si>
  <si>
    <t>14015-050</t>
  </si>
  <si>
    <t>Centro (Ribeirão Preto)</t>
  </si>
  <si>
    <t>Ribeirão Preto</t>
  </si>
  <si>
    <t>Rua Ferreira de Araújo, n° 221 – cj 98</t>
  </si>
  <si>
    <t>R Major Diogo 285</t>
  </si>
  <si>
    <t>01324-001</t>
  </si>
  <si>
    <t>Av. Eng. George Corbisier 1127</t>
  </si>
  <si>
    <t xml:space="preserve">04345-001 </t>
  </si>
  <si>
    <t>Rua Conde de São Joaquim, 179</t>
  </si>
  <si>
    <t>(11) 99542-1405</t>
  </si>
  <si>
    <t xml:space="preserve">coordenacao@gritocontinental.org </t>
  </si>
  <si>
    <t>https://www.gritocontinental.org/</t>
  </si>
  <si>
    <t>Av. Manuel de Siqueira 15</t>
  </si>
  <si>
    <t>04913-010</t>
  </si>
  <si>
    <t>Jd Santa Edwiges</t>
  </si>
  <si>
    <t>11 58312840</t>
  </si>
  <si>
    <t>maisviver@maisviver.org.br</t>
  </si>
  <si>
    <t>www.maisviver.org.br</t>
  </si>
  <si>
    <t xml:space="preserve">Jd das Imbuias </t>
  </si>
  <si>
    <t>11 34620210</t>
  </si>
  <si>
    <t>inovha@gmail.com</t>
  </si>
  <si>
    <t>www.inovha.org.br</t>
  </si>
  <si>
    <t>Rua Padre Antônio de Gouveia, 207</t>
  </si>
  <si>
    <t>04416-200</t>
  </si>
  <si>
    <t>Jd Miriam</t>
  </si>
  <si>
    <t>(11) 99827-3026</t>
  </si>
  <si>
    <t>www.institutobixiga.com.br</t>
  </si>
  <si>
    <t>institutobixiga@gmail.com</t>
  </si>
  <si>
    <t>11 993883825</t>
  </si>
  <si>
    <t>R dos Ingleses 67</t>
  </si>
  <si>
    <t>01329-000</t>
  </si>
  <si>
    <t>R. José Milton Barbosa, 227 Conj. Hab. Jova Rural</t>
  </si>
  <si>
    <t>02281-214</t>
  </si>
  <si>
    <t xml:space="preserve"> institutoinct@gmail.com</t>
  </si>
  <si>
    <t>Rua Dr. David Iampolsky, n° 36</t>
  </si>
  <si>
    <t>01124-050</t>
  </si>
  <si>
    <t>RUA ZULMIRA CAVALHEIRO FAUSTINO, 95, LOTE 6 A QUADRA2 SALA 3</t>
  </si>
  <si>
    <t xml:space="preserve">05777-190 </t>
  </si>
  <si>
    <t>Vila Nova das Belezas</t>
  </si>
  <si>
    <t>11 999314864</t>
  </si>
  <si>
    <t>presidencia@nixdiversidade.org</t>
  </si>
  <si>
    <t>https://nixdiversidade.org/</t>
  </si>
  <si>
    <t>02053-003</t>
  </si>
  <si>
    <t xml:space="preserve">Av. Guilherme, nº 1819 </t>
  </si>
  <si>
    <t>(11) 94521-9444</t>
  </si>
  <si>
    <t>institutomaosegratidao@gmail.com</t>
  </si>
  <si>
    <t>Rua Soror Maria Celeste 140</t>
  </si>
  <si>
    <t> 02842070</t>
  </si>
  <si>
    <t>Vila Brasilândia</t>
  </si>
  <si>
    <t>Rua Estados Unidos, n° 411</t>
  </si>
  <si>
    <t>01427-000</t>
  </si>
  <si>
    <t xml:space="preserve">Jardim América </t>
  </si>
  <si>
    <t>Parque do Ibirapuera (próx. ao Portão 7)  Av. República do Líbano, 1157</t>
  </si>
  <si>
    <t>04502-001</t>
  </si>
  <si>
    <t>Ibirapuera</t>
  </si>
  <si>
    <t>Rua Benedito Coelho Neto, nº 268 casa 1</t>
  </si>
  <si>
    <t>08295-010</t>
  </si>
  <si>
    <t>Travessa Antonio Brunelli, n° 351</t>
  </si>
  <si>
    <t>: Rua Ferreira de Araújo, n° 957</t>
  </si>
  <si>
    <t xml:space="preserve"> 05428-002</t>
  </si>
  <si>
    <t xml:space="preserve"> Travessa Inácio Rivas, n° 351 – A RES Lt 2 Qd 2 </t>
  </si>
  <si>
    <t xml:space="preserve">03591-040 </t>
  </si>
  <si>
    <t>03590-050</t>
  </si>
  <si>
    <t xml:space="preserve">Rua Nair Ramos Schuring, n° 89 </t>
  </si>
  <si>
    <t xml:space="preserve">Vila Brasilândia </t>
  </si>
  <si>
    <t>Rua Arlindo Colaço, 32</t>
  </si>
  <si>
    <t>São Miguel</t>
  </si>
  <si>
    <t>02845-040</t>
  </si>
  <si>
    <t>Rua Franklin Távora, n° 100</t>
  </si>
  <si>
    <t>Jd Helga</t>
  </si>
  <si>
    <t xml:space="preserve"> 05794-270</t>
  </si>
  <si>
    <t>Rua Conjunto da Paz, n° 39 H</t>
  </si>
  <si>
    <t xml:space="preserve">08142-360 </t>
  </si>
  <si>
    <t xml:space="preserve">Jd. Camargo Velho </t>
  </si>
  <si>
    <t xml:space="preserve"> Rua Taguá, n° 209</t>
  </si>
  <si>
    <t xml:space="preserve"> 01508-010</t>
  </si>
  <si>
    <t>Rua Conselheiro Ramalho, n° 939</t>
  </si>
  <si>
    <t>01325-001</t>
  </si>
  <si>
    <t>Rua Itapiru, n° 137</t>
  </si>
  <si>
    <t>04143-010</t>
  </si>
  <si>
    <t xml:space="preserve">Rua Luiz Domingues de Castro, n° 395 </t>
  </si>
  <si>
    <t>05267-100</t>
  </si>
  <si>
    <t>Jd Anhanguera</t>
  </si>
  <si>
    <t>(11) 3916-6169</t>
  </si>
  <si>
    <t>Rua Tirana, 26</t>
  </si>
  <si>
    <t>(11) 2674 9131</t>
  </si>
  <si>
    <t>(11) 2674-9131</t>
  </si>
  <si>
    <t>R. Monsenhor Francisco de Paula, 170</t>
  </si>
  <si>
    <t>03504-000</t>
  </si>
  <si>
    <t>(11) 3473-7779</t>
  </si>
  <si>
    <t>R CAMPOS NOVOS</t>
  </si>
  <si>
    <t>03.145-020</t>
  </si>
  <si>
    <t>VILA LUCIA</t>
  </si>
  <si>
    <t>(11) 2021-8845/ (11) 2021-8845</t>
  </si>
  <si>
    <t>(11) 2021-8954/ (11) 2021-8954</t>
  </si>
  <si>
    <t xml:space="preserve"> Rua Camé, 512</t>
  </si>
  <si>
    <t>03121-020</t>
  </si>
  <si>
    <t xml:space="preserve"> Parque da Mooca</t>
  </si>
  <si>
    <t xml:space="preserve">R. Me. de Deus, 493 </t>
  </si>
  <si>
    <t>03119-000</t>
  </si>
  <si>
    <t>03.325-060</t>
  </si>
  <si>
    <t>VILA SANTO ESTEVAN</t>
  </si>
  <si>
    <t>(11) 2731-3388</t>
  </si>
  <si>
    <t>R MOSSAMEDES 461</t>
  </si>
  <si>
    <t xml:space="preserve"> 25.294.918/0001-11</t>
  </si>
  <si>
    <t>6074.2024/0006680-6</t>
  </si>
  <si>
    <t>619.3/22</t>
  </si>
  <si>
    <t>LONGEVIDADE COM AUTONOMIA</t>
  </si>
  <si>
    <t>Av. José Pinheiro Borges, S/N</t>
  </si>
  <si>
    <t>08220-900</t>
  </si>
  <si>
    <t>077.2/16</t>
  </si>
  <si>
    <t>077.1/16</t>
  </si>
  <si>
    <t>NUTRI-VOS</t>
  </si>
  <si>
    <t>ALBUQUERQUE E PALUMBO INSTITUIÇÃO DE LONGA PERMANÊNCIA PARA IDOSOS LTDA</t>
  </si>
  <si>
    <t>MERAKI RESIDENCIAL SENIOR</t>
  </si>
  <si>
    <t>50.657.487/0001-58</t>
  </si>
  <si>
    <t>Avenida Marthin Luther King, 2150</t>
  </si>
  <si>
    <t>Cidade São Francisco</t>
  </si>
  <si>
    <t>(11) 3719-1222</t>
  </si>
  <si>
    <t>merakiresidencialsenior@gmail.com</t>
  </si>
  <si>
    <t>www.merakiresidencial.com.br</t>
  </si>
  <si>
    <t>6074.2024/0006688-1</t>
  </si>
  <si>
    <t>ASSOCIAÇÃO JOVENS DO FUTURO</t>
  </si>
  <si>
    <t>CDI SÃO PEDRO</t>
  </si>
  <si>
    <t>05.960.559/0009-34</t>
  </si>
  <si>
    <t>(11) 91691-3913</t>
  </si>
  <si>
    <t>jovensdofuturocoordenacao@gmail.com</t>
  </si>
  <si>
    <t>6074.2024/0006714-4</t>
  </si>
  <si>
    <t>CASA DE REPOUSO MUNDO FELIZ LTDA</t>
  </si>
  <si>
    <t>CASA DE REPOUSO MUNDIAL</t>
  </si>
  <si>
    <t>26.685.145/0001-67</t>
  </si>
  <si>
    <t>Rua Pontalete, 73</t>
  </si>
  <si>
    <t>(11) 3895-3022</t>
  </si>
  <si>
    <t>casaderepousomundial@hotmail.com</t>
  </si>
  <si>
    <t>www.casaderepousomundial.com.br</t>
  </si>
  <si>
    <t>6074.2024/0006821-3</t>
  </si>
  <si>
    <t>CENTRO DE ATIVIDADES PARA TERCEIRA IDADE LTDA</t>
  </si>
  <si>
    <t>CENTRO DE ATIVIDADES PARA TERCEIRA IDADE</t>
  </si>
  <si>
    <t>52.670.089/0001-05</t>
  </si>
  <si>
    <t>Rua Maria Afonso, 116</t>
  </si>
  <si>
    <t>Chacara Mafalda</t>
  </si>
  <si>
    <t>(11) 4327-0945</t>
  </si>
  <si>
    <t>6074.2024/0006715-2</t>
  </si>
  <si>
    <t>DW CASA DE REPOUSO LTDA</t>
  </si>
  <si>
    <t>RESIDENCIAL MAXIMO</t>
  </si>
  <si>
    <t>39.515.594/0001-09</t>
  </si>
  <si>
    <t>Rua Fernandes Moreira, 527</t>
  </si>
  <si>
    <t>Chacara Santo Antonio</t>
  </si>
  <si>
    <t>(11) 5183-3977</t>
  </si>
  <si>
    <t>6074.2024/0006718-7</t>
  </si>
  <si>
    <t>ASSOCIAÇÃO ETERNAMENTE SOU</t>
  </si>
  <si>
    <t>VELHICES LGBT+</t>
  </si>
  <si>
    <t>31.154.112/0001-20</t>
  </si>
  <si>
    <t>Rua Barao de Itapetininga, 255</t>
  </si>
  <si>
    <t>(11) 3115-5443</t>
  </si>
  <si>
    <t>luis@eternamentesou.org</t>
  </si>
  <si>
    <t>www.eternamentesou.org</t>
  </si>
  <si>
    <t>6074.2024/0006702-0</t>
  </si>
  <si>
    <t>INSTITUTO MACEDONIA</t>
  </si>
  <si>
    <t>54.277.744/0001-87</t>
  </si>
  <si>
    <t>Rua Itapaiuna, 36</t>
  </si>
  <si>
    <t>05080-000</t>
  </si>
  <si>
    <t>05352-020</t>
  </si>
  <si>
    <t>04884-000</t>
  </si>
  <si>
    <t>02231-030</t>
  </si>
  <si>
    <t>03370-020</t>
  </si>
  <si>
    <t>04716-001</t>
  </si>
  <si>
    <t>01042-917</t>
  </si>
  <si>
    <t>Parque Morumbi</t>
  </si>
  <si>
    <t>(11) 5825-2709</t>
  </si>
  <si>
    <t>institutomacedonia4@gmail.com</t>
  </si>
  <si>
    <t>www.institutomacedonia.com.br</t>
  </si>
  <si>
    <t>6074.2024/0006750-0</t>
  </si>
  <si>
    <t>OFICINAS POPULARES PARA IDOSOS</t>
  </si>
  <si>
    <t>17.790.926/0001-20</t>
  </si>
  <si>
    <t>Rua Teixeira Mendes, 262</t>
  </si>
  <si>
    <t>01517-010</t>
  </si>
  <si>
    <t>INSTITUTO POTENCIAL - PROJETOS SOCIAIS</t>
  </si>
  <si>
    <t>tesouraria.potencial@yahoo.com.br</t>
  </si>
  <si>
    <t>6074.2024/0006685-7</t>
  </si>
  <si>
    <t>LAR PARA IDOSOS PAZ E VIDA LTDA</t>
  </si>
  <si>
    <t>LAR PARA IDOSOS PAZ E VIDA</t>
  </si>
  <si>
    <t>48.238.939/0001-15</t>
  </si>
  <si>
    <t>(11) 96206-6892</t>
  </si>
  <si>
    <t>elizamcorreia@gmail.com</t>
  </si>
  <si>
    <t>6074.2024/0006751-9</t>
  </si>
  <si>
    <t>TRICOTANDO</t>
  </si>
  <si>
    <t>21.967.726/000178</t>
  </si>
  <si>
    <t>Rua Verbo Divino, 505</t>
  </si>
  <si>
    <t>(11) 5181-5849</t>
  </si>
  <si>
    <t>tricotandocasailpi@gmail.com</t>
  </si>
  <si>
    <t>6074.2024/0006760-8</t>
  </si>
  <si>
    <t>UNIGER - UNIDADE DE INTERNAÇÃO GERIÁTRICA LTDA</t>
  </si>
  <si>
    <t>(11) 3663-9060 / (11) 99316-6700</t>
  </si>
  <si>
    <t>enfermeira.karen@residencialtoniolo.com.br</t>
  </si>
  <si>
    <t>6074.2024/0006897-3</t>
  </si>
  <si>
    <t>ASSOCIAÇÃO BENEFICENTE DE AMPARO AO IDOSO CARENTE CAMINHO DA VIDA</t>
  </si>
  <si>
    <t>CAMINHO DA VIDA</t>
  </si>
  <si>
    <t>03535-000</t>
  </si>
  <si>
    <t>(11) 2748-7811 / (11) 99990-0083</t>
  </si>
  <si>
    <t>administração@abaic.com.br e abaic.caminhodavida@gmail.com</t>
  </si>
  <si>
    <t>CASA DE REPOUSO DOCE LAR</t>
  </si>
  <si>
    <t>Rua Baltazar Nunes, 480</t>
  </si>
  <si>
    <t>08290-220</t>
  </si>
  <si>
    <t>(11) 2217-9887 / (11) 99718-5890</t>
  </si>
  <si>
    <t>www.repousodocelar.com.br</t>
  </si>
  <si>
    <t>6074.2024/0006660-1</t>
  </si>
  <si>
    <t>RECANTO DOS AVÓS</t>
  </si>
  <si>
    <t>03663-000</t>
  </si>
  <si>
    <t>(11) 3482-1575 / 99590-4207</t>
  </si>
  <si>
    <t>COGITARE SENIOR RESIDENCIAL LTDA</t>
  </si>
  <si>
    <t>COGITARE SENIOR</t>
  </si>
  <si>
    <t>04109-130</t>
  </si>
  <si>
    <t>(11) 2157-8064 / (11) 94008-0955</t>
  </si>
  <si>
    <t>(11) 2053-5166</t>
  </si>
  <si>
    <t>6074.2024/0006748-9</t>
  </si>
  <si>
    <t>(11) 99627-5661</t>
  </si>
  <si>
    <t>6074.2024/0006683-0</t>
  </si>
  <si>
    <t>INSTITUTO MENSAGEM DE PAZ</t>
  </si>
  <si>
    <t>05.761.745/0001-97</t>
  </si>
  <si>
    <t>Av. Paulo Ferreira, 3715</t>
  </si>
  <si>
    <t>02915-100</t>
  </si>
  <si>
    <t>(11) 3791-2097 / 2362-8093</t>
  </si>
  <si>
    <t>instituto@mensagemdepaz@org.br</t>
  </si>
  <si>
    <t>www.mensagemdepaz.org.br</t>
  </si>
  <si>
    <t>6074.2024/0006900-7</t>
  </si>
  <si>
    <t>ADONAI CASA DE REPOUSO E RESIDENCIAL PARA IDOSOS LTDA</t>
  </si>
  <si>
    <t>ADONAI CASA DE REPOUSO E RESIDENCIAL PARA IDOSOS</t>
  </si>
  <si>
    <t>11.961.905/0001-44</t>
  </si>
  <si>
    <t>Rua Povos de Guaranis, 240</t>
  </si>
  <si>
    <t>08120-390</t>
  </si>
  <si>
    <t>(11) 2562-0182 / (11) 99822-8972</t>
  </si>
  <si>
    <t>6074.2024/0006894-9</t>
  </si>
  <si>
    <t>LETRAMENTO DIGITAL PARA TERCEIRA IDADE</t>
  </si>
  <si>
    <t>CASA DE REPOUSO LIRIO DA PAZ</t>
  </si>
  <si>
    <t>39.564.725/0001-48</t>
  </si>
  <si>
    <t>Av. Coca, 151</t>
  </si>
  <si>
    <t>08030-000</t>
  </si>
  <si>
    <t>(11)  2513-8793 / (11) 95431-3275</t>
  </si>
  <si>
    <t>arabelaluzcoelho@gmail.com</t>
  </si>
  <si>
    <t>6074.2024/0006899-0</t>
  </si>
  <si>
    <t>CASA DE REPOUSO SAL DA TERRA LTDA</t>
  </si>
  <si>
    <t>CASA DE REPOUSO SAL DA TERRA</t>
  </si>
  <si>
    <t>30.423.186/0001-52</t>
  </si>
  <si>
    <t xml:space="preserve">Rua Salvador Padilha Gimenes, 40 </t>
  </si>
  <si>
    <t>02562-130</t>
  </si>
  <si>
    <t>betemarina@gmail.com</t>
  </si>
  <si>
    <t>6074.2024/0006928-7</t>
  </si>
  <si>
    <t>MARIANA VICTORIA BARBOSA PEREIRA</t>
  </si>
  <si>
    <t>CASA DE REPOUSO GILLEADE</t>
  </si>
  <si>
    <t>38.422.015/0001-10</t>
  </si>
  <si>
    <t>Rua Diogo de Castilho, 190</t>
  </si>
  <si>
    <t>02421-080</t>
  </si>
  <si>
    <t>(11) 94011-8692</t>
  </si>
  <si>
    <t>(11) 99610-7573</t>
  </si>
  <si>
    <t>casa.de.repouso.gilleade2018@gmail.com</t>
  </si>
  <si>
    <t>6074.2024/0006957-0</t>
  </si>
  <si>
    <t>RESIDENCIAL JARDIM DO CARMO</t>
  </si>
  <si>
    <t>10.389.820/0001-70</t>
  </si>
  <si>
    <t>Rua Aranha vasconcelos, 96</t>
  </si>
  <si>
    <t>08275-090</t>
  </si>
  <si>
    <t>(11) 2217-2035 / (11) 98152-0572</t>
  </si>
  <si>
    <t>Residencialjardimdocarmo1@gmail.com</t>
  </si>
  <si>
    <t>6074.2024/0006986-4</t>
  </si>
  <si>
    <t>RESIDENCIAL JARDIM DO CARMO PARA TERCEIRA IDADE LTDA</t>
  </si>
  <si>
    <t>RENOVAI ASSOCIAÇÃO DE ASSISTÊNCIA À FAMÍLIA</t>
  </si>
  <si>
    <t>MÃOS QUE ACOLHEM, MÃOS EM AÇÃO</t>
  </si>
  <si>
    <t>10.157.922/0001-60</t>
  </si>
  <si>
    <t>Rua Bueno de Andrade, 467</t>
  </si>
  <si>
    <t>15260-000</t>
  </si>
  <si>
    <t>(11) 95032-8874</t>
  </si>
  <si>
    <t>raafadm@outlook.com</t>
  </si>
  <si>
    <t>6074.2024/0006987-2</t>
  </si>
  <si>
    <t>6074.2024/0006994-5</t>
  </si>
  <si>
    <t>(11) 3834-4903 / (11) 94758-2955</t>
  </si>
  <si>
    <t>CDI</t>
  </si>
  <si>
    <t>Rua Augustin Luberti, 1053</t>
  </si>
  <si>
    <t>03977-409</t>
  </si>
  <si>
    <t>(11) 2013-0377</t>
  </si>
  <si>
    <t>rh.uniao@terra.com.br</t>
  </si>
  <si>
    <t>6074.2024/0007012-9</t>
  </si>
  <si>
    <t>Rua Texas, 418</t>
  </si>
  <si>
    <t>VIDA HOME CARE SERVIÇOS</t>
  </si>
  <si>
    <t>(11) 5049-0587</t>
  </si>
  <si>
    <t>residencialvidahc@gmail.com</t>
  </si>
  <si>
    <t>www.residencialvida.com</t>
  </si>
  <si>
    <t>6074.2024/0007079-0</t>
  </si>
  <si>
    <t>04641-001</t>
  </si>
  <si>
    <t>6074.2024/0007075-7</t>
  </si>
  <si>
    <t>ESPAÇO INTERGERACIONAL E EDUCACIONAL PARA INCLUSÃO DIGITAL DA PESSOA IDOSA - COMUNICAÇÃO EM MOVIMENTO</t>
  </si>
  <si>
    <t>CDI UNIÃO DA JUTA II</t>
  </si>
  <si>
    <t>080.2/16</t>
  </si>
  <si>
    <t>137.4/17</t>
  </si>
  <si>
    <t>521.2/21</t>
  </si>
  <si>
    <t>ROSA CHA RESIDENCIAL PARA SENHORAS II LTDA</t>
  </si>
  <si>
    <t>51.589.531/0001-00</t>
  </si>
  <si>
    <t>Rua Willy Aureli, 453</t>
  </si>
  <si>
    <t>04789-090</t>
  </si>
  <si>
    <t>(11) 3796-6719</t>
  </si>
  <si>
    <t>6074.2024/0007086-2</t>
  </si>
  <si>
    <t>6074.2024/0007087-0</t>
  </si>
  <si>
    <t>RESIDENCIAL GERIÁTRICO SÃO JOSÉ 2</t>
  </si>
  <si>
    <t xml:space="preserve">ROSA CHA RESIDENCIAL PARA SENHORAS II </t>
  </si>
  <si>
    <t xml:space="preserve">ROSA CHA RESIDENCIAL PARA SENHORAS </t>
  </si>
  <si>
    <t>RESIDENCIAL SENIOR AMOR E VIDA</t>
  </si>
  <si>
    <t>RESIDENCIAL SENIOR AMOR E VIDA LTDA</t>
  </si>
  <si>
    <t>38.184.175/0001-79</t>
  </si>
  <si>
    <t>Rua Diogo Ortiz, 137</t>
  </si>
  <si>
    <t>05077-100</t>
  </si>
  <si>
    <t>(11) 4327-0445</t>
  </si>
  <si>
    <t>amorevidaresidencialsenior@gmail.com</t>
  </si>
  <si>
    <t>6074.2024/0007118-4</t>
  </si>
  <si>
    <t>RESIDENCIAL PARA IDOSOS MANDALA LTDA</t>
  </si>
  <si>
    <t>RESIDENCIAL PARA IDOSOS MANDALA</t>
  </si>
  <si>
    <t>50.804.007/0001-34</t>
  </si>
  <si>
    <t>Rua Homero Sales, 701</t>
  </si>
  <si>
    <t>05126-000</t>
  </si>
  <si>
    <t>(11) 3903-8747</t>
  </si>
  <si>
    <t>daia2525@yahoo.com.br</t>
  </si>
  <si>
    <t>6074.2024/0007120-6</t>
  </si>
  <si>
    <t>Avenida Morumbi, 3574</t>
  </si>
  <si>
    <t>05606-300</t>
  </si>
  <si>
    <t>(11) 3507-5335</t>
  </si>
  <si>
    <t>vilaipe@vilaipe.com.br</t>
  </si>
  <si>
    <t>www.vilaipe.com.br</t>
  </si>
  <si>
    <t>6074.2024/0007150-8</t>
  </si>
  <si>
    <t xml:space="preserve">ASILO LAR DOCE LAR DA TERCEIRA IDADE LTDA </t>
  </si>
  <si>
    <t>Rua Amaro Alves do Rosário, 165</t>
  </si>
  <si>
    <t>05707-000</t>
  </si>
  <si>
    <t>(11) 2901-2200/ (11) 2901-2200</t>
  </si>
  <si>
    <t>(11) 2037-0751</t>
  </si>
  <si>
    <t>(11) 3663 3827</t>
  </si>
  <si>
    <t>(11) 3275-0573 / (11) 99127-2489</t>
  </si>
  <si>
    <t>(11) 2972-9200</t>
  </si>
  <si>
    <t>(11) 4750-2023</t>
  </si>
  <si>
    <t>582.2/22</t>
  </si>
  <si>
    <t>RESIDENCIAL VOVÓ MARGARIDA II</t>
  </si>
  <si>
    <t>36.232.289/0002-00</t>
  </si>
  <si>
    <t>Rua Paulo Maldi, 196</t>
  </si>
  <si>
    <t>(11) 2267-5787</t>
  </si>
  <si>
    <t>6074.2024/0007131-1</t>
  </si>
  <si>
    <t>LAR VOVÓ LUIZA</t>
  </si>
  <si>
    <t>RESIDENCIAL LAR VOVÓ LUIZA</t>
  </si>
  <si>
    <t>50.624.743/0001-00</t>
  </si>
  <si>
    <t>Rua Simão Machado, 60</t>
  </si>
  <si>
    <t>02303-070</t>
  </si>
  <si>
    <t>(11) 93296-0402</t>
  </si>
  <si>
    <t>lidianebianca@hotmail.com</t>
  </si>
  <si>
    <t>6074.2024/0007126-5</t>
  </si>
  <si>
    <t>RESIDENCIAL ESTRELA BRILHANTES PARA IDOSOS LTDA</t>
  </si>
  <si>
    <t>34.413.207/0001-00</t>
  </si>
  <si>
    <t>Rua Doutor Pereira de Resende, 261</t>
  </si>
  <si>
    <t>03558-020</t>
  </si>
  <si>
    <t>(11) 2639-1777</t>
  </si>
  <si>
    <t>residencialestrelasbrilhantes@gmail.com</t>
  </si>
  <si>
    <t>6074.2024/0007124-9</t>
  </si>
  <si>
    <t>LEANDRO DOS SANTOS TAINO</t>
  </si>
  <si>
    <t>RESIDENCIAL SÃO MIGUEL</t>
  </si>
  <si>
    <t>35.012.719/0001-27</t>
  </si>
  <si>
    <t>Rua Professor Antônio Gama de Cerqueira,167</t>
  </si>
  <si>
    <t>08010-130</t>
  </si>
  <si>
    <t>(11) 2058-0448</t>
  </si>
  <si>
    <t>e.assessoriaempresarial@hotmail.com</t>
  </si>
  <si>
    <t>6074.2024/0007122-2</t>
  </si>
  <si>
    <t>753.2/23</t>
  </si>
  <si>
    <t>CURSO DE FORMAÇÃO PARA CUIDADOS E ATENÇÃO INTEGRAL À PESSOA IDOSA</t>
  </si>
  <si>
    <t>Rua Taguá, 88</t>
  </si>
  <si>
    <t>01508-010</t>
  </si>
  <si>
    <t>(11) 3545-0900</t>
  </si>
  <si>
    <t>6074.2024/0007152-4</t>
  </si>
  <si>
    <t>www.adra.org.br/</t>
  </si>
  <si>
    <t>RESIDENCIAL NOVO LAR LTDA</t>
  </si>
  <si>
    <t>CASA DE REPOUSO NOVO LAR</t>
  </si>
  <si>
    <t>53.165.986/0001-16</t>
  </si>
  <si>
    <t>Avenida Agenor Couto Magalhães, 319</t>
  </si>
  <si>
    <t xml:space="preserve">Jardim Regina </t>
  </si>
  <si>
    <t>(11) 4327-5328</t>
  </si>
  <si>
    <t>novolarresidencial@outlook.com</t>
  </si>
  <si>
    <t>6074.2024/0007168-0</t>
  </si>
  <si>
    <t>(11) 5063-3743</t>
  </si>
  <si>
    <t>contato@jardimdasaude.com</t>
  </si>
  <si>
    <t>6074.2024/0007195-8</t>
  </si>
  <si>
    <t>RESIDENCIAL PARA IDOSOS SOPHIA LTDA</t>
  </si>
  <si>
    <t>31.428.522/0001-12</t>
  </si>
  <si>
    <t>Avenida do Anastácio, 1820</t>
  </si>
  <si>
    <t>05119-000</t>
  </si>
  <si>
    <t>City América</t>
  </si>
  <si>
    <t>(11) 2532-4948</t>
  </si>
  <si>
    <t>residencialidosos.sophia@gmail.com</t>
  </si>
  <si>
    <t>www.residencialsophia.com.br</t>
  </si>
  <si>
    <t>6074.2024/0007211-3</t>
  </si>
  <si>
    <t>05.461.315/0002-30</t>
  </si>
  <si>
    <t>(31) 3290-8000 / (11) 9967-3270</t>
  </si>
  <si>
    <t>6074.2024/0007212-1</t>
  </si>
  <si>
    <t xml:space="preserve">RESIDENCIAL PARA IDOSOS VINTAGE MONUMENTO </t>
  </si>
  <si>
    <t>RESIDENCIAL E CENTRO DE CONVIVÊNCIA  PARA IDOSOS VINTAGE MONUMENTO LTDA</t>
  </si>
  <si>
    <t>52.755.490/0001-30</t>
  </si>
  <si>
    <t>Rua Matinada, 81</t>
  </si>
  <si>
    <t>6074.2024/0007237-7</t>
  </si>
  <si>
    <t>ASSOCIAÇÃO COMUNITÁRIA DAS MULHERES DO MOVIMENTO SEM TERRA DE ERMELINO MATARAZZO</t>
  </si>
  <si>
    <t>NCI VÓ NEUZA</t>
  </si>
  <si>
    <t>68.478.791/0001-01</t>
  </si>
  <si>
    <t>Rua Barão de Calera, 8</t>
  </si>
  <si>
    <t>08070-050</t>
  </si>
  <si>
    <t>(11) 2956-6785</t>
  </si>
  <si>
    <t>mulheres.semtera@gmail.com</t>
  </si>
  <si>
    <t>6074.2024/0007238-5</t>
  </si>
  <si>
    <t>RESIDENCIAL LAR DO CUIDAR LTDA</t>
  </si>
  <si>
    <t>35.316.847/0001-64</t>
  </si>
  <si>
    <t>Rua Pedro Morganti, 102</t>
  </si>
  <si>
    <t>04020-070</t>
  </si>
  <si>
    <t>(11) 3586-8825</t>
  </si>
  <si>
    <t>residenciallardocuidar@gmailcom</t>
  </si>
  <si>
    <t>6074.2024/0007251-2</t>
  </si>
  <si>
    <t>NOSSO LAR RESIDENCIAL SENIOR LTDA</t>
  </si>
  <si>
    <t xml:space="preserve">NOSSO LAR RESIDENCIAL SENIOR </t>
  </si>
  <si>
    <t>54.314.991/0001-06</t>
  </si>
  <si>
    <t>Rua Cantagalo, 1870</t>
  </si>
  <si>
    <t>03319-001</t>
  </si>
  <si>
    <t>(11) 2294-3553</t>
  </si>
  <si>
    <t>contato@contabilidadeassis.com.br</t>
  </si>
  <si>
    <t>6074.2024/0007275-0</t>
  </si>
  <si>
    <t>CENTRO VIDA LAR PARA IDOSOS LTDA</t>
  </si>
  <si>
    <t>VIVER BEM</t>
  </si>
  <si>
    <t>54.423.060/0001-46</t>
  </si>
  <si>
    <t>Rua Forte do Guará, 115</t>
  </si>
  <si>
    <t>04865-100</t>
  </si>
  <si>
    <t>Jd. Iporã</t>
  </si>
  <si>
    <t>(11) 99551-5135</t>
  </si>
  <si>
    <t>centrovidaadm@gmail.com</t>
  </si>
  <si>
    <t>6074.2024/0007312-8</t>
  </si>
  <si>
    <t>Rua Mafalda, 834</t>
  </si>
  <si>
    <t>03377-010</t>
  </si>
  <si>
    <t>(11) 93801-1006</t>
  </si>
  <si>
    <t>www.hospitalarcasaderepouso.com.br</t>
  </si>
  <si>
    <t>6074.2024/0007321-7</t>
  </si>
  <si>
    <t>adm.chpprime@gmail.com</t>
  </si>
  <si>
    <t>6074.2024/0007389-6</t>
  </si>
  <si>
    <t>TRAJETÓRIAS, IDENTIDADES E VIVÊNCIAS: DESENVOLVIMENTO SOCIOEDUCATIVO E CULTURAL DA PESSOA IDOSA</t>
  </si>
  <si>
    <t>14.166.950/0001-03</t>
  </si>
  <si>
    <t>Avenida Utaro Kanai, 239</t>
  </si>
  <si>
    <t>08465-000</t>
  </si>
  <si>
    <t>(11) 98019-5156</t>
  </si>
  <si>
    <t>crica.diretoria@gmail.com</t>
  </si>
  <si>
    <t>6074.2024/0007420-5</t>
  </si>
  <si>
    <t>L.F. MACHADO SOCIEDADE UNIPESSOAL LTDA</t>
  </si>
  <si>
    <t>CLÍNICA DE REPOUSO PLENITUDE</t>
  </si>
  <si>
    <t>12.759.102/0001-74</t>
  </si>
  <si>
    <t>Rua Coronel Joviniano Brandão, 518</t>
  </si>
  <si>
    <t>03127-135</t>
  </si>
  <si>
    <t xml:space="preserve">(11) 98622-6371 </t>
  </si>
  <si>
    <t>leandromachadolfmm@gmail.com</t>
  </si>
  <si>
    <t>6074.2024/0007422-1</t>
  </si>
  <si>
    <t>ANÁLIA RESIDENCIAL SENIOR LTDA</t>
  </si>
  <si>
    <t>TERÇA DA SERRA ANÁLIA FRANCO</t>
  </si>
  <si>
    <t>49.870.674/0001-36</t>
  </si>
  <si>
    <t>Rua Marechal Barbacena, 1307</t>
  </si>
  <si>
    <t>03333-000</t>
  </si>
  <si>
    <t>luigibalbi@gmail.com</t>
  </si>
  <si>
    <t>6074.2024/0007441-8</t>
  </si>
  <si>
    <t>6074.2024/0007449-3</t>
  </si>
  <si>
    <t>CASA DE REPOUSO AMOR POR VIDAS LTDA</t>
  </si>
  <si>
    <t>CASA DE REPOUSO AMOR POR VIDAS</t>
  </si>
  <si>
    <t>45.526.524/0001-59</t>
  </si>
  <si>
    <t>Rua Moe,93</t>
  </si>
  <si>
    <t>03660-040</t>
  </si>
  <si>
    <t>(11) 2791-8085</t>
  </si>
  <si>
    <t>casaderepousoamorporvidas@gmail.com</t>
  </si>
  <si>
    <t>www.amorporvidas.com</t>
  </si>
  <si>
    <t>6074.2024/0007451-5</t>
  </si>
  <si>
    <t>00.379.579/0001-45</t>
  </si>
  <si>
    <t>Rua Onze de Fevereiro, 362</t>
  </si>
  <si>
    <t>(11) 5588-4926</t>
  </si>
  <si>
    <t>casaderepousoadonai362@gmail.com</t>
  </si>
  <si>
    <t>www.homeadonai.com.br</t>
  </si>
  <si>
    <t>6074.2024/0007454-0</t>
  </si>
  <si>
    <t xml:space="preserve">RESIDENCIAL PARA IDOSOS JARDIM DA SAÚDE </t>
  </si>
  <si>
    <t>CASA DE REPOUSO PREMIUM</t>
  </si>
  <si>
    <t>27.162.183/0001-06</t>
  </si>
  <si>
    <t>Rua José Ramazini de Oliveira, 84</t>
  </si>
  <si>
    <t>08220-630</t>
  </si>
  <si>
    <t>Jardim Liderança</t>
  </si>
  <si>
    <t>(11) 97290-2458</t>
  </si>
  <si>
    <t>crepousopremium@gmail.com</t>
  </si>
  <si>
    <t>6074.2024/0007593-7</t>
  </si>
  <si>
    <t>CASA DE REPOUSO ARCO ÍRIS</t>
  </si>
  <si>
    <t>Rua Ferdinando Ramponi, 373</t>
  </si>
  <si>
    <t>08270-530</t>
  </si>
  <si>
    <t>33.642.455/0001-60</t>
  </si>
  <si>
    <t xml:space="preserve">Rua Dona Elisa de Moraes Mendes, nº 250  </t>
  </si>
  <si>
    <t>05449-000</t>
  </si>
  <si>
    <t>www.residencialmerces.com.br</t>
  </si>
  <si>
    <t>6074.2024/0007661-5</t>
  </si>
  <si>
    <t>60.671.963/0002-20</t>
  </si>
  <si>
    <t>02251-000</t>
  </si>
  <si>
    <t>CASA DE REPOUSO DA MELHOR IDADE</t>
  </si>
  <si>
    <t>08.962.462/0001-00</t>
  </si>
  <si>
    <t>Rua Imbarié, 100/104</t>
  </si>
  <si>
    <t>03134-070</t>
  </si>
  <si>
    <t>(11) 2088-8465</t>
  </si>
  <si>
    <t>casaderepousomeelhoridade@gmail.com</t>
  </si>
  <si>
    <t>6074.2024/0007660-7</t>
  </si>
  <si>
    <t>ASSOCIAÇÃO CRISTÃ BENEFICENTE DO BRASIL</t>
  </si>
  <si>
    <t>BEM-ESTAR DO IDOSO</t>
  </si>
  <si>
    <t>09.066.012/0001-93</t>
  </si>
  <si>
    <t>Rua Helmuth Rocker, 1100</t>
  </si>
  <si>
    <t>04891-000</t>
  </si>
  <si>
    <t>(11) 5679-8345</t>
  </si>
  <si>
    <t>acbb.org@gmail.com</t>
  </si>
  <si>
    <t>www.acbb.org.br</t>
  </si>
  <si>
    <t>6074.2024/0007794-8</t>
  </si>
  <si>
    <t>E.R. DO NASCIMENTO - PENSIONATO</t>
  </si>
  <si>
    <t>PENSIONATO BELÍSSIMA</t>
  </si>
  <si>
    <t>19.847.528/0001-19</t>
  </si>
  <si>
    <t>Av. João Nery de Carvalho, 447</t>
  </si>
  <si>
    <t>08021-070</t>
  </si>
  <si>
    <t>Vila Rosário</t>
  </si>
  <si>
    <t>(11) 2058-2247</t>
  </si>
  <si>
    <t>pensionatobelissima@hotmail.com</t>
  </si>
  <si>
    <t>6074.2024/0007805-7</t>
  </si>
  <si>
    <t>CASA DE REPOUSO ELITE</t>
  </si>
  <si>
    <t>Rua Doutor Franco da Rocha, 50</t>
  </si>
  <si>
    <t>05015-040</t>
  </si>
  <si>
    <t>(11) 3862-7836</t>
  </si>
  <si>
    <t>www.casaderepousoelite</t>
  </si>
  <si>
    <t>6074.2024/0007807-3</t>
  </si>
  <si>
    <t>HOSPITALAR PRIME CASA DE REPOUSO LTDA</t>
  </si>
  <si>
    <t>HOSPITALAR PRIME CASA DE REPOUSO</t>
  </si>
  <si>
    <t>RESIDENCIAL PARA IDOSOS JARDIM DA SAÚDE  LTDA</t>
  </si>
  <si>
    <t>RESIDENCIAL ESTRELA BRILHANTES PARA IDOSOS</t>
  </si>
  <si>
    <t>RESIDENCIAL PARA IDOSOS SOPHIA</t>
  </si>
  <si>
    <t>RESIDENCIAL LAR DO CUIDAR</t>
  </si>
  <si>
    <t>CENTRO DE REFERÊNCIA AO IDOSO, CRIANÇA E ADOLESCENTE</t>
  </si>
  <si>
    <t>MML DA SILVA PENSIONATO</t>
  </si>
  <si>
    <t>centrodeconvivenciaparaidosos@gmail.com</t>
  </si>
  <si>
    <t>DIAS PIRES RESIDENCIAL DE SENHORAS LTDA</t>
  </si>
  <si>
    <t>53.571.432/0001-19</t>
  </si>
  <si>
    <t>Av. Afrânio Peixoto, 446</t>
  </si>
  <si>
    <t>05507-000</t>
  </si>
  <si>
    <t>(11) 4327-5721</t>
  </si>
  <si>
    <t>contato@famresidencial.com.br</t>
  </si>
  <si>
    <t>6074.2024/0008193-7</t>
  </si>
  <si>
    <t>FAM INSTITUIÇÃO DE LONGA PERMANÊNCIA PARA IDOSAS</t>
  </si>
  <si>
    <t>RESIDENCIAL BEM VIVER</t>
  </si>
  <si>
    <t>casaderepousobemviver@gmail.com</t>
  </si>
  <si>
    <t>www.bemviverparaidosos.com.br</t>
  </si>
  <si>
    <t>6074.2024/0008249-6</t>
  </si>
  <si>
    <t>INSTITUTO CULTURAL E ESPORTIVO HAND MARIA</t>
  </si>
  <si>
    <t>FISIOTERAPIA AQUÁTICA INTEGRADA À PESSOA IDOSA</t>
  </si>
  <si>
    <t>34.731.245/0001-00</t>
  </si>
  <si>
    <t>Rua José Ferreira Crespo, 475</t>
  </si>
  <si>
    <t>08021-480</t>
  </si>
  <si>
    <t>Jardim São Vicente</t>
  </si>
  <si>
    <t>(11) 95439-9259</t>
  </si>
  <si>
    <t>institutohandmaria@gmail.com</t>
  </si>
  <si>
    <t>6074.2024/0008281-0</t>
  </si>
  <si>
    <t>Rua Domingos Lopes, 427</t>
  </si>
  <si>
    <t>04606-050</t>
  </si>
  <si>
    <t>(11) 95870-6208</t>
  </si>
  <si>
    <t>casacampobelo@hotmail.com</t>
  </si>
  <si>
    <t>6074.2024/0008283-6</t>
  </si>
  <si>
    <t>PRESTADORA DE SERVIÇOS DE SAÚDE P&amp;R LTDA</t>
  </si>
  <si>
    <t>31.481.092/0001-00</t>
  </si>
  <si>
    <t>Rua Tapirapés, 41</t>
  </si>
  <si>
    <t>04463-040</t>
  </si>
  <si>
    <t>Balneário Mar Paulista</t>
  </si>
  <si>
    <t>(11) 2309-0656</t>
  </si>
  <si>
    <t>elianaprsantos@gmail.com</t>
  </si>
  <si>
    <t>6074.2024/0008288-7</t>
  </si>
  <si>
    <t>RESIDENCIAL GERIÁTRICO VIVER A VIDA</t>
  </si>
  <si>
    <t>PENSIONATO REZENDE LTDA</t>
  </si>
  <si>
    <t>17.891.653/0001-00</t>
  </si>
  <si>
    <t>Rua Inácio Maciel, 113</t>
  </si>
  <si>
    <t>08060-010</t>
  </si>
  <si>
    <t>Vila Jacuí</t>
  </si>
  <si>
    <t>(11) 2031-4474</t>
  </si>
  <si>
    <t>pensionatorezende@outlook.com.br</t>
  </si>
  <si>
    <t>6074.2024/0008350-6</t>
  </si>
  <si>
    <t>02342-010</t>
  </si>
  <si>
    <t>CASA DE REPOUSO SOLAR LTDA</t>
  </si>
  <si>
    <t>CASA DE REPOUSO DAS AZALEIAS LTDA</t>
  </si>
  <si>
    <t>04.225.889/0001-66</t>
  </si>
  <si>
    <t>Rua Tomé de Souza, 1347</t>
  </si>
  <si>
    <t>(11) 36413757</t>
  </si>
  <si>
    <t>contato@casaderepousodasazaleias.com.br</t>
  </si>
  <si>
    <t>www.casaderepousodasazaleias.com.br</t>
  </si>
  <si>
    <t>6074.2024/0008518-5</t>
  </si>
  <si>
    <t xml:space="preserve">CASTELINHO </t>
  </si>
  <si>
    <t>JCS RESIDENCIAL DE IDOSOS LTDA</t>
  </si>
  <si>
    <t>RESIDENCIAL JOSÉ E MARIA</t>
  </si>
  <si>
    <t>55.152.992/0001-64</t>
  </si>
  <si>
    <t>Rua Clarice Bueno de Mirando, 33</t>
  </si>
  <si>
    <t>08042-100</t>
  </si>
  <si>
    <t>Cidade Nova São Miguel</t>
  </si>
  <si>
    <t>(11) 3459-7227</t>
  </si>
  <si>
    <t>6074.2024/0008535-5</t>
  </si>
  <si>
    <t>residencialjoseemaria2024@gmail.com</t>
  </si>
  <si>
    <t>VILA SÃO VICENTE DE PAULO</t>
  </si>
  <si>
    <t xml:space="preserve">60.904.711/0001-12 </t>
  </si>
  <si>
    <t>01107-020</t>
  </si>
  <si>
    <t>Ponte Pequena</t>
  </si>
  <si>
    <t>Rua Vitor AIrosa, n° 259</t>
  </si>
  <si>
    <t>3227-2102/ 96636-4797</t>
  </si>
  <si>
    <t>contabilidadealvesbarbosa@outlook.com</t>
  </si>
  <si>
    <t>6074.2024/0008543-6</t>
  </si>
  <si>
    <t>Av. Vereador José Diniz, 2192</t>
  </si>
  <si>
    <t>(11) 5531-2109</t>
  </si>
  <si>
    <t>administrativo@residencialnewcare.com.br</t>
  </si>
  <si>
    <t>6074.2024/0008634-3</t>
  </si>
  <si>
    <t>CONFICARE CASA DE REPOUSO - INSTITUIÇÃO DE LONGA PERMANÊNCIA PARA IDOSOS LTDA</t>
  </si>
  <si>
    <t>CONFICARE RESIDENCIAL</t>
  </si>
  <si>
    <t>29.753.781/0001-77</t>
  </si>
  <si>
    <t>Rua Guedes Nogueira, 79</t>
  </si>
  <si>
    <t>01551-050</t>
  </si>
  <si>
    <t>(11) 2021-4690</t>
  </si>
  <si>
    <t>conficareresidencial@gmail.com</t>
  </si>
  <si>
    <t>6074.2024/0008638-6</t>
  </si>
  <si>
    <t>6074.2024/0008659-9</t>
  </si>
  <si>
    <t>RESIDENCIAL SÊNIOR NOSSA FAMÍLIA LTDA</t>
  </si>
  <si>
    <t>RESIDENCIAL SÊNIOR NOSSA FAMÍLIA</t>
  </si>
  <si>
    <t>20.645.592/0001-06</t>
  </si>
  <si>
    <t>Rua Nazaré da Mota, 145</t>
  </si>
  <si>
    <t>03550-030</t>
  </si>
  <si>
    <t>residencialsnf@gmail.com</t>
  </si>
  <si>
    <t>UM LUGAR DE PAZ</t>
  </si>
  <si>
    <t xml:space="preserve">Avenida Nova Cantareira, nº 1.149 </t>
  </si>
  <si>
    <t>02331-002</t>
  </si>
  <si>
    <t>6074.2024/0008736-6</t>
  </si>
  <si>
    <t>SÃO LUCAS PREMIUM CARE LTDA</t>
  </si>
  <si>
    <t>PREMIUM CARE SÃO LUCAS</t>
  </si>
  <si>
    <t>52.959.209/0001-80</t>
  </si>
  <si>
    <t>Avenida Arnolfo Azevedo, 159</t>
  </si>
  <si>
    <t>01236-030</t>
  </si>
  <si>
    <t>6074.2024/0008762-5</t>
  </si>
  <si>
    <t>RESIDENCIAL PRÓ-VITA</t>
  </si>
  <si>
    <t xml:space="preserve">Rua Iubatinga, 258 </t>
  </si>
  <si>
    <t>05716-110</t>
  </si>
  <si>
    <t>Vila Andrade</t>
  </si>
  <si>
    <t>(11) 3053-9600</t>
  </si>
  <si>
    <t>www.residencialprovita.com.br</t>
  </si>
  <si>
    <t>6074.2024/0008876-1</t>
  </si>
  <si>
    <t>(11) 3053-9601</t>
  </si>
  <si>
    <t xml:space="preserve">Rua Doutor Fonseca Brasil, nº 201 </t>
  </si>
  <si>
    <t>05716-060</t>
  </si>
  <si>
    <t>6074.2024/0008877-0</t>
  </si>
  <si>
    <t xml:space="preserve">MAIS SAÚDE MELHOR IDADE INSTITUIÇÃO DE LONGA PERMANÊNCIA PARA IDOSOS LTDA </t>
  </si>
  <si>
    <t>Rua Jerônima Dias, nº 276</t>
  </si>
  <si>
    <t>02407-000</t>
  </si>
  <si>
    <t>(11) 2950-2360 / (11) 99900-3338</t>
  </si>
  <si>
    <t>atendimento@maissaudemi.com.br</t>
  </si>
  <si>
    <t>6074.2024/0008886-9</t>
  </si>
  <si>
    <t>GRUPO MALUNGO - IRMÃOS DE VIAGEM</t>
  </si>
  <si>
    <t>CULTURA AFRO-BRASILEIRA E A PRÁXIS DA CAPOEIRA NA PREVENÇÃO DE DOENÇAS E MELHORIA DA QUALIDADE DE VIDA DA PESSOA IDOSA</t>
  </si>
  <si>
    <t>05.153.824/0001-15</t>
  </si>
  <si>
    <t>6074.2024/0008974-1</t>
  </si>
  <si>
    <t>(11) 99786-2696</t>
  </si>
  <si>
    <t>josoel.vitalino@gmail.com</t>
  </si>
  <si>
    <t>HILDA MOREIRA DE BARROS CASA DE REPOUSO</t>
  </si>
  <si>
    <t>CASA DE REPOUSO TRÊS CORAÇÕES</t>
  </si>
  <si>
    <t>23.456.381/0001-13</t>
  </si>
  <si>
    <t>Rua dos Cambuis, 183</t>
  </si>
  <si>
    <t>04346-070</t>
  </si>
  <si>
    <t>(11) 5017-8320</t>
  </si>
  <si>
    <t>casaderepousotrescoracoes@gmail.com</t>
  </si>
  <si>
    <t>6074.2024/0008989-0</t>
  </si>
  <si>
    <t>INSTITUTO SOCIAL E EDUCACIONAL FLORESCER</t>
  </si>
  <si>
    <t>30.352.418/0001-29</t>
  </si>
  <si>
    <t>Rua José de Lima, 181</t>
  </si>
  <si>
    <t>08380-054</t>
  </si>
  <si>
    <t>Jardim Roseli</t>
  </si>
  <si>
    <t>(11) 2253-6218</t>
  </si>
  <si>
    <t>iseflorescer@gmail.com</t>
  </si>
  <si>
    <t>www.isef.org.br</t>
  </si>
  <si>
    <t>6074.2024/0009024-3</t>
  </si>
  <si>
    <t>52.750.129/0001-10</t>
  </si>
  <si>
    <t>04048-061</t>
  </si>
  <si>
    <t>(11) 99202-9366</t>
  </si>
  <si>
    <t>www.residencialvioleta.com.br</t>
  </si>
  <si>
    <t>renatur07@gmail.com</t>
  </si>
  <si>
    <t>6074.2024/0009085-5</t>
  </si>
  <si>
    <t>RESIDENCIAL SÊNIOR PAINEIRA ROSA LTDA</t>
  </si>
  <si>
    <t>RESIDENCIAL SÊNIOR CATTLEYA DE VILLE</t>
  </si>
  <si>
    <t>49.760.483/0001-11</t>
  </si>
  <si>
    <t>Rua Professor José Maria Calazans, 203</t>
  </si>
  <si>
    <t>05122-010</t>
  </si>
  <si>
    <t>(11) 94403-1950</t>
  </si>
  <si>
    <t>setubalfrancislenecostasetubal@gmail.com</t>
  </si>
  <si>
    <t>6074.2024/0009118-5</t>
  </si>
  <si>
    <t>02409-040</t>
  </si>
  <si>
    <t>RESIDENCIAL MARIA E JOSÉ LTDA</t>
  </si>
  <si>
    <t>RESIDENCIAL MARIA E JOSÉ</t>
  </si>
  <si>
    <t xml:space="preserve"> - </t>
  </si>
  <si>
    <t>LAR DE IDOSOS VÓ LIRA</t>
  </si>
  <si>
    <t xml:space="preserve">Rua Barão de Passagem, nº 185 </t>
  </si>
  <si>
    <t>05087-000</t>
  </si>
  <si>
    <t>Bela Aliança</t>
  </si>
  <si>
    <t>(11) 3831-2271</t>
  </si>
  <si>
    <t>casaderepousoalvorecer7@gmail.com</t>
  </si>
  <si>
    <t>6074.2024/0009152-5</t>
  </si>
  <si>
    <t>MEIRE'S HAUS CASA DE REPOUSO LTDA</t>
  </si>
  <si>
    <t>MEIRE'S HAUS</t>
  </si>
  <si>
    <t>64.030.281/0001-08</t>
  </si>
  <si>
    <t>Rua Fonte do Salgueiro, 80</t>
  </si>
  <si>
    <t>04826-250</t>
  </si>
  <si>
    <t>Jardim Sertãozinho</t>
  </si>
  <si>
    <t>(11) 992071424</t>
  </si>
  <si>
    <t>marthasena@meireshaus.com.br</t>
  </si>
  <si>
    <t>www.meireshaus.com.br</t>
  </si>
  <si>
    <t>6074.2024/0009154-1</t>
  </si>
  <si>
    <t>6074.2024/0009157-6</t>
  </si>
  <si>
    <t>RESIDENCIAL MÃE TERESA UNIDADE 2 LTDA</t>
  </si>
  <si>
    <t>RESIDENCIAL MÃE TERESA</t>
  </si>
  <si>
    <t>54.768.749/0001-02</t>
  </si>
  <si>
    <t>Rua Barra Mansa, 409</t>
  </si>
  <si>
    <t>02337-040</t>
  </si>
  <si>
    <t>(11) 98414-0581</t>
  </si>
  <si>
    <t>marcosramosdejesus27@gmail.com</t>
  </si>
  <si>
    <t>6074.2024/0009189-4</t>
  </si>
  <si>
    <t>NCI ISEF</t>
  </si>
  <si>
    <t>RESIDENCIAL PARA IDOSOS VIOLETA SÊNIOR LTDA</t>
  </si>
  <si>
    <t>RESIDENCIAL PARA IDOSOS VIOLETA SÊNIOR</t>
  </si>
  <si>
    <t>856/24</t>
  </si>
  <si>
    <t>857/24</t>
  </si>
  <si>
    <t>858/24</t>
  </si>
  <si>
    <t>860/24</t>
  </si>
  <si>
    <t>859/24</t>
  </si>
  <si>
    <t>861/24</t>
  </si>
  <si>
    <t>862/24</t>
  </si>
  <si>
    <t>863/24</t>
  </si>
  <si>
    <t>864/24</t>
  </si>
  <si>
    <t>865/24</t>
  </si>
  <si>
    <t>866/24</t>
  </si>
  <si>
    <t>868/24</t>
  </si>
  <si>
    <t>912/24</t>
  </si>
  <si>
    <t>911/24</t>
  </si>
  <si>
    <t>910/24</t>
  </si>
  <si>
    <t>909/24</t>
  </si>
  <si>
    <t>908/24</t>
  </si>
  <si>
    <t>907/24</t>
  </si>
  <si>
    <t>906/24</t>
  </si>
  <si>
    <t>905/24</t>
  </si>
  <si>
    <t>904/24</t>
  </si>
  <si>
    <t>903/24</t>
  </si>
  <si>
    <t>902/24</t>
  </si>
  <si>
    <t>901/24</t>
  </si>
  <si>
    <t>900/24</t>
  </si>
  <si>
    <t>899/24</t>
  </si>
  <si>
    <t>898/24</t>
  </si>
  <si>
    <t>897/24</t>
  </si>
  <si>
    <t>896/24</t>
  </si>
  <si>
    <t>895/24</t>
  </si>
  <si>
    <t>894/24</t>
  </si>
  <si>
    <t>893/24</t>
  </si>
  <si>
    <t>892/24</t>
  </si>
  <si>
    <t>891/24</t>
  </si>
  <si>
    <t>890/24</t>
  </si>
  <si>
    <t>889/24</t>
  </si>
  <si>
    <t>888/24</t>
  </si>
  <si>
    <t>887/24</t>
  </si>
  <si>
    <t>886/24</t>
  </si>
  <si>
    <t>885/24</t>
  </si>
  <si>
    <t>884/24</t>
  </si>
  <si>
    <t>882/24</t>
  </si>
  <si>
    <t>881/24</t>
  </si>
  <si>
    <t>880/24</t>
  </si>
  <si>
    <t>879/24</t>
  </si>
  <si>
    <t>878/24</t>
  </si>
  <si>
    <t>877/24</t>
  </si>
  <si>
    <t>876/24</t>
  </si>
  <si>
    <t>875/24</t>
  </si>
  <si>
    <t>874/24</t>
  </si>
  <si>
    <t>873/24</t>
  </si>
  <si>
    <t>872/24</t>
  </si>
  <si>
    <t>871/24</t>
  </si>
  <si>
    <t>870/24</t>
  </si>
  <si>
    <t>869/24</t>
  </si>
  <si>
    <t>NEW CARE RESIDENCIAL</t>
  </si>
  <si>
    <t>NCI RAPOSO TAVARES</t>
  </si>
  <si>
    <t>RESIDENCIAL PRÓ-VITA (FILIAL)</t>
  </si>
  <si>
    <t>913/24</t>
  </si>
  <si>
    <t>GUILHERME ROMANO MENDES</t>
  </si>
  <si>
    <t>VENEZA - INSTITUIÇÃO DE LONGA PERMANÊNCIA PARA IDOSOS</t>
  </si>
  <si>
    <t>32.219.517/0001-62</t>
  </si>
  <si>
    <t>Rua Tomé de Souza, 1301</t>
  </si>
  <si>
    <t>(11) 3831-9665</t>
  </si>
  <si>
    <t>daniel@residencialveneza.com.br</t>
  </si>
  <si>
    <t>www.residencialveneza.com.br</t>
  </si>
  <si>
    <t>6074.2024/0009270-0</t>
  </si>
  <si>
    <t>CASA DE REPOUSO PARQUE DO CARMO LTDA</t>
  </si>
  <si>
    <t>CASA DE REPOUSO PARQUE DO CARMO</t>
  </si>
  <si>
    <t>19.313.558/0001-55</t>
  </si>
  <si>
    <t>Rua Marcondes Homem de Melo, 270</t>
  </si>
  <si>
    <t>08275-030</t>
  </si>
  <si>
    <t>(11) 4562-6224</t>
  </si>
  <si>
    <t>contato@repousoparquedocarmo.com.br</t>
  </si>
  <si>
    <t>6074.2024/0009279-3</t>
  </si>
  <si>
    <t xml:space="preserve">RUA MARIA ADELAIDE,223 </t>
  </si>
  <si>
    <t>VILA REGENTE FEIJO</t>
  </si>
  <si>
    <t>03346-110</t>
  </si>
  <si>
    <t>915/24</t>
  </si>
  <si>
    <t>INSTITUIÇÃO DE LONGA PERMANÊNCIA PARA IDOSOS ALEGRIA DOS VOVOS LTDA</t>
  </si>
  <si>
    <t>ALEGRIA DOS VOVOS</t>
  </si>
  <si>
    <t>Rua dos Espigueiros, 98</t>
  </si>
  <si>
    <t>Vila Portuguesa</t>
  </si>
  <si>
    <t>03987-110</t>
  </si>
  <si>
    <t>(11) 983050686</t>
  </si>
  <si>
    <t>6074.2024/0009298-0</t>
  </si>
  <si>
    <t>sabrinacdm1237@gmail.com marmonmachados@gmail.com</t>
  </si>
  <si>
    <t>55.325.568/0001-74</t>
  </si>
  <si>
    <t>Rua Pedro Marigliani 394-396-398</t>
  </si>
  <si>
    <t xml:space="preserve"> 05141-010</t>
  </si>
  <si>
    <t>(11) 94573-3374</t>
  </si>
  <si>
    <t>004.1/13</t>
  </si>
  <si>
    <t>NCI IMBUIAS</t>
  </si>
  <si>
    <t>SOCIEDADE BENEFICENTE EQUILIBRIO DE INTERLAGOS - SOBEI</t>
  </si>
  <si>
    <t>Rua Rodrigues Barbosa, nº 137</t>
  </si>
  <si>
    <t>6074.2022/0007164-4</t>
  </si>
  <si>
    <t>6074.2024/0010076-1</t>
  </si>
  <si>
    <t>6074.2024/0010095-8</t>
  </si>
  <si>
    <t>MAIS VIDA, CENTRO DE CONVIVENCIA, APOIO E ESTADIA PARA IDOSOS LTDA</t>
  </si>
  <si>
    <t>02.537.887/0008-53</t>
  </si>
  <si>
    <t>NCI IRMÃ IDELFRANCA</t>
  </si>
  <si>
    <t>OFICINAS DA ESPERANÇA</t>
  </si>
  <si>
    <t>Rua Cláudio Soares, 167</t>
  </si>
  <si>
    <t>05422-030</t>
  </si>
  <si>
    <t>parceria.pmsp@adventistas.org</t>
  </si>
  <si>
    <t>6074.2024/0009531-8</t>
  </si>
  <si>
    <t>753.3/23</t>
  </si>
  <si>
    <t>914.2/24</t>
  </si>
  <si>
    <t>CASA DE REPOUSO PARQUE DO CARMO UNIDADE 2</t>
  </si>
  <si>
    <t>19.313.558/0002-36</t>
  </si>
  <si>
    <t>08275-110</t>
  </si>
  <si>
    <t>www.repousoparquedocarmo.com.br</t>
  </si>
  <si>
    <t>6074.2024/0009578-4</t>
  </si>
  <si>
    <t>914.3/24</t>
  </si>
  <si>
    <t>CASA DE REPOUSO PARQUE DO CARMO UNIDADE 3</t>
  </si>
  <si>
    <t>19.313.558/0003-17</t>
  </si>
  <si>
    <t>Rua Roberto de Almeida, 276</t>
  </si>
  <si>
    <t>Rua Luiz de Toledo Piza, 580</t>
  </si>
  <si>
    <t>08275-070</t>
  </si>
  <si>
    <t>6074.2024/0009579-2</t>
  </si>
  <si>
    <t>Rua Santo Antônio do Cântaro, 32</t>
  </si>
  <si>
    <t>04829-090</t>
  </si>
  <si>
    <t>Jardim Bela Vista</t>
  </si>
  <si>
    <t>(11) 5973-6034</t>
  </si>
  <si>
    <t xml:space="preserve">sobei@sobei.org.com.br </t>
  </si>
  <si>
    <t>6074.2024/0009788-4</t>
  </si>
  <si>
    <t>CENTRO DE CONVIVÊNCIA, CIDADANIA E DEFESA DE DIREITOS DA PESSOA IDOSA</t>
  </si>
  <si>
    <t>01019-020</t>
  </si>
  <si>
    <t>(11) 3806-1151</t>
  </si>
  <si>
    <t xml:space="preserve">funsai@funsai.org.br </t>
  </si>
  <si>
    <t xml:space="preserve">Rua Domingos Lopes da Silva, nº 281 </t>
  </si>
  <si>
    <t>05641-030</t>
  </si>
  <si>
    <t>(11) 3739-2620</t>
  </si>
  <si>
    <t>financeiro.hanami@gmail.com</t>
  </si>
  <si>
    <t>www.hanamiresidencial.com.br</t>
  </si>
  <si>
    <t>6074.2024/0010242-0</t>
  </si>
  <si>
    <t>VIVERE</t>
  </si>
  <si>
    <t>ILPI PADRE GEORGE VINCENT COOR</t>
  </si>
  <si>
    <t xml:space="preserve">Rua Tenente Miguel Délia, 100 </t>
  </si>
  <si>
    <t>coordenacaoidelfranca@gmail.com</t>
  </si>
  <si>
    <t>6074.2024/0009790-6</t>
  </si>
  <si>
    <t>Rua Edalberto dos Santos, 313</t>
  </si>
  <si>
    <t>6074.2024/0010193-8</t>
  </si>
  <si>
    <t>Jardim Helena</t>
  </si>
  <si>
    <t>(11) 2548-1123</t>
  </si>
  <si>
    <t>www.institutoakhanda.com.br</t>
  </si>
  <si>
    <t>188.2/17</t>
  </si>
  <si>
    <t>CIDADE DA LONGEVIDADE</t>
  </si>
  <si>
    <t>Avenida Leonardo da Vinci, 2650</t>
  </si>
  <si>
    <t>alexandre@akhanda.com.br</t>
  </si>
  <si>
    <t>6074.2024/0009975-5</t>
  </si>
  <si>
    <t>247.5/18</t>
  </si>
  <si>
    <t>ARTE E MOVIMENTO PARA PESSOA IDOSA</t>
  </si>
  <si>
    <t>(11) 3065-4334</t>
  </si>
  <si>
    <t>6074.2024/0010239-0</t>
  </si>
  <si>
    <t>Rua Rodolfo Miranda, 287</t>
  </si>
  <si>
    <t>CASA DE REPOUSO NOVO AMANHECER LTDA</t>
  </si>
  <si>
    <t>Rua Aratuipe, 101</t>
  </si>
  <si>
    <t>ilpismanu@gmail.com</t>
  </si>
  <si>
    <t>6074.2024/0010241-1</t>
  </si>
  <si>
    <t>04561-000</t>
  </si>
  <si>
    <t>administrativo@residencialviverbem.com.br</t>
  </si>
  <si>
    <t>6074.2024/0010088-5</t>
  </si>
  <si>
    <t>(11) 2987-3844</t>
  </si>
  <si>
    <t>Rua Benedito Schunk, 199</t>
  </si>
  <si>
    <t>04894-010</t>
  </si>
  <si>
    <t>(11) 5975-9958</t>
  </si>
  <si>
    <t>6074.2024/0010099-0</t>
  </si>
  <si>
    <t>916/24</t>
  </si>
  <si>
    <t>AMOR RESIDENCIAL SÊNIOR LTDA</t>
  </si>
  <si>
    <t>AMOR RESIDENCIAL SÊNIOR</t>
  </si>
  <si>
    <t>47.550.203/0001-15</t>
  </si>
  <si>
    <t>Rua Bendiapá, 155</t>
  </si>
  <si>
    <t>(11) 2367-7349</t>
  </si>
  <si>
    <t>amorresidencialsenior@gmail.com</t>
  </si>
  <si>
    <t>www.amorresidencialsenior.com.br</t>
  </si>
  <si>
    <t>6074.2024/0010111-3</t>
  </si>
  <si>
    <t>CDI CAMP PINHEIROS</t>
  </si>
  <si>
    <t>50.246.529/0003-20</t>
  </si>
  <si>
    <t>Rua Galeno de Almeida, 547</t>
  </si>
  <si>
    <t>05410-030</t>
  </si>
  <si>
    <t>(11) 3473-1909</t>
  </si>
  <si>
    <t>ugolini@camppinheiros.org.br</t>
  </si>
  <si>
    <t>www.camppinheiros.org.br</t>
  </si>
  <si>
    <t>6074.2024/0010269-1</t>
  </si>
  <si>
    <t>ASSISTÊNCIA SOCIAL LAR DITOSO</t>
  </si>
  <si>
    <t>59.947.465/0001-05</t>
  </si>
  <si>
    <t>Rua Sábbado D'Angelo, 2085</t>
  </si>
  <si>
    <t>José Bonifácio</t>
  </si>
  <si>
    <t>08210-791</t>
  </si>
  <si>
    <t>(11) 2935-6334</t>
  </si>
  <si>
    <t>larditoso40@gmail.com</t>
  </si>
  <si>
    <t>6074.2024/0010196-2</t>
  </si>
  <si>
    <t>918/24</t>
  </si>
  <si>
    <t>VÔLEI ADAPTADO</t>
  </si>
  <si>
    <t>17.956.516/0001-07</t>
  </si>
  <si>
    <t>Rua Sebastião Muniz de Sousa, 2</t>
  </si>
  <si>
    <t>05822-015</t>
  </si>
  <si>
    <t>Parque Santo Antônio</t>
  </si>
  <si>
    <t>(11) 5061-2239</t>
  </si>
  <si>
    <t>originaissantacruz@gmail.com</t>
  </si>
  <si>
    <t>6074.2024/0010085-0</t>
  </si>
  <si>
    <t>919/24</t>
  </si>
  <si>
    <t>CASA DE REPOUSO ACONCHEGO LTDA</t>
  </si>
  <si>
    <t>CASA DE REPOUSO ACONCHEGO</t>
  </si>
  <si>
    <t>04.513.466/0001-41</t>
  </si>
  <si>
    <t>Rua João da Canha, 116 - 118</t>
  </si>
  <si>
    <t>03178-160</t>
  </si>
  <si>
    <t>(11) 2605-8228</t>
  </si>
  <si>
    <t>aconchegog@gmail.com</t>
  </si>
  <si>
    <t>6074.2024/0009791-4</t>
  </si>
  <si>
    <t>920/24</t>
  </si>
  <si>
    <t>CASA DE REPOUSO RECANTO DA TERCEIRA IDADE LTDA</t>
  </si>
  <si>
    <t>CASA DE REPOUSO RECANTO DA TERCEIRA IDADE</t>
  </si>
  <si>
    <t>51.042.309/0001-85</t>
  </si>
  <si>
    <t>Rua Lacedemônia, 697</t>
  </si>
  <si>
    <t>04634-020</t>
  </si>
  <si>
    <t>(11) 5031-0886</t>
  </si>
  <si>
    <t>fernadodelporto@outlook.com</t>
  </si>
  <si>
    <t>6074.2024/0009751-5</t>
  </si>
  <si>
    <t>921/24</t>
  </si>
  <si>
    <t>CASA DE REPOUSO SÃO LUCAS LTDA</t>
  </si>
  <si>
    <t>CASA DE REPOUSO SÃO LUCAS</t>
  </si>
  <si>
    <t>53.978.710/0001-57</t>
  </si>
  <si>
    <t>Rua Xavier de Assis, 88</t>
  </si>
  <si>
    <t>03239-060</t>
  </si>
  <si>
    <t>(11) 94851-4474</t>
  </si>
  <si>
    <t>williamss927@gmail.com</t>
  </si>
  <si>
    <t>6074.2024/0009797-3</t>
  </si>
  <si>
    <t>922/24</t>
  </si>
  <si>
    <t>CASA DE REPOUSO VIA VIVER LTDA</t>
  </si>
  <si>
    <t>CASA DE REPOUSO VIA VIVER</t>
  </si>
  <si>
    <t>35.450.283/0001-58</t>
  </si>
  <si>
    <t>Avenida Jaçanã, 375</t>
  </si>
  <si>
    <t>02273-000</t>
  </si>
  <si>
    <t>(11) 98352-6888</t>
  </si>
  <si>
    <t>casaderepousoviaviver@gmail.com</t>
  </si>
  <si>
    <t>6074.2024/0010238-1</t>
  </si>
  <si>
    <t>923/24</t>
  </si>
  <si>
    <t>CAUE C. MACHADO - CASA DE REPOUSO LTDA</t>
  </si>
  <si>
    <t>CASA DE REPOUSO TERESA DE LISIEUX I</t>
  </si>
  <si>
    <t>19.587.301/0001-91</t>
  </si>
  <si>
    <t>Rua Judith Zumkeller, 58</t>
  </si>
  <si>
    <t>02422-020</t>
  </si>
  <si>
    <t>(11) 2826-7602</t>
  </si>
  <si>
    <t>flalanzelotti@gmail.com</t>
  </si>
  <si>
    <t>www.casateresa.com.br</t>
  </si>
  <si>
    <t>6074.2024/0009739-6</t>
  </si>
  <si>
    <t>924/24</t>
  </si>
  <si>
    <t>CENTRO DE CIDADANIA SMP</t>
  </si>
  <si>
    <t>03.488.844/0001-11</t>
  </si>
  <si>
    <t>Avenida Cocá, 85</t>
  </si>
  <si>
    <t>(11) 2035-6451</t>
  </si>
  <si>
    <t>lardosidosos.adm@deusprovera.com</t>
  </si>
  <si>
    <t>6074.2024/0009736-1</t>
  </si>
  <si>
    <t>925/24</t>
  </si>
  <si>
    <t>CHALÉ SÊNIOR MANGALOT RESIDENCIAL PARA IDOSOS LTDA</t>
  </si>
  <si>
    <t>CHALÉ SÊNIOR MANGALOT</t>
  </si>
  <si>
    <t>55.469.369/0001-30</t>
  </si>
  <si>
    <t>Rua Manoel Oliveira de Andrade e Silva, 64</t>
  </si>
  <si>
    <t>05135-200</t>
  </si>
  <si>
    <t>Jardim Mangalot</t>
  </si>
  <si>
    <t>(11) 2365-3215</t>
  </si>
  <si>
    <t>chaleseniormangalot@gmail.com</t>
  </si>
  <si>
    <t>6074.2024/0009629-2</t>
  </si>
  <si>
    <t>926/24</t>
  </si>
  <si>
    <t>INSTITUIÇÃO DE LONGA PERMANÊNCIA PARA IDOSOS CAPRICHO LTDA</t>
  </si>
  <si>
    <t>CASA DE REPOUSO CAPRICHO</t>
  </si>
  <si>
    <t>49.555.789/0001-36</t>
  </si>
  <si>
    <t>Rua Milton da Cruz, 247</t>
  </si>
  <si>
    <t>(11) 98669-9158</t>
  </si>
  <si>
    <t>6074.2024/0009631-4</t>
  </si>
  <si>
    <t xml:space="preserve">sabrinacdm1237@gmail.com  </t>
  </si>
  <si>
    <t>03983-080</t>
  </si>
  <si>
    <t>927/24</t>
  </si>
  <si>
    <t>INSTITUTO ATIARA</t>
  </si>
  <si>
    <t>09.166.472/0001-93</t>
  </si>
  <si>
    <t>Rua Doutor João Rodrigues de Abreu, 241</t>
  </si>
  <si>
    <t>05202-090</t>
  </si>
  <si>
    <t>(11) 5198-2028</t>
  </si>
  <si>
    <t>atendimento@institutoatiara.org</t>
  </si>
  <si>
    <t>6074.2024/0009573-3</t>
  </si>
  <si>
    <t>928/24</t>
  </si>
  <si>
    <t>INSTITUTO NÚCLEO DA MELHOR IDADE - ESTAÇÃO VIDA</t>
  </si>
  <si>
    <t>BAILE DA MELHOR IDADE</t>
  </si>
  <si>
    <t>07.097.669/0001-92</t>
  </si>
  <si>
    <t>Avenida Francisco Matarazzo, 450, Prédio 15A</t>
  </si>
  <si>
    <t>05001-100</t>
  </si>
  <si>
    <t>(11) 96319-9524</t>
  </si>
  <si>
    <t>alex.tnobre@gmail.com</t>
  </si>
  <si>
    <t>6074.2024/0009627-6</t>
  </si>
  <si>
    <t>929/24</t>
  </si>
  <si>
    <t>INSTITUTO PRA CIMA ZONA LESTE</t>
  </si>
  <si>
    <t>VIVER MELHOR AOS SESSENTÃO</t>
  </si>
  <si>
    <t>39.277.486/0001-45</t>
  </si>
  <si>
    <t>Avenida Waldemar Tietz, 1662</t>
  </si>
  <si>
    <t>03589-001</t>
  </si>
  <si>
    <t>Conjunto Padre José de Anchieta</t>
  </si>
  <si>
    <t>(11) 98793-3787</t>
  </si>
  <si>
    <t>institutopracimazonaleste@gmail.com</t>
  </si>
  <si>
    <t>www.institutopracimazonaleste.com</t>
  </si>
  <si>
    <t>6074.2024/0009794-9</t>
  </si>
  <si>
    <t>930/24</t>
  </si>
  <si>
    <t>LA PEGNA E LUIZ CASA DE REPOUSO LTDA</t>
  </si>
  <si>
    <t>GOLDEN LIFE CASA DE REPOUSO</t>
  </si>
  <si>
    <t>Rua Oscar Bresssane, 383</t>
  </si>
  <si>
    <t>04151-040</t>
  </si>
  <si>
    <t>(11) 2831-4606</t>
  </si>
  <si>
    <t>adelinus01@gmail.com</t>
  </si>
  <si>
    <t>6074.2024/0009735-3</t>
  </si>
  <si>
    <t>931/24</t>
  </si>
  <si>
    <t>PENSIONATO CANTINHO DA SABEDORIA LTDA</t>
  </si>
  <si>
    <t>CANTINHO DA SABEDORIA</t>
  </si>
  <si>
    <t>50.818.537/0001-31</t>
  </si>
  <si>
    <t>42.451.943/0001-80</t>
  </si>
  <si>
    <t>Rua Passos Ourique, 51</t>
  </si>
  <si>
    <t>03313-060</t>
  </si>
  <si>
    <t>6074.2024/0010194-6</t>
  </si>
  <si>
    <t>932/24</t>
  </si>
  <si>
    <t>RESIDENCIAL LUAR CASA DE REPOUSO LTDA</t>
  </si>
  <si>
    <t>RESIDENCIAL LUAR CASA DE REPOUSO</t>
  </si>
  <si>
    <t>53.589.026/0001-83</t>
  </si>
  <si>
    <t>Rua Jacaracanga, 117</t>
  </si>
  <si>
    <t>03358-140</t>
  </si>
  <si>
    <t xml:space="preserve">Vila Formosa </t>
  </si>
  <si>
    <t>(11) 2268-0091</t>
  </si>
  <si>
    <t>residencialluarcasaderepouso@gmail.com</t>
  </si>
  <si>
    <t>6074.2024/0010263-2</t>
  </si>
  <si>
    <t>933/24</t>
  </si>
  <si>
    <t>RESIDENCIAL VIENA INSTITUIÇÃO DE LONGA PERMANÊNCIA PARA IDOSOS LTDA</t>
  </si>
  <si>
    <t>RESIDENCIAL VIENA</t>
  </si>
  <si>
    <t>41.549.243/0001-60</t>
  </si>
  <si>
    <t>(11) 98401-3569</t>
  </si>
  <si>
    <t>vienacasaderepouso@gmail.com</t>
  </si>
  <si>
    <t>6074.2024/0009796-5</t>
  </si>
  <si>
    <t>934/24</t>
  </si>
  <si>
    <t>UNIÃO DE MORADORES DO PARQUE COCAIA</t>
  </si>
  <si>
    <t>MAIS VIDA</t>
  </si>
  <si>
    <t>69.098.432/0001-83</t>
  </si>
  <si>
    <t>Rua Adélia da Silva Mendes, 706</t>
  </si>
  <si>
    <t>04850-020</t>
  </si>
  <si>
    <t>Parque Cocaia</t>
  </si>
  <si>
    <t>(11) 93778-6626</t>
  </si>
  <si>
    <t>dfabiorogerio@gmail.com</t>
  </si>
  <si>
    <t>6074.2024/0010082-6</t>
  </si>
  <si>
    <t>827.1/24</t>
  </si>
  <si>
    <t>VILA BRASILIS HOSPEDAGEM PARA IDOSOS (MATRIZ)</t>
  </si>
  <si>
    <t>Rua Manuel Joaquim Pera, 36</t>
  </si>
  <si>
    <t>(11) 3722-1260</t>
  </si>
  <si>
    <t>6074.2024/0010310-8</t>
  </si>
  <si>
    <t>contato@rosaliadecastro.org.br</t>
  </si>
  <si>
    <t>www.rosaliadecastro.org.br</t>
  </si>
  <si>
    <t>CASA DE REPOUSO PARA IDOSOS SAÚDE EM AÇÃO LTDA</t>
  </si>
  <si>
    <t>Rua Guararapes, 1095</t>
  </si>
  <si>
    <t>(11) 3542-1301</t>
  </si>
  <si>
    <t>residencialsaudeacao@gmail.com</t>
  </si>
  <si>
    <t>www.residencialsaudeacao.com.br</t>
  </si>
  <si>
    <t>6074.2024/0010307-8</t>
  </si>
  <si>
    <t>935/24</t>
  </si>
  <si>
    <t>CANAÃ MORADA SÊNIOR LTDA</t>
  </si>
  <si>
    <t>CANAÃ MORADA SÊNIOR</t>
  </si>
  <si>
    <t>48.627.826/0001-01</t>
  </si>
  <si>
    <t>Rua Joaquim Afonso de Souza, 407</t>
  </si>
  <si>
    <t>02543-000</t>
  </si>
  <si>
    <t>Vila Celeste</t>
  </si>
  <si>
    <t>(11) 94744-0108</t>
  </si>
  <si>
    <t>contato@moradacanaa.com.br</t>
  </si>
  <si>
    <t>6074.2024/0010337-0</t>
  </si>
  <si>
    <t>ASSOCIAÇÃO RECREATIVA BENEFICENTE CULTURAL SOCIAL DESPORTIVA ORIGINAIS DA SANTA CRUZ</t>
  </si>
  <si>
    <t>CASA SANTANA E SÃO JOAQUIM - LAR DOS IDOSOS</t>
  </si>
  <si>
    <t>CAMP PINHEIROS - CENTRO ASSISTENCIAL DE MOTIVAÇÃO PROFISSIONAL</t>
  </si>
  <si>
    <t>NCI - CRÊ-SER</t>
  </si>
  <si>
    <t>Rua Anália Maria de Jesus, 24</t>
  </si>
  <si>
    <t>04385-110</t>
  </si>
  <si>
    <t>Jardim Itacolomi</t>
  </si>
  <si>
    <t>(11) 5678-7260</t>
  </si>
  <si>
    <t>www.creser.org.br</t>
  </si>
  <si>
    <t>6074.2024/0010347-7</t>
  </si>
  <si>
    <t>03576-060</t>
  </si>
  <si>
    <t>Jardim Santa Maria</t>
  </si>
  <si>
    <t>Rua Tapaiúna, 369</t>
  </si>
  <si>
    <t>(11) 3432-6920</t>
  </si>
  <si>
    <t>www.casaderepousomssaogabriel.com</t>
  </si>
  <si>
    <t>6074.2024/0010346-9</t>
  </si>
  <si>
    <t>936/24</t>
  </si>
  <si>
    <t>RESIDENCIAL PARA IDOSOS IRACELLI LTDA</t>
  </si>
  <si>
    <t>RESIDENCIAL PARA IDOSOS IRACELLI</t>
  </si>
  <si>
    <t>50.980.584/0001-87</t>
  </si>
  <si>
    <t>Rua Jaboti-Membeca</t>
  </si>
  <si>
    <t>03584-060</t>
  </si>
  <si>
    <t>(11) 2741-5660</t>
  </si>
  <si>
    <t>6074.2024/0010355-8</t>
  </si>
  <si>
    <t>RESIDENCIAL ATALAIA</t>
  </si>
  <si>
    <t>PENSIONATO PARA IDOSOS DIRE</t>
  </si>
  <si>
    <t>CENTRO DE CONVIVÊNCIA MAIS VIDA</t>
  </si>
  <si>
    <t>NCI RAIO DE LUZ ESPERANÇA</t>
  </si>
  <si>
    <t>NCI VOVÓ CECÍLIA</t>
  </si>
  <si>
    <t>NCI FELIZ IDADE</t>
  </si>
  <si>
    <t>ENVELHESER</t>
  </si>
  <si>
    <t>VIVER MELHOR</t>
  </si>
  <si>
    <t>VIVA A VIDA - QUALIDADE DE VIDA NA TERCEIRA IDADE</t>
  </si>
  <si>
    <t>PROJETO ENVELHECER SUSTENTÁVEL</t>
  </si>
  <si>
    <t>RESIDENCIAL NOSSO LAR</t>
  </si>
  <si>
    <t xml:space="preserve">Rua Fernandes Moreira, nº 323 </t>
  </si>
  <si>
    <t>04716-000</t>
  </si>
  <si>
    <t>(11) 5524-6273</t>
  </si>
  <si>
    <t>6074.2024/0010414-7</t>
  </si>
  <si>
    <t>390.1/20</t>
  </si>
  <si>
    <t>CASA DE REPOUSO SANTA CLARA</t>
  </si>
  <si>
    <t xml:space="preserve">Rua São Sebastião, 545 </t>
  </si>
  <si>
    <t>04708-001</t>
  </si>
  <si>
    <t>(11) 5181-0585</t>
  </si>
  <si>
    <t>6074.2024/0010538-0</t>
  </si>
  <si>
    <t>ARRASTÃO MOVIMENTO DE PROMOÇÃO HUMANA</t>
  </si>
  <si>
    <t>CROCHETANDO</t>
  </si>
  <si>
    <t>43.082.197/0001-68</t>
  </si>
  <si>
    <t>Rua Doutor Joviano Pacheco de Aguirre, 255</t>
  </si>
  <si>
    <t>05350-000</t>
  </si>
  <si>
    <t>Jardim Bom Refúgio</t>
  </si>
  <si>
    <t>(11) 5841-3366</t>
  </si>
  <si>
    <t>institucional@arrastao.org.br</t>
  </si>
  <si>
    <t>www.arrastao.org.br</t>
  </si>
  <si>
    <t>6074.2024/0010522-4</t>
  </si>
  <si>
    <t>937.2/24</t>
  </si>
  <si>
    <t>937.1/24</t>
  </si>
  <si>
    <t>HITS MOVIMENTO EM REDE</t>
  </si>
  <si>
    <t>6074.2024/0010523-2</t>
  </si>
  <si>
    <t>938/24</t>
  </si>
  <si>
    <t>RESIDENCIAL GERIÁTRICO ALTO DE PINHEIROS LTDA</t>
  </si>
  <si>
    <t>ALTO DE PINHEIROS RESIDENCIAL SÊNIOR</t>
  </si>
  <si>
    <t>30.676.125/0001-05</t>
  </si>
  <si>
    <t>Avenida São Gualter, 1578</t>
  </si>
  <si>
    <t>(11) 4384-3519</t>
  </si>
  <si>
    <t>rsgeriatricoolivia@gmail.com</t>
  </si>
  <si>
    <t>www.altodepinheirosgeriatrico.com.br</t>
  </si>
  <si>
    <t>6074.2024/0010520-8</t>
  </si>
  <si>
    <t>939/24</t>
  </si>
  <si>
    <t>RESIDENCIAL MORADA LTDA</t>
  </si>
  <si>
    <t>MORADA DOS AVÓS</t>
  </si>
  <si>
    <t>55.928.575/0001-60</t>
  </si>
  <si>
    <t>03411-140</t>
  </si>
  <si>
    <t>(11) 4734-9974</t>
  </si>
  <si>
    <t>Rua Mariano Procópio, 267</t>
  </si>
  <si>
    <t>mj14fonseca@gmail.com</t>
  </si>
  <si>
    <t>940/24</t>
  </si>
  <si>
    <t>GRUPO DOS AMIGOS MUNDO FELIZ - GAMF</t>
  </si>
  <si>
    <t>19.721.578/0001-65</t>
  </si>
  <si>
    <t>Rua Dom Sebastião do Rego, 164</t>
  </si>
  <si>
    <t>04129-000</t>
  </si>
  <si>
    <t>Vila Gumercindo</t>
  </si>
  <si>
    <t>(11) 95033-1640</t>
  </si>
  <si>
    <t>ivetefestino@hotmail.com</t>
  </si>
  <si>
    <t>6074.2024/0010603-4</t>
  </si>
  <si>
    <t>JC NIZA DE ARAÚJO REPOUSO PARA IDOSOS LTDA</t>
  </si>
  <si>
    <t>03534-140</t>
  </si>
  <si>
    <t>31.576.371/0001-40</t>
  </si>
  <si>
    <t xml:space="preserve">Rua Três Irmãos, nº 771 </t>
  </si>
  <si>
    <t>05615-190</t>
  </si>
  <si>
    <t>Vila Progredior</t>
  </si>
  <si>
    <t>(11) 2679-1726</t>
  </si>
  <si>
    <t>6074.2024/0010618-2</t>
  </si>
  <si>
    <t>941/24</t>
  </si>
  <si>
    <t>RESIDENCIAL SÃO LUCAS PACAEMBU LTDA</t>
  </si>
  <si>
    <t>RESIDENCIAL SÃO LUCAS</t>
  </si>
  <si>
    <t>32.886.153/0001-74</t>
  </si>
  <si>
    <t>Rua Itajobi, 79</t>
  </si>
  <si>
    <t>01246-010</t>
  </si>
  <si>
    <t>(11) 3873-8212</t>
  </si>
  <si>
    <t>6074.2024/0010647-6</t>
  </si>
  <si>
    <t>03313-010</t>
  </si>
  <si>
    <t>942/24</t>
  </si>
  <si>
    <t>PENSIONATO PARA IDOSOS HAVILA LTDA</t>
  </si>
  <si>
    <t>CASA DE REPOUSO HAVILA</t>
  </si>
  <si>
    <t>23.994.458/0001-09</t>
  </si>
  <si>
    <t>Rua Manoel Morais Pontes, 71</t>
  </si>
  <si>
    <t>(11) 2204-6241</t>
  </si>
  <si>
    <t>pensionatohavila@gmail.com</t>
  </si>
  <si>
    <t>www.pensionatohavila.com.br</t>
  </si>
  <si>
    <t>6074.2024/0010698-0</t>
  </si>
  <si>
    <t>682.2/23</t>
  </si>
  <si>
    <t>48.400.827/0002-08</t>
  </si>
  <si>
    <t>Rua dos Mártires Armênios, 1032</t>
  </si>
  <si>
    <t>(11) 2994-2492</t>
  </si>
  <si>
    <t>6074.2024/0010737-5</t>
  </si>
  <si>
    <t>OLIVEIRA JUSTO - INSTITUIÇÃO DE LONGA PERMANÊNCIA PARA IDOSOS LTDA</t>
  </si>
  <si>
    <t>943/24</t>
  </si>
  <si>
    <t>ALTO DE PINHEIROS RESIDENCIAL SÊNIOR LTDA</t>
  </si>
  <si>
    <t>18.307.663/0001-02</t>
  </si>
  <si>
    <t>Avenida São Gualter, 1372</t>
  </si>
  <si>
    <t>(11) 3023-4420</t>
  </si>
  <si>
    <t>drfelippo@gmail.com</t>
  </si>
  <si>
    <t>6074.2024/0010747-2</t>
  </si>
  <si>
    <t>Rua Pero Nunes, 84</t>
  </si>
  <si>
    <t>NCI - MARIA DE LURDES LIMA SALES</t>
  </si>
  <si>
    <t>02866-100</t>
  </si>
  <si>
    <t>(11) 3851-1028</t>
  </si>
  <si>
    <t>(11) 5576-0769</t>
  </si>
  <si>
    <t xml:space="preserve">Av. Dr. Décio de Toledo Leite, 143 </t>
  </si>
  <si>
    <t>08111-220</t>
  </si>
  <si>
    <t>Jardim das Oliveiras</t>
  </si>
  <si>
    <t>(11) 2567-4607</t>
  </si>
  <si>
    <t>6074.2024/0010854-1</t>
  </si>
  <si>
    <t>LEVIMED - INSTITUIÇÃO DE LONGA PERMANÊNCIA PARA IDOSOS</t>
  </si>
  <si>
    <t>09.492.298/0001-79</t>
  </si>
  <si>
    <t xml:space="preserve">Avenida Dom Pedro I, nº 960 </t>
  </si>
  <si>
    <t>01552-000</t>
  </si>
  <si>
    <t>(11) 3806-0606</t>
  </si>
  <si>
    <t>levimed@levimed.com.br</t>
  </si>
  <si>
    <t>www.levimed.com.br</t>
  </si>
  <si>
    <t>6074.2024/0010894-0</t>
  </si>
  <si>
    <t>944/24</t>
  </si>
  <si>
    <t>RESIDENCIAL PARA IDOSOS DONA ZELIA LTDA</t>
  </si>
  <si>
    <t>RESIDENCIAL PARA IDOSOS DONA ZELIA</t>
  </si>
  <si>
    <t>49.232.613/0001-43</t>
  </si>
  <si>
    <t>Rua Lateral, 08</t>
  </si>
  <si>
    <t>04891-240</t>
  </si>
  <si>
    <t>(11) 5468-7266</t>
  </si>
  <si>
    <t>clarinha23021979@gmail.com</t>
  </si>
  <si>
    <t>6074.2024/0010859-2</t>
  </si>
  <si>
    <t>945/24</t>
  </si>
  <si>
    <t>CASA DE REPOUSO IPE AMARELO LAPA LTDA</t>
  </si>
  <si>
    <t>CASA DE REPOUSO IPÊ AMARELO LAPA</t>
  </si>
  <si>
    <t>48.059.268/0001-25</t>
  </si>
  <si>
    <t>Praça Vidal Antônio de Castro, 34</t>
  </si>
  <si>
    <t>05076-030</t>
  </si>
  <si>
    <t>(11) 2368-8727</t>
  </si>
  <si>
    <t>samuelazevedo.cg@gmail.com</t>
  </si>
  <si>
    <t>www.residencialipeamarelo.com</t>
  </si>
  <si>
    <t>6074.2024/0010877-0</t>
  </si>
  <si>
    <t>SOLAR DA MATRIZ</t>
  </si>
  <si>
    <t>Rua Chico de Paulo, 442</t>
  </si>
  <si>
    <t>02926-000</t>
  </si>
  <si>
    <t>(11) 3932-3015</t>
  </si>
  <si>
    <t>solardamatrizidosos@gmail.com</t>
  </si>
  <si>
    <t>6074.2024/0010895-9</t>
  </si>
  <si>
    <t>ILPI NOSSA SENHORA DA CONSOLATA</t>
  </si>
  <si>
    <t>LEVIMED - INSTITUIÇÃO DE LONGA PERMANÊNCIA PARA IDOSOS LTDA</t>
  </si>
  <si>
    <t>946/24</t>
  </si>
  <si>
    <t>ASSOCIAÇÃO BENEFICENTE GUILHERMINA MARIA DE JESUS</t>
  </si>
  <si>
    <t>VIVA MELHOR ABEGUI</t>
  </si>
  <si>
    <t>04.084.230/0001-37</t>
  </si>
  <si>
    <t>Avenida Paulo Guilguer Reimberg, 7003</t>
  </si>
  <si>
    <t>Chácara Santo Amaro</t>
  </si>
  <si>
    <t>(11) 5974-9520</t>
  </si>
  <si>
    <t>abegui@abegui.org</t>
  </si>
  <si>
    <t>www.abegui.org</t>
  </si>
  <si>
    <t>6074.2024/0010899-1</t>
  </si>
  <si>
    <t>947/24</t>
  </si>
  <si>
    <t>ASSOCIAÇÃO CANTINHO DA FAMÍLIA</t>
  </si>
  <si>
    <t>VIVA NA MELHOR IDADE</t>
  </si>
  <si>
    <t>06.265.058/0001-43</t>
  </si>
  <si>
    <t>Avenida Francisco Matarazzo, 450, Prédio 15</t>
  </si>
  <si>
    <t>contato@cantinhodafamilia.org</t>
  </si>
  <si>
    <t>www.cantinhodafamilia.org</t>
  </si>
  <si>
    <t>6074.2024/0010928-9</t>
  </si>
  <si>
    <t>VER NA ESCOLA - MELHOR IDADE</t>
  </si>
  <si>
    <t>046.2/15</t>
  </si>
  <si>
    <t>DIVERSOS</t>
  </si>
  <si>
    <t>01525-001</t>
  </si>
  <si>
    <t>(11) 94199-8172</t>
  </si>
  <si>
    <t>rosenaide.silva@institutoverter.com.br</t>
  </si>
  <si>
    <t>www.institutoverter.com.br</t>
  </si>
  <si>
    <t>6074.2024/0010934-3</t>
  </si>
  <si>
    <t>048.2/15</t>
  </si>
  <si>
    <t>CULTURA E MEIO AMBIENTE - FORMAÇÃO DE VÍNCULOS DE CONFIANÇA ATRAVÉS DO EXERCÍCIO DA CIDADANIA</t>
  </si>
  <si>
    <t>10.548.116-0001-13</t>
  </si>
  <si>
    <t>Rua Augusta, 200 (Paque Augusta)</t>
  </si>
  <si>
    <t>01305-000</t>
  </si>
  <si>
    <t>(11) 3101-2277</t>
  </si>
  <si>
    <t>garmicmoradiaidoso@gmail.com</t>
  </si>
  <si>
    <t>6074.2024/0010969-6</t>
  </si>
  <si>
    <t>6074.2022/0009945-0</t>
  </si>
  <si>
    <t>391.2/20</t>
  </si>
  <si>
    <t>(11) 5116-4249</t>
  </si>
  <si>
    <t>6074.2024/0010970-0</t>
  </si>
  <si>
    <t>948/24</t>
  </si>
  <si>
    <t>RESIDENCIAL SÊNIOR IMPÉRIO LTDA</t>
  </si>
  <si>
    <t>RESIDENCIAL SÊNIOR IMPÉRIO</t>
  </si>
  <si>
    <t>53.027.337/0001-59</t>
  </si>
  <si>
    <t>Rua Coronel José Rufino Freire, 314</t>
  </si>
  <si>
    <t>Vila Maria Eugênia</t>
  </si>
  <si>
    <t>residencialseniorimperio@gmail.com</t>
  </si>
  <si>
    <t>6074.2024/0010988-2</t>
  </si>
  <si>
    <t>ASSOCIAÇÃO FILANTRÓPICA FLORYPA É AMOR</t>
  </si>
  <si>
    <t>ESPAÇO DO IDOSO FLORYPA É AMOR</t>
  </si>
  <si>
    <t>Rua Jorge Palmiro Mercado, 70 A</t>
  </si>
  <si>
    <t>02854-020</t>
  </si>
  <si>
    <t>www.florrypaeamor.wixsite.com/florypaamor</t>
  </si>
  <si>
    <t>678.2/23</t>
  </si>
  <si>
    <t>Rua Eduardo Ferreira França, 841</t>
  </si>
  <si>
    <t>04157-000</t>
  </si>
  <si>
    <t>Cursino</t>
  </si>
  <si>
    <t>(11) 2307-0161</t>
  </si>
  <si>
    <t>6074.2024/0011005-8</t>
  </si>
  <si>
    <t>Jardim das Fontes</t>
  </si>
  <si>
    <t>(11) 3906-6267</t>
  </si>
  <si>
    <t>949/25</t>
  </si>
  <si>
    <t>CASA DE REPOUSO ESPAÇO VITALIS VILA PALMEIRAS FREGUESIA LTDA</t>
  </si>
  <si>
    <t>CASA DE REPOUSO ESPAÇO VITALIS</t>
  </si>
  <si>
    <t>55.310.218/0001-34</t>
  </si>
  <si>
    <t>Rua Bela Vista do Paraíso</t>
  </si>
  <si>
    <t>02726-040</t>
  </si>
  <si>
    <t>Vila Palmeiras</t>
  </si>
  <si>
    <t>(11) 3935-3229</t>
  </si>
  <si>
    <t>contato@espacovitalis.com.br</t>
  </si>
  <si>
    <t>www.espacovitalis.com.br</t>
  </si>
  <si>
    <t>6074.2025/0000012-2</t>
  </si>
  <si>
    <t>950/25</t>
  </si>
  <si>
    <t>CASA FLORA LAR PARA IDOSOS LTDA</t>
  </si>
  <si>
    <t>CASA FLORA</t>
  </si>
  <si>
    <t>48.047.167/0001-34</t>
  </si>
  <si>
    <t>Avenida Leblon, 93</t>
  </si>
  <si>
    <t>04771-050</t>
  </si>
  <si>
    <t>(11) 4508-9555</t>
  </si>
  <si>
    <t>casafloralarparaidosos@gmail.com</t>
  </si>
  <si>
    <t>6074.2025/0000132-3</t>
  </si>
  <si>
    <t>REABILITAÇÃO PARA IDOSOS COM DEFICIÊNCIA FÍSICA</t>
  </si>
  <si>
    <t>prestacaodecontas@aacd.org.br</t>
  </si>
  <si>
    <t>-</t>
  </si>
  <si>
    <t>NCI COLO DE VÓ</t>
  </si>
  <si>
    <t>951/25</t>
  </si>
  <si>
    <t>04.491.526/0001-72</t>
  </si>
  <si>
    <t>05024-000</t>
  </si>
  <si>
    <t>Vila Pompeia</t>
  </si>
  <si>
    <t>6074.2025/0000226-5</t>
  </si>
  <si>
    <t>OLGA RESIDENCIAL SÊNIOR LTDA</t>
  </si>
  <si>
    <t>DONA OLGA CASA DE REPOUSO</t>
  </si>
  <si>
    <t>52.453.394/0001-37</t>
  </si>
  <si>
    <t>Rua Ribeiro Lacerda, 571</t>
  </si>
  <si>
    <t>04150-000</t>
  </si>
  <si>
    <t>(11) 99464-0864</t>
  </si>
  <si>
    <t>www.olgaresidencialsenior.com.br</t>
  </si>
  <si>
    <t>6074.2025/0000227-3</t>
  </si>
  <si>
    <t>LJC PRIME - RESIDENCIAL PARA IDOSOS LTDA (ATUAL OLGA RESIDENCIAL SÊNIOR LTDA - CMI 952/25)</t>
  </si>
  <si>
    <t>952/25</t>
  </si>
  <si>
    <t>953/25</t>
  </si>
  <si>
    <t>PRIMAVERA LAR PARA IDOSOS LTDA</t>
  </si>
  <si>
    <t>PRIMAVERA LAR PARA IDOSOS</t>
  </si>
  <si>
    <t>51.384.784/0001-30</t>
  </si>
  <si>
    <t>04750-080</t>
  </si>
  <si>
    <t>(11) 96107-7226</t>
  </si>
  <si>
    <t>primaveralardeidosos@gmail.com</t>
  </si>
  <si>
    <t>www.primaveralardeidosos.com.br</t>
  </si>
  <si>
    <t>6074.2025/0000284-2</t>
  </si>
  <si>
    <t>954/25</t>
  </si>
  <si>
    <t>RESIDENCIAL NOVA BONANÇA LTDA</t>
  </si>
  <si>
    <t>RESIDENCIAL NOVA BONANÇA</t>
  </si>
  <si>
    <t>46.449.801/0001-30</t>
  </si>
  <si>
    <t>Rua José Aldo Piassi, 393</t>
  </si>
  <si>
    <t>08011-300</t>
  </si>
  <si>
    <t>Vila Pedroso</t>
  </si>
  <si>
    <t>(11) 2364-9040</t>
  </si>
  <si>
    <t>residencialbonanca@outlook.com</t>
  </si>
  <si>
    <t>6074.2025/0000322-9</t>
  </si>
  <si>
    <t>villaprimaverasenior@gmail.com</t>
  </si>
  <si>
    <t>VIVACE RESIDENCIAL PARA IDOSOS LTDA (ENCERROU AS ATIVIDADES EM SETEMBRO/2024)</t>
  </si>
  <si>
    <t xml:space="preserve"> BRAZIL SENIOR LIVING S.A. (ENCERROU AS ATIVIDADES EM NOVEMBRO DE 2024)</t>
  </si>
  <si>
    <t>administradora@rtisa.org.br</t>
  </si>
  <si>
    <t>www.rtisa.org.br</t>
  </si>
  <si>
    <t>6074.2025/0000409-8</t>
  </si>
  <si>
    <t>AAMEC - ASSOCIAÇÃO AMIGOS DO ESPORTE, EDUCAÇÃO E CULTURA</t>
  </si>
  <si>
    <t>RITMOS E MOVIMENTOS - UNIVIDA</t>
  </si>
  <si>
    <t>10.389.818/0001-00</t>
  </si>
  <si>
    <t>Rua João Batista Santiago, 373</t>
  </si>
  <si>
    <t>(11) 98449-1188</t>
  </si>
  <si>
    <t>aamec10@yahoo.com.br</t>
  </si>
  <si>
    <t>6074.2025/0000423-3</t>
  </si>
  <si>
    <t>955.1/25</t>
  </si>
  <si>
    <t>955.2/25</t>
  </si>
  <si>
    <t>RITMOS E MOVIMENTOS - WATANABE</t>
  </si>
  <si>
    <t>Rua Gomes Leal, 98</t>
  </si>
  <si>
    <t>02671-090</t>
  </si>
  <si>
    <t>Vila Dionísia</t>
  </si>
  <si>
    <t>6074.2025/0000428-4</t>
  </si>
  <si>
    <t>955.3/25</t>
  </si>
  <si>
    <t>DESPERTANDO VIDAS - INCLUSÃO DIGITAL</t>
  </si>
  <si>
    <t>Avenida Guacá, 1399</t>
  </si>
  <si>
    <t>Parque Santa Rita</t>
  </si>
  <si>
    <t>6074.2025/0000429-2</t>
  </si>
  <si>
    <t>43.841.493/0001-03</t>
  </si>
  <si>
    <t xml:space="preserve">Rua Comprida, 113  </t>
  </si>
  <si>
    <t xml:space="preserve"> 02311-010</t>
  </si>
  <si>
    <t>Vila Mazzei</t>
  </si>
  <si>
    <t>(11) 2952-1844</t>
  </si>
  <si>
    <t>www.casasimaopedro.k6.com.br</t>
  </si>
  <si>
    <t>6074.2025/0000455-1</t>
  </si>
  <si>
    <t>956/25</t>
  </si>
  <si>
    <t>IMPERIUM RESIDENCIAL SÊNIOR LTDA</t>
  </si>
  <si>
    <t>IMPERIUM RESIDENCIAL SÊNIOR</t>
  </si>
  <si>
    <t>51.842.156/0001-50</t>
  </si>
  <si>
    <t>Rua Doutor Nogueira Martins, 672</t>
  </si>
  <si>
    <t>04143-020</t>
  </si>
  <si>
    <t>Vila da Saúde</t>
  </si>
  <si>
    <t>(11) 97630-5591</t>
  </si>
  <si>
    <t>diretoria@imperiumresidencial.com.br</t>
  </si>
  <si>
    <t>www.imperiumresidencial.com.br</t>
  </si>
  <si>
    <t>6074.2025/0000519-1</t>
  </si>
  <si>
    <t>957/25</t>
  </si>
  <si>
    <t>F &amp; P RESIDENCIAL SÊNIOR LTDA</t>
  </si>
  <si>
    <t>3I BEM ESTAR RESIDENCIAL SÊNIOR</t>
  </si>
  <si>
    <t>33.839.321/0001-33</t>
  </si>
  <si>
    <t>Rua Dom Armando Lombardi, 484</t>
  </si>
  <si>
    <t>05616-011</t>
  </si>
  <si>
    <t>(11) 2361-4924</t>
  </si>
  <si>
    <t>sandra.klain@3ibemestar.com.br</t>
  </si>
  <si>
    <t>www.3ibemestar.com.br</t>
  </si>
  <si>
    <t>6074.2025/0000521-3</t>
  </si>
  <si>
    <t>(11) 2369-0700</t>
  </si>
  <si>
    <t>www.hospedagemlightlife.com.br</t>
  </si>
  <si>
    <t>6074.2025/0000547-7</t>
  </si>
  <si>
    <t>958/25</t>
  </si>
  <si>
    <t>CASA DE REPOUSO PIETÁ LTDA</t>
  </si>
  <si>
    <t>CASA DE REPOUSO PIETÁ</t>
  </si>
  <si>
    <t>15.226.411/0001-77</t>
  </si>
  <si>
    <t>Rua Platanales, 445</t>
  </si>
  <si>
    <t>04926-200</t>
  </si>
  <si>
    <t>Riviera Paulista</t>
  </si>
  <si>
    <t>(11) 5517-7747</t>
  </si>
  <si>
    <t>6074.2025/0000548-5</t>
  </si>
  <si>
    <t>29.087.394/0001-49</t>
  </si>
  <si>
    <t>Rua Paiaguás, 66</t>
  </si>
  <si>
    <t>04624-080</t>
  </si>
  <si>
    <t>Vila Congonhas</t>
  </si>
  <si>
    <t>edemcentrodia@gmail.com</t>
  </si>
  <si>
    <t>www.edemcentrodia.com.br</t>
  </si>
  <si>
    <t>6074.2025/0000550-7</t>
  </si>
  <si>
    <t>08.035.526/0001-19</t>
  </si>
  <si>
    <t xml:space="preserve">Rua Profª Marli Ferraz de Arruda, 38 </t>
  </si>
  <si>
    <t>(11) 5926-3993</t>
  </si>
  <si>
    <t>www.casaderepousovirgemmaria.com.br</t>
  </si>
  <si>
    <t>6074.2025/0000567-1</t>
  </si>
  <si>
    <t>959/25</t>
  </si>
  <si>
    <t>SALVATORE CENTRO DE CONVIVÊNCIA PARA TERCEIRA IDADE LTDA</t>
  </si>
  <si>
    <t>SALVATORE RESIDENCIAL DE IDOSOS</t>
  </si>
  <si>
    <t>24.167.583/0001-08</t>
  </si>
  <si>
    <t>Rua Guaraiuva, 1354</t>
  </si>
  <si>
    <t>04569-002</t>
  </si>
  <si>
    <t>vanessa.coppia@casaderepousosalvatore.com.br</t>
  </si>
  <si>
    <t>www.casaderepousosalvatore.com.br</t>
  </si>
  <si>
    <t>6074.2025/0000584-1</t>
  </si>
  <si>
    <t>960/25</t>
  </si>
  <si>
    <t>V.M PRESTADORA DE SERVIÇOS DE SAÚDE EIRELI</t>
  </si>
  <si>
    <t>RESIDENCIAL GERIÁTRICO VIVA A VIDA V&amp;M</t>
  </si>
  <si>
    <t>24.793.156/0001-35</t>
  </si>
  <si>
    <t>Rua José Portolano, 60</t>
  </si>
  <si>
    <t>04829-320</t>
  </si>
  <si>
    <t>Jardim das Imbuias</t>
  </si>
  <si>
    <t>(11) 97690-6958</t>
  </si>
  <si>
    <t>casaderepousovivavida@gmail.com</t>
  </si>
  <si>
    <t>6074.2025/0000589-2</t>
  </si>
  <si>
    <t>VOVÓ LAURA CASA DE REPOUSO</t>
  </si>
  <si>
    <t>21.928.121/0001-78</t>
  </si>
  <si>
    <t xml:space="preserve">Rua Campo Belo do Sul, 686 </t>
  </si>
  <si>
    <t>02269-010</t>
  </si>
  <si>
    <t>Parque Vitória</t>
  </si>
  <si>
    <t>(11) 2240-2214</t>
  </si>
  <si>
    <t>www.casalaura.wordpress.com</t>
  </si>
  <si>
    <t>6074.2025/0000608-2</t>
  </si>
  <si>
    <t>Rua Barão do Bananal, 926</t>
  </si>
  <si>
    <t>scorreiavaz@bol.com.br</t>
  </si>
  <si>
    <t>961/25</t>
  </si>
  <si>
    <t>CASA DE REPOUSO SENSACIONAL VIVER A VIDA LTDA</t>
  </si>
  <si>
    <t>32.076.964/0001-00</t>
  </si>
  <si>
    <t>Rua Cordão de São Francisco, 1435</t>
  </si>
  <si>
    <t>08190-080</t>
  </si>
  <si>
    <t>Vila Aimoré</t>
  </si>
  <si>
    <t>(11) 97667-1025</t>
  </si>
  <si>
    <t>sensacionalviveravida1435@outlook.com</t>
  </si>
  <si>
    <t>6074.2025/0000636-8</t>
  </si>
  <si>
    <t>CASA DE REPOUSO SENSACIONAL VIVER A VIDA</t>
  </si>
  <si>
    <t>004.2/13</t>
  </si>
  <si>
    <t>004.3/13</t>
  </si>
  <si>
    <t>LIGHT LIFE - FILIAL</t>
  </si>
  <si>
    <t>LIGHT LIFE - MATRIZ</t>
  </si>
  <si>
    <t>EDEM CONVIVÊNCIA E RESIDENCIAL SÊNIOR LTDA</t>
  </si>
  <si>
    <t>ESPAÇO EDEM</t>
  </si>
  <si>
    <t>CASA DE REPOUSO VIRGEM MARIA</t>
  </si>
  <si>
    <t>CASA DE REPOUSO MORADA DA REALEZA</t>
  </si>
  <si>
    <t>CASA FLOR RESIDENCIAL</t>
  </si>
  <si>
    <t>RTI - SANTO ANTÔNIO</t>
  </si>
  <si>
    <t>CLÍNICA SÃO LUCAS RESIDÊNCIA E REABILITAÇÃO LTDA</t>
  </si>
  <si>
    <t>NCI GAMF</t>
  </si>
  <si>
    <t>NCI ATIARA</t>
  </si>
  <si>
    <t>NCI VOVÓ LOURDES PAPA</t>
  </si>
  <si>
    <t>NCI ANA MARIA</t>
  </si>
  <si>
    <t>RESIDENCIAL SÊNIOR 60+</t>
  </si>
  <si>
    <t>GUIARÁ RESIDENCIAL PARA IDOSOS</t>
  </si>
  <si>
    <t>CASA DE REPOUSO FLOR DO IPÊ</t>
  </si>
  <si>
    <t>NOAH RESIDENCIAL PARA IDOSOS</t>
  </si>
  <si>
    <t>CASA DE REPOUSO GOLDEN</t>
  </si>
  <si>
    <t>RETAGUARDA CASA DE REPOUSO</t>
  </si>
  <si>
    <t>CASA DE REPOUSO E CRECHE SOPHYE</t>
  </si>
  <si>
    <t xml:space="preserve">SERENITY CLÍNICA DE REPOUSO </t>
  </si>
  <si>
    <t>INSTITUTO CÂNTICO DE VITÓRIA</t>
  </si>
  <si>
    <t>SERENIDADE CASA DE REPOUSO</t>
  </si>
  <si>
    <t>FORTALEZA RESIDENCIAL PARA IDOSOS</t>
  </si>
  <si>
    <t>BALI  RESIDENCIAL PARA IDOSOS</t>
  </si>
  <si>
    <t>VILLA DEI FIORI SUMAREZINHO INSTITUIÇÃO DE LONGA PERMANÊNCIA PARA IDOSOS</t>
  </si>
  <si>
    <t>CASA DE REPOUSO SAMARITANA</t>
  </si>
  <si>
    <t>MORADA SANTA BÁRBARA</t>
  </si>
  <si>
    <t>LAR DE IDOSOS CAMINHO DO BEM</t>
  </si>
  <si>
    <t>LAR ROSA DE SARON</t>
  </si>
  <si>
    <t>RESIDENCIAL HUMANAR</t>
  </si>
  <si>
    <t>CASA DE REPOUSO VILA CARRÃO</t>
  </si>
  <si>
    <t>CASA YESHUAH</t>
  </si>
  <si>
    <t xml:space="preserve">LONGHINI RESIDENCIAL SÊNIOR </t>
  </si>
  <si>
    <t>NOVO NASCIMENTO</t>
  </si>
  <si>
    <t>SENIOR VITA RESIDENCE</t>
  </si>
  <si>
    <t>CDI SANTA DULCE DOS POBRES</t>
  </si>
  <si>
    <t>VIDA EM MOVIMENTO</t>
  </si>
  <si>
    <t>BETEL LAR DE IDOSOS</t>
  </si>
  <si>
    <t>VIVA LA VITTA</t>
  </si>
  <si>
    <t>ILPI RESIDENCIAL BOUGANVILE</t>
  </si>
  <si>
    <t>INSTITUTO NOVOS VALORES</t>
  </si>
  <si>
    <t>GRUPO GIRASSOL</t>
  </si>
  <si>
    <t>NCI DOM ORIONE</t>
  </si>
  <si>
    <t>OBRAS SOCIAIS NOSSA SENHORA DA AQUIROPITA</t>
  </si>
  <si>
    <t>682.1/23</t>
  </si>
  <si>
    <t>678.1/23</t>
  </si>
  <si>
    <t>IDOSOS UNIDOS DA VILA MORAES</t>
  </si>
  <si>
    <t>677.1/23</t>
  </si>
  <si>
    <t>O ENVELHECER COM ANEMIA FALCIFORME</t>
  </si>
  <si>
    <t>VIGORA SÊNIOR RESIDÊNCIA</t>
  </si>
  <si>
    <t>D´PÁDUA RESIDENCIAL SÊNIOR</t>
  </si>
  <si>
    <t>NOSTRA CASA DE REPOUSO E SPA</t>
  </si>
  <si>
    <t>PROJETO PROGRAMA CICLO DO CUIDADO EM SAÚDE</t>
  </si>
  <si>
    <t>PROJETO CLUBE DE LEITURA 6.0</t>
  </si>
  <si>
    <t>RESIDENCIAL MÁXIMO II</t>
  </si>
  <si>
    <t>CASA DE REPOUSO UM NOVO TEMPO</t>
  </si>
  <si>
    <t>CASA DE REPOUSO AFETO BRASIL</t>
  </si>
  <si>
    <t>PROJETO ENVELHECIMENTO SAUDÁVEL COM QUALIDADE DE VIDA</t>
  </si>
  <si>
    <t>MESTRES DA VIDA CASA DE REPOUSO</t>
  </si>
  <si>
    <t>RSMA - RESIDENCIAL SÃO MIGUEL ARCANJO</t>
  </si>
  <si>
    <t>CASA LUZ DO CAMINHO</t>
  </si>
  <si>
    <t>PROJETO CAMAPNHA NEIDE DUQUE - EM DEFESA DAS POLÍTICAS PÚBLICAS PARA A PESSOA IDOSA SOZINHA</t>
  </si>
  <si>
    <t>PROJETO WORKSHOP: DESAFIOS CONTEMPORÂNEOS</t>
  </si>
  <si>
    <t>PROJETO CAMPANHA SOLIDARIEDADE NÃO TEM IDADE</t>
  </si>
  <si>
    <t>PROJETO BOLETIM INFOR-GERAÇÕES</t>
  </si>
  <si>
    <t>INSTITUTO SEDES SAPIENTIAE</t>
  </si>
  <si>
    <t xml:space="preserve">RESIDENCIAL PARA IDOSO ARCO-ÍRIS </t>
  </si>
  <si>
    <t xml:space="preserve">NCI BEM ESTAR DA MELHOR IDADE </t>
  </si>
  <si>
    <t>NCI O SEMEADOR</t>
  </si>
  <si>
    <t>LAR PARA IDOSOS DO VOVÔ LUIZ</t>
  </si>
  <si>
    <t>LAÇOS DE FAMÍLIA</t>
  </si>
  <si>
    <t>PROJETO FAPESP</t>
  </si>
  <si>
    <t>VIVA VIDA</t>
  </si>
  <si>
    <t>CASA DE REPOUSO CHÁCARA MANDAQUI</t>
  </si>
  <si>
    <t>RESIDENCIAL CASA DA ÁRVORE PARA IDOSO</t>
  </si>
  <si>
    <t>CASA DE REPOUSO FLORESCER</t>
  </si>
  <si>
    <t>642.1/22</t>
  </si>
  <si>
    <t>TRILHA DO DESENVOLVIMENTO E DO USUÁRIO - REDE SÊNIOR</t>
  </si>
  <si>
    <t>RESIDENCIAL PRIMEIRO DE OUTUBRO</t>
  </si>
  <si>
    <t>SOL E VIDA CASA DE REPOUSO</t>
  </si>
  <si>
    <t>RECANTO ÁGAPE CASA DE REPOUSO</t>
  </si>
  <si>
    <t>RESIDENCIAL PLENITUDE - QUALIDADE EM VIVER</t>
  </si>
  <si>
    <t>RESIDENCIAL FLOR DE MARIA - MATRIZ</t>
  </si>
  <si>
    <t>RESIDENCIAL FLOR DE MARIA - FILIAL</t>
  </si>
  <si>
    <t>PROGRAMA CONVIVÊNCIA QUE CONSTRÓI</t>
  </si>
  <si>
    <t>CASA DE REPOUSO NOVA HERA</t>
  </si>
  <si>
    <t>RESIDENCIAL JOÃO E MARIA</t>
  </si>
  <si>
    <t>CAEI ESPERANTO</t>
  </si>
  <si>
    <t>ACADEMIA DA LONGEVIDADE</t>
  </si>
  <si>
    <t>TERÇA DA SERRA RESIDENCIAL SÊNIOR HIGIENÓPOLIS</t>
  </si>
  <si>
    <t>CLINICA DE REPOUSO SERENIDADE</t>
  </si>
  <si>
    <t>RESIDENCIAL SÃO LUIS</t>
  </si>
  <si>
    <t>CASA DE REPOUSO RECANTO PAULISTA</t>
  </si>
  <si>
    <t>ANJOS DA HUMANIDADE</t>
  </si>
  <si>
    <t>NCI JARDIM REIMBERG</t>
  </si>
  <si>
    <t>VINTAGE RESIDENCIAL MIRANDÓPOLIS</t>
  </si>
  <si>
    <t>RESIDENCIAL LARA BIANCHI</t>
  </si>
  <si>
    <t>ÚNICA + SÊNIOR CASA DE REPOUSO</t>
  </si>
  <si>
    <t>Rua Cerqueira César, 425</t>
  </si>
  <si>
    <t xml:space="preserve">ESPAÇO GIRASSOL PARA A 3ª IDADE LTDA </t>
  </si>
  <si>
    <t>ESPAÇO GIRASSOL</t>
  </si>
  <si>
    <t>Rua Guaiuba, 29</t>
  </si>
  <si>
    <t>04810-110</t>
  </si>
  <si>
    <t>(11) 2337-3610</t>
  </si>
  <si>
    <t>6074.2025/0000886-7</t>
  </si>
  <si>
    <t>CASA DE REPOUSO RECANTO VÓ ELPÍDIA  LTDA</t>
  </si>
  <si>
    <t>Rua Salvador Simões, 702</t>
  </si>
  <si>
    <t>04276-000</t>
  </si>
  <si>
    <t>(11) 2538-2269</t>
  </si>
  <si>
    <t>6074.2025/0000888-3</t>
  </si>
  <si>
    <t>73.386.070/0019-22</t>
  </si>
  <si>
    <t>Rua Fred Astaire, 160</t>
  </si>
  <si>
    <t>08160-475</t>
  </si>
  <si>
    <t>(11) 2156-8504</t>
  </si>
  <si>
    <t>www.oscmoca.com.br</t>
  </si>
  <si>
    <t>6074.2025/0000889-1</t>
  </si>
  <si>
    <t>73.386.070/0030-38</t>
  </si>
  <si>
    <t>08471-002</t>
  </si>
  <si>
    <t>(11) 2016-2155</t>
  </si>
  <si>
    <t>6074.2025/0000890-5</t>
  </si>
  <si>
    <t>376.3/20</t>
  </si>
  <si>
    <t>376.4/20</t>
  </si>
  <si>
    <t>73.386.070/0026-51</t>
  </si>
  <si>
    <t xml:space="preserve">Avenida dos Matalúrgicos, 1999 anexo B </t>
  </si>
  <si>
    <t>08072-290</t>
  </si>
  <si>
    <t>(11) 2956-5560</t>
  </si>
  <si>
    <t>6074.2025/0000891-3</t>
  </si>
  <si>
    <t>73.386.070/0034-61</t>
  </si>
  <si>
    <t>Rua Francisco José Viana, 382 anexo A</t>
  </si>
  <si>
    <t>08471-533</t>
  </si>
  <si>
    <t>(11) 2558-9678</t>
  </si>
  <si>
    <t>6074.2025/0000935-9</t>
  </si>
  <si>
    <t xml:space="preserve">RESIDENCIAL SÊNIOR VIDA LTDA </t>
  </si>
  <si>
    <t xml:space="preserve">Rua Flório, 473 </t>
  </si>
  <si>
    <t>03372-050</t>
  </si>
  <si>
    <t>Chácara Mafalda</t>
  </si>
  <si>
    <t>(11) 4564-2603</t>
  </si>
  <si>
    <t>6074.2025/0000896-4</t>
  </si>
  <si>
    <t>533.3/21</t>
  </si>
  <si>
    <t>CAPACITAÇÃO TURBINADA</t>
  </si>
  <si>
    <t>6074.2025/0000911-1</t>
  </si>
  <si>
    <t>962/25</t>
  </si>
  <si>
    <t>CLÍNICA DE REPOUSO VIDA'S LTDA</t>
  </si>
  <si>
    <t>RESIDENCIAL VIDAS</t>
  </si>
  <si>
    <t>53.724.593/0001-03</t>
  </si>
  <si>
    <t>Rua Amoroso Costa, 464</t>
  </si>
  <si>
    <t>02045-040</t>
  </si>
  <si>
    <t>(11) 4327-6978</t>
  </si>
  <si>
    <t>residencialvidas@outlook.com</t>
  </si>
  <si>
    <t>6074.2025/0000905-7</t>
  </si>
  <si>
    <t>963/25</t>
  </si>
  <si>
    <t>VILLARI RESIDENCIAL SÊNIOR LTDA</t>
  </si>
  <si>
    <t>VILLARI RESIDENCIAL SÊNIOR</t>
  </si>
  <si>
    <t>46.720.188/0001-43</t>
  </si>
  <si>
    <t>Rua General Lindolfo Câmara Filho, 138</t>
  </si>
  <si>
    <t>04137-030</t>
  </si>
  <si>
    <t>(11) 96466-4171</t>
  </si>
  <si>
    <t>lucantadeiro@yahoo.com.br</t>
  </si>
  <si>
    <t>www.villariresidencialsenior.com.br</t>
  </si>
  <si>
    <t>6074.2025/0000900-6</t>
  </si>
  <si>
    <t>964/25</t>
  </si>
  <si>
    <t>GRUPO CHAVERIM</t>
  </si>
  <si>
    <t>VIVÊNCIAS DA AMIZADE: ENVELHECENDO JUNTOS</t>
  </si>
  <si>
    <t>07.001.031/0001-06</t>
  </si>
  <si>
    <t>Rua Hungria, 1000</t>
  </si>
  <si>
    <t>01455-000</t>
  </si>
  <si>
    <t>Jardim Paulistano</t>
  </si>
  <si>
    <t>(11) 3818-8876</t>
  </si>
  <si>
    <t>comunicacao@chaverim.org.br</t>
  </si>
  <si>
    <t>6074.2025/0000908-1</t>
  </si>
  <si>
    <t>965/25</t>
  </si>
  <si>
    <t>RESIDENICIAL CURY CASA DE REPOUSO LTDA</t>
  </si>
  <si>
    <t>RESIDENCIAL CURY</t>
  </si>
  <si>
    <t>47.953.045/0001-44</t>
  </si>
  <si>
    <t>Praça Nova América, 152</t>
  </si>
  <si>
    <t>04316-090</t>
  </si>
  <si>
    <t>(11) 5011-3300</t>
  </si>
  <si>
    <t>soleidecj@gmail.com</t>
  </si>
  <si>
    <t>6074.2025/0001017-9</t>
  </si>
  <si>
    <t>Rua Carlos Tiago Pereira, nº 450</t>
  </si>
  <si>
    <t>04150-080</t>
  </si>
  <si>
    <t>966/25</t>
  </si>
  <si>
    <t>HOTEL E HOSPEDAGEM LUZ DO AMANHECER LTDA</t>
  </si>
  <si>
    <t>52.061.839/0001-33</t>
  </si>
  <si>
    <t>Rua José Elias, 83</t>
  </si>
  <si>
    <t>05083-030</t>
  </si>
  <si>
    <t>(11) 96487-2082</t>
  </si>
  <si>
    <t>luzdoamanhecer83@gmail.com</t>
  </si>
  <si>
    <t>6074.2025/0001033-0</t>
  </si>
  <si>
    <t>02938-020</t>
  </si>
  <si>
    <t>Vila Pirituba</t>
  </si>
  <si>
    <t>biancarocco@gmail.com</t>
  </si>
  <si>
    <t>(11) 2935-8232</t>
  </si>
  <si>
    <t>pensionatodire16@gmail.com</t>
  </si>
  <si>
    <t>CASA DE REPOUSO DAS OLIVEIRAS 2</t>
  </si>
  <si>
    <t>247.6/18</t>
  </si>
  <si>
    <t>ESPAÇO CONVIVER</t>
  </si>
  <si>
    <t>(11) 3123-7351</t>
  </si>
  <si>
    <t>6074.2025/0001180-9</t>
  </si>
  <si>
    <t>CASA DE REPOUSO M &amp; C</t>
  </si>
  <si>
    <t>HOTEL E HOSPEDAGEM LUZ DO AMANHECER</t>
  </si>
  <si>
    <t>(11) 95662-0701</t>
  </si>
  <si>
    <t>Rua Marechal Mendes de Morais, 13</t>
  </si>
  <si>
    <t>Rua Rio Boa Esperança, 713 anexo B</t>
  </si>
  <si>
    <t>CARDOSO PARTICIPAÇÕES E EMPREENDIMENTOS HOSPITALARES LTDA</t>
  </si>
  <si>
    <t>CASA DE REPOUSO PAINEIRAS</t>
  </si>
  <si>
    <t>Rua Moinho Velho,  505</t>
  </si>
  <si>
    <t>02929-000</t>
  </si>
  <si>
    <t>(11) 3976-4268</t>
  </si>
  <si>
    <t>6074.2025/0001381-0</t>
  </si>
  <si>
    <t>LAR SÃO NICOLAU</t>
  </si>
  <si>
    <t>Rua dos Cafezais, 203</t>
  </si>
  <si>
    <t>04364-000</t>
  </si>
  <si>
    <t>Jardim Prudência</t>
  </si>
  <si>
    <t>(11) 3539-3940</t>
  </si>
  <si>
    <t>sfpsecretaria@gmail.com</t>
  </si>
  <si>
    <t>www.larsaonicolau.com.br</t>
  </si>
  <si>
    <t>6074.2025/0001382-8</t>
  </si>
  <si>
    <t>NCI ABC AURORA</t>
  </si>
  <si>
    <t>Travessa Califa de Bagdá, 105</t>
  </si>
  <si>
    <t>08240-160</t>
  </si>
  <si>
    <t>(11) 2053-3971</t>
  </si>
  <si>
    <t>thalita@abcaurora.org.br</t>
  </si>
  <si>
    <t>967/25</t>
  </si>
  <si>
    <t>CASA DE REPOUSO OKINAWA 3 LTDA</t>
  </si>
  <si>
    <t>CASA DE REPOUSO OKINAWA 3</t>
  </si>
  <si>
    <t>26.876.010/0001-89</t>
  </si>
  <si>
    <t>Rua Bendiapá, 83</t>
  </si>
  <si>
    <t>(11) 2094-5252</t>
  </si>
  <si>
    <t>danielfugice@gmail.com</t>
  </si>
  <si>
    <t>6074.2025/0001377-1</t>
  </si>
  <si>
    <t>968/25</t>
  </si>
  <si>
    <t>BELLA IDADE RESIDENCIAL DE IDOSOS LTDA</t>
  </si>
  <si>
    <t>BELLA IDADE RESIDENCIAL DE IDOSOS</t>
  </si>
  <si>
    <t>50.101.240/0001-50</t>
  </si>
  <si>
    <t>Rua Beira do Mar, 140</t>
  </si>
  <si>
    <t>04857-160</t>
  </si>
  <si>
    <t>Jardim Marilda</t>
  </si>
  <si>
    <t>(11) 3181-9108</t>
  </si>
  <si>
    <t>bella.idaderesidencial2023@gmail.com</t>
  </si>
  <si>
    <t>6074.2025/0001380-1</t>
  </si>
  <si>
    <t>969/25</t>
  </si>
  <si>
    <t>RESIDENCIAL SÊNIOR CONTINUIDADE LTDA</t>
  </si>
  <si>
    <t>RESIDENCIAL SÊNIOR CONTINUIDADE</t>
  </si>
  <si>
    <t>47.006.104/0001-77</t>
  </si>
  <si>
    <t>Rua Benjamin Pereira, 587</t>
  </si>
  <si>
    <t>02274-001</t>
  </si>
  <si>
    <t>(11) 99207-7410</t>
  </si>
  <si>
    <t>andre180181ccb@gmail.com</t>
  </si>
  <si>
    <t>6074.2025/0001385-2</t>
  </si>
  <si>
    <t>LAR PEDRO BALÁZS</t>
  </si>
  <si>
    <t>29.503.605/0001-87</t>
  </si>
  <si>
    <t>Rua Ribeiro de Morais, 952</t>
  </si>
  <si>
    <t>02731-030</t>
  </si>
  <si>
    <t>(11) 3931-6560</t>
  </si>
  <si>
    <t>atendimento@larpedrobalazs.com.br</t>
  </si>
  <si>
    <t>www.larpedrobalazs.com.br</t>
  </si>
  <si>
    <t>6074.2025/0001396-8</t>
  </si>
  <si>
    <t>(11) 95123-7672</t>
  </si>
  <si>
    <t>970/25</t>
  </si>
  <si>
    <t>ASSOCIAÇÃO BENEFICENTE COMUNITÁRIA E CULTURA NÚCLEO DE ATENDIMENTO SOCIAL</t>
  </si>
  <si>
    <t>NCI ABECAM</t>
  </si>
  <si>
    <t>07.190.699/0001-49</t>
  </si>
  <si>
    <t>Rua Professor Pedro Antonio Pimentel, 104</t>
  </si>
  <si>
    <t>08380-003</t>
  </si>
  <si>
    <t>Jardim Iguatemi</t>
  </si>
  <si>
    <t>(11) 2676-7027</t>
  </si>
  <si>
    <t>financeiroabecam@gmail.com</t>
  </si>
  <si>
    <t>www.abecam.com.br</t>
  </si>
  <si>
    <t>6074.2025/0001498-0</t>
  </si>
  <si>
    <t>ASSOCIAÇÃO UB</t>
  </si>
  <si>
    <t>NUTRI REPOUSO</t>
  </si>
  <si>
    <t>37.976.829/0001-34</t>
  </si>
  <si>
    <t>04537-040</t>
  </si>
  <si>
    <t>Vila Nova Conceição</t>
  </si>
  <si>
    <t>(11) 97093-1818</t>
  </si>
  <si>
    <t>operacao@unidosdobem.org.br</t>
  </si>
  <si>
    <t>www.unidosdobem.org.br</t>
  </si>
  <si>
    <t>6074.2025/0001499-9</t>
  </si>
  <si>
    <t>866.2/24</t>
  </si>
  <si>
    <t>CAEI MACEDONIA</t>
  </si>
  <si>
    <t>Rua Maria Aparecida Anacleto, 461</t>
  </si>
  <si>
    <t>04809-120</t>
  </si>
  <si>
    <t>Terceira Divisão</t>
  </si>
  <si>
    <t>(11) 2539-0739</t>
  </si>
  <si>
    <t>6074.2025/0001523-5</t>
  </si>
  <si>
    <t>971/25</t>
  </si>
  <si>
    <t>SOCIEDADE BENEFICENTE ALEMÃ</t>
  </si>
  <si>
    <t>www.sba-br.org.br</t>
  </si>
  <si>
    <t>972/25</t>
  </si>
  <si>
    <t>NÚCLEO EDUCACIONAL E DE INTERAÇÃO PARA IDOSOS ABUELOS LTDA</t>
  </si>
  <si>
    <t>ABUELOS CENTRO DIA PARA IDOSOS</t>
  </si>
  <si>
    <t>47.845.611/0001-02</t>
  </si>
  <si>
    <t>Rua Bom Pastor, 1273</t>
  </si>
  <si>
    <t>04203-051</t>
  </si>
  <si>
    <t>(11) 2366-8804</t>
  </si>
  <si>
    <t>administrativo@abuelos.com.br</t>
  </si>
  <si>
    <t>www.abuelos.com.br</t>
  </si>
  <si>
    <t>6074.2025/0001565-0</t>
  </si>
  <si>
    <t>973/25</t>
  </si>
  <si>
    <t>SOCIEDADE DE AMPARO FRATERNO CASA DO CAMINHO</t>
  </si>
  <si>
    <t>NCI TIÃOZINHO</t>
  </si>
  <si>
    <t>43.897.560/0001-01</t>
  </si>
  <si>
    <t>Rua Jorge Rubens Neiva de Camargo, 110</t>
  </si>
  <si>
    <t>04337-090</t>
  </si>
  <si>
    <t>Americanópolis</t>
  </si>
  <si>
    <t>(11) 5084-9058</t>
  </si>
  <si>
    <t>administrativo@safrater.org.br</t>
  </si>
  <si>
    <t>www.safrater.org.br</t>
  </si>
  <si>
    <t>6074.2025/0001595-2</t>
  </si>
  <si>
    <t>43.897.560/0005-27</t>
  </si>
  <si>
    <t>974/25</t>
  </si>
  <si>
    <t>DOIS IRMÃOS LAR ROSA LTDA</t>
  </si>
  <si>
    <t>LAR ROSA DE SARON UNIDADE II</t>
  </si>
  <si>
    <t>53.024.728/0001-10</t>
  </si>
  <si>
    <t>6074.2025/0001596-0</t>
  </si>
  <si>
    <t>60.533.940/0001-78</t>
  </si>
  <si>
    <t>(11) 3866-2754</t>
  </si>
  <si>
    <t>diretoria@sedes.org.br</t>
  </si>
  <si>
    <t>www.sedes.org.br</t>
  </si>
  <si>
    <t>975/25</t>
  </si>
  <si>
    <t>EL SHADAY CASA DE REPOUSO SLU LTDA</t>
  </si>
  <si>
    <t>EL SHADAY</t>
  </si>
  <si>
    <t>47.389.781/0001-11</t>
  </si>
  <si>
    <t>Rua Higino Angles, 15</t>
  </si>
  <si>
    <t>05710-040</t>
  </si>
  <si>
    <t>Jardim Vazani</t>
  </si>
  <si>
    <t>(11) 2367-3602</t>
  </si>
  <si>
    <t>enfermeirafernandes@outlook.com</t>
  </si>
  <si>
    <t>6074.2025/0001638-0</t>
  </si>
  <si>
    <t>976/25</t>
  </si>
  <si>
    <t>SLH CASA DE REPOUSO LTDA</t>
  </si>
  <si>
    <t>53.204.923/0001-21</t>
  </si>
  <si>
    <t>Alameda Gabriel Monteiro da Silva, 2647</t>
  </si>
  <si>
    <t>01441-002</t>
  </si>
  <si>
    <t>(11) 95669-4905</t>
  </si>
  <si>
    <t>rafael.matsunaga@tercadaserra.com.br</t>
  </si>
  <si>
    <t>www.tercadaserra.com.br/unidade/europa</t>
  </si>
  <si>
    <t>6074.2025/0001640-1</t>
  </si>
  <si>
    <t>977/25</t>
  </si>
  <si>
    <t>CARLOS FERMI GANDAREZ</t>
  </si>
  <si>
    <t>INSTITUIÇÃO IRMÃOS DE VIDA</t>
  </si>
  <si>
    <t>35.151.591/0001-82</t>
  </si>
  <si>
    <t>Rua Clarinda Maria de Oliveira, 204</t>
  </si>
  <si>
    <t>(11) 2986-9067</t>
  </si>
  <si>
    <t>manuella.gandarez@instituicaoirmaosdevida.com.br</t>
  </si>
  <si>
    <t>www.instituicaoirmaosdevida.com.br</t>
  </si>
  <si>
    <t>6074.2025/0001642-8</t>
  </si>
  <si>
    <t>RESIDENCIAL REABILITY</t>
  </si>
  <si>
    <t xml:space="preserve">Rua Luzia da Conceição Moraes, n° 384 - sala 01 </t>
  </si>
  <si>
    <t>03421-010</t>
  </si>
  <si>
    <t>6074.2025/0001650-9</t>
  </si>
  <si>
    <t>SBA RESIDENCIAL</t>
  </si>
  <si>
    <t>978/25</t>
  </si>
  <si>
    <t>RESIDENCIAL VERA SÊNIOR CASA DE REPOUSO LTDA</t>
  </si>
  <si>
    <t>RESIDENCIAL VERA SÊNIOR</t>
  </si>
  <si>
    <t>43.663.191/0001-84</t>
  </si>
  <si>
    <t>Rua Guilherme Gama, 195</t>
  </si>
  <si>
    <t>04368-120</t>
  </si>
  <si>
    <t>Jardim Santo Antoninho</t>
  </si>
  <si>
    <t>(11) 94762-7517</t>
  </si>
  <si>
    <t>contato@verasenior.com.br</t>
  </si>
  <si>
    <t>www.verasenior.com.br</t>
  </si>
  <si>
    <t>6074.2025/0001752-1</t>
  </si>
  <si>
    <t>979/25</t>
  </si>
  <si>
    <t>CASA DE REPOUSO RECANTO DO BEM ESTAR LTDA</t>
  </si>
  <si>
    <t>RECANTO FLORES DA VIDA</t>
  </si>
  <si>
    <t>Rua Caçaquera, 235</t>
  </si>
  <si>
    <t>03412-030</t>
  </si>
  <si>
    <t>Vila Antonina</t>
  </si>
  <si>
    <t>(11) 2227-3006</t>
  </si>
  <si>
    <t>6074.2025/0001776-9</t>
  </si>
  <si>
    <t>CASA DE REPOUSO OLIVEIRAS</t>
  </si>
  <si>
    <t xml:space="preserve">Rua Ilansa,  153 </t>
  </si>
  <si>
    <t>03127-070</t>
  </si>
  <si>
    <t>(11) 3405-3595</t>
  </si>
  <si>
    <t>6074.2025/0001778-5</t>
  </si>
  <si>
    <t>980/25</t>
  </si>
  <si>
    <t>MCRO RESIDENCIAL SÊNIOR LTDA</t>
  </si>
  <si>
    <t>TERÇA DA SERRA RESIDENCIAL SÊNIOR MOOCA</t>
  </si>
  <si>
    <t>54.635.580/0001-12</t>
  </si>
  <si>
    <t>Rua Carlos Venture, 102</t>
  </si>
  <si>
    <t>03123-050</t>
  </si>
  <si>
    <t>6074.2025/0001820-0</t>
  </si>
  <si>
    <t>CORA MORUMBI</t>
  </si>
  <si>
    <t>05525-000</t>
  </si>
  <si>
    <t>Jardim Jussara</t>
  </si>
  <si>
    <t>(11) 3751-4951</t>
  </si>
  <si>
    <t>www.corasenior.com.br/cora-morumbi</t>
  </si>
  <si>
    <t>6074.2025/0001844-7</t>
  </si>
  <si>
    <t>RESIDENCIAL PARA IDOSOS</t>
  </si>
  <si>
    <t>Rua Mariano Procópio, 82</t>
  </si>
  <si>
    <t>6074.2025/0001872-2</t>
  </si>
  <si>
    <t>RECANTO DAS FLORES</t>
  </si>
  <si>
    <t>Avenida Eng. Armando de Arruda Pereira, 1500</t>
  </si>
  <si>
    <t>04308-001</t>
  </si>
  <si>
    <t>tesoureiro@recantodasflores.org.br</t>
  </si>
  <si>
    <t>www.recantodasflores.org.br</t>
  </si>
  <si>
    <t>6074.2025/0001873-0</t>
  </si>
  <si>
    <t>981/25</t>
  </si>
  <si>
    <t>36.113.570/0001-35</t>
  </si>
  <si>
    <t>Rua Brigadeiro Gavião Peixoto, 19</t>
  </si>
  <si>
    <t>(11) 4327-2373</t>
  </si>
  <si>
    <t>residencialflowersgarden19@gmail.com</t>
  </si>
  <si>
    <t>6074.2025/0001890-0</t>
  </si>
  <si>
    <t>RESIDENCIAL FLOWER'S GARDEM LTDA</t>
  </si>
  <si>
    <t>RESIDENCIAL FLOWER'S GARDEM</t>
  </si>
  <si>
    <t>982/25</t>
  </si>
  <si>
    <t>LONGEVIDA</t>
  </si>
  <si>
    <t>03.212.991/0001-64</t>
  </si>
  <si>
    <t>(11) 97970-3456</t>
  </si>
  <si>
    <t>centrodeapoiowatanabe@gmail.com</t>
  </si>
  <si>
    <t>www.centrodeapoioizumiwatanabe.com</t>
  </si>
  <si>
    <t>6074.2025/0001963-0</t>
  </si>
  <si>
    <t>983/25</t>
  </si>
  <si>
    <t>FA SERVIÇOS SOCIAIS LTDA</t>
  </si>
  <si>
    <t>CENTRO DE CONVIVÊNCIA PARA IDOSOS BONA VITA</t>
  </si>
  <si>
    <t>51.996.276/0001-02</t>
  </si>
  <si>
    <t>Rua Doutor Octacílio de Carvalho Lopes, 185</t>
  </si>
  <si>
    <t>05844-180</t>
  </si>
  <si>
    <t>Jardim São Luís</t>
  </si>
  <si>
    <t>(11) 97799-9814</t>
  </si>
  <si>
    <t>dautoralves@gmail.com</t>
  </si>
  <si>
    <t>6074.2025/0002014-0</t>
  </si>
  <si>
    <t>310.3/19</t>
  </si>
  <si>
    <t>03034-070</t>
  </si>
  <si>
    <t>Canindé</t>
  </si>
  <si>
    <t>(11) 3227-3967</t>
  </si>
  <si>
    <t>6074.2025/0002018-2</t>
  </si>
  <si>
    <t>CAEI SÍTIO DAS ALAMEDAS</t>
  </si>
  <si>
    <t>984/25</t>
  </si>
  <si>
    <t>MOVIMENTO ORGANIZACIONAL VENCER, EDUCAR E REALIZAR</t>
  </si>
  <si>
    <t>GASTRONOMIA E SABERES DA PESSOA IDOSA</t>
  </si>
  <si>
    <t>10.935.841/0001-44</t>
  </si>
  <si>
    <t>FEI</t>
  </si>
  <si>
    <t>Estrada das Lágrimas, 337 - Praça Altemar Dutra</t>
  </si>
  <si>
    <t>04231-000</t>
  </si>
  <si>
    <t>(11) 99935-7083</t>
  </si>
  <si>
    <t>moverhelipa@gmail.com</t>
  </si>
  <si>
    <t>www.moverhelipa.org.br</t>
  </si>
  <si>
    <t>6074.2025/0002046-8</t>
  </si>
  <si>
    <t xml:space="preserve">Rua Zacarias Góis, 1752 </t>
  </si>
  <si>
    <t>(11) 5561-1668</t>
  </si>
  <si>
    <t>www.moradadarealeza.com.br</t>
  </si>
  <si>
    <t>6074.2025/0002060-3</t>
  </si>
  <si>
    <t>C.I.A.I. – CENTRO INTEGRADO DE ATENDIMENTO AO IDOSO LTDA</t>
  </si>
  <si>
    <t>Rua Alfredo Mendes da Silva, 201</t>
  </si>
  <si>
    <t>Rua Comendador Nestor Pereira, 75 A</t>
  </si>
  <si>
    <t>CASA DE REPOUSO RECANTO VIVER A VIDA LTDA</t>
  </si>
  <si>
    <t>Rua Félix de Oliveira, 179</t>
  </si>
  <si>
    <t>08020-040</t>
  </si>
  <si>
    <t>Parque Sônia</t>
  </si>
  <si>
    <t>(11) 2054-5872</t>
  </si>
  <si>
    <t>jzildenarpaiva@gmail.com</t>
  </si>
  <si>
    <t>6074.2025/0002112-0</t>
  </si>
  <si>
    <t>985/25</t>
  </si>
  <si>
    <t>LAÇOS DE CARINHO RESIDENCIAL PARA IDOSOS LTDA</t>
  </si>
  <si>
    <t>LAÇOS DE CARINHO RESIDENCIAL</t>
  </si>
  <si>
    <t>56.259.827/0001-79</t>
  </si>
  <si>
    <t>Vila Mangalot</t>
  </si>
  <si>
    <t>(11) 98864-8157</t>
  </si>
  <si>
    <t>lacosdecarinho2024@gmail.com</t>
  </si>
  <si>
    <t>6074.2025/0002172-3</t>
  </si>
  <si>
    <t>CASA DE REPOUSO NOVA MORADA</t>
  </si>
  <si>
    <t>(11) 2911-4598</t>
  </si>
  <si>
    <t>CAEI HOTEL SOCIAL SANTANA</t>
  </si>
  <si>
    <t>Rua Doutor Olavo Egídio, 170</t>
  </si>
  <si>
    <t>02037-000</t>
  </si>
  <si>
    <t>(11) 2972-6311</t>
  </si>
  <si>
    <t>6074.2025/0002200-2</t>
  </si>
  <si>
    <t>162.4/17</t>
  </si>
  <si>
    <t>56.053.350/0001-70</t>
  </si>
  <si>
    <t>986/25</t>
  </si>
  <si>
    <t>RESIDENCIAL SÊNIOR VILLAGGIO BELLA PROSA LTDA</t>
  </si>
  <si>
    <t>VILLAGGIO BELLA PROSA</t>
  </si>
  <si>
    <t>54.400.915/0001-13</t>
  </si>
  <si>
    <t>Praça Santo Atanásio, 118</t>
  </si>
  <si>
    <t>03355-030</t>
  </si>
  <si>
    <t>(11) 2359-1231</t>
  </si>
  <si>
    <t>adm@villaggiobellaprosa.com.br</t>
  </si>
  <si>
    <t>6074.2025/0002269-0</t>
  </si>
  <si>
    <t>987/25</t>
  </si>
  <si>
    <t>INSTITUTO NACIONAL DE AÇÕES E TERAPIAS ASSISTIDAS POR ANIMAIS - INATAA</t>
  </si>
  <si>
    <t xml:space="preserve">FLORESCER  </t>
  </si>
  <si>
    <t>10.624.316/0001-08</t>
  </si>
  <si>
    <t>05448-020 / 05564-100</t>
  </si>
  <si>
    <t>Rua Bernarda Luiz, 129 / Avenida Engenheiro Heitor Antônio Eiras Garcia, 5531</t>
  </si>
  <si>
    <t>Alto de Pinheiros / Butantã</t>
  </si>
  <si>
    <t>(11) 99734-0993</t>
  </si>
  <si>
    <t>presidencia@inataa.org.br</t>
  </si>
  <si>
    <t>www.inataa.org.br</t>
  </si>
  <si>
    <t>6074.2025/0002303-3</t>
  </si>
  <si>
    <t>34.227.474/0001-92</t>
  </si>
  <si>
    <t>contato@crumnovotempo.com.br</t>
  </si>
  <si>
    <t>www.crumnovotempo.com.br</t>
  </si>
  <si>
    <t>(11) 97244-6638</t>
  </si>
  <si>
    <t>residencialvivalavitta@gmail.com.br</t>
  </si>
  <si>
    <t>196.2/17</t>
  </si>
  <si>
    <t>196.1/17</t>
  </si>
  <si>
    <t>LAR DE IDOSOS JARDIM JAPÃO</t>
  </si>
  <si>
    <t>26.220.668/0002-19</t>
  </si>
  <si>
    <t>Praça Yedo, 127</t>
  </si>
  <si>
    <t>02134-050</t>
  </si>
  <si>
    <t>(11) 2337-8562</t>
  </si>
  <si>
    <t>6074.2025/0002377-7</t>
  </si>
  <si>
    <t>04569-011</t>
  </si>
  <si>
    <t>(11) 3459-1347</t>
  </si>
  <si>
    <t>www.casaflormelhoridade.com.br</t>
  </si>
  <si>
    <t>6074.2025/0002419-6</t>
  </si>
  <si>
    <t>CASA DAMIÃO DE MOLOKAI</t>
  </si>
  <si>
    <t>Rua José Zappi, 255</t>
  </si>
  <si>
    <t>(11) 2271-3344/(11) 963082262</t>
  </si>
  <si>
    <t>RECANTO DO IDOSO ANHANGUERA LTDA</t>
  </si>
  <si>
    <t>RECANTO DO IDOSO ANHANGUERA</t>
  </si>
  <si>
    <t>Perus/Anhanguera</t>
  </si>
  <si>
    <t>(11) 5198-4168</t>
  </si>
  <si>
    <t>988/25</t>
  </si>
  <si>
    <t>ASSOCIAÇÃO SAÚDE, DIREITOS E DEVERES A TODOS</t>
  </si>
  <si>
    <t>PREVENÇÃO E DIAGNÓSTICO PRECOCE DO CÂNCER DE PELE EM IDOSOS</t>
  </si>
  <si>
    <t>07.855.811/0001-13</t>
  </si>
  <si>
    <t>Rua Corta Vento, 26, Cj. 11</t>
  </si>
  <si>
    <t>(11) 97638-3257</t>
  </si>
  <si>
    <t>adetodoscontato@gmail.com</t>
  </si>
  <si>
    <t>www.adetodos.org</t>
  </si>
  <si>
    <t>6074.2025/0002425-0</t>
  </si>
  <si>
    <t>VIVERE (MATRIZ)</t>
  </si>
  <si>
    <t>04635-020</t>
  </si>
  <si>
    <t>(11) 2337-4114</t>
  </si>
  <si>
    <t>vivere.residencial160@gmail.com</t>
  </si>
  <si>
    <t>6074.2025/0002464-1</t>
  </si>
  <si>
    <t>VIVERE (FILIAL)</t>
  </si>
  <si>
    <t>04.397.294/0002-79</t>
  </si>
  <si>
    <t>04635-021</t>
  </si>
  <si>
    <t>www.residencialvivere.com.br</t>
  </si>
  <si>
    <t>6074.2025/0002465-0</t>
  </si>
  <si>
    <t>Rua Traipú, 954</t>
  </si>
  <si>
    <t>989/25</t>
  </si>
  <si>
    <t>CASA DE PAULINA</t>
  </si>
  <si>
    <t>30.496.549/0001-80</t>
  </si>
  <si>
    <t>Rua Dr. Bacelar, 618</t>
  </si>
  <si>
    <t>04026-001</t>
  </si>
  <si>
    <t>(11) 2777-3591</t>
  </si>
  <si>
    <t>casadepaulinaresidencial@gmail.com</t>
  </si>
  <si>
    <t>6074.2025/0002546-0</t>
  </si>
  <si>
    <t>990/25</t>
  </si>
  <si>
    <t>RESIDENCIAL OKINAWA - MORADIA ASSISTIDA PARA IDOSOS LTDA</t>
  </si>
  <si>
    <t>CASA OKINAWA</t>
  </si>
  <si>
    <t>17.946.234/0001-29</t>
  </si>
  <si>
    <t>Rua Jericinó, 207</t>
  </si>
  <si>
    <t>03442-000</t>
  </si>
  <si>
    <t>Chácara California</t>
  </si>
  <si>
    <t>(11) 95971-5343</t>
  </si>
  <si>
    <t>joelzakimi7@gmail.com</t>
  </si>
  <si>
    <t>www.casaderepousookinawa.com.br</t>
  </si>
  <si>
    <t>6074.2025/0002579-6</t>
  </si>
  <si>
    <t>991/25</t>
  </si>
  <si>
    <t>RESIDENCIAL PARA IDOSOS 4 ESTAÇÕES PRIMAVERA LTDA</t>
  </si>
  <si>
    <t>VILLA 4 ESTAÇÕES PRIMAVERA</t>
  </si>
  <si>
    <t>57.378.642/0001-46</t>
  </si>
  <si>
    <t>Rua Luisiania, 555</t>
  </si>
  <si>
    <t>04560-021</t>
  </si>
  <si>
    <t>(11) 99166-7749</t>
  </si>
  <si>
    <t>cassiobellato@gmail.com</t>
  </si>
  <si>
    <t>6074.2025/0002613-0</t>
  </si>
  <si>
    <t>992/25</t>
  </si>
  <si>
    <t>RESIDENCIAL DE IDOSOS PISAMJU LTDA</t>
  </si>
  <si>
    <t>CASA DE REPOUSO PISAMJU</t>
  </si>
  <si>
    <t>46.296.005/0001-04</t>
  </si>
  <si>
    <t>Rua Aristeu Dias Leme, 80</t>
  </si>
  <si>
    <t>(11) 95768-9206</t>
  </si>
  <si>
    <t>www.residencialdeidosospisamju.com.br</t>
  </si>
  <si>
    <t>6074.2025/0002614-8</t>
  </si>
  <si>
    <t>(11) 3742-0516</t>
  </si>
  <si>
    <t>6074.2025/0002615-6</t>
  </si>
  <si>
    <t>993/25</t>
  </si>
  <si>
    <t>LAR MARIAH LTDA</t>
  </si>
  <si>
    <t>LAR MARIAH</t>
  </si>
  <si>
    <t>58.147.767/0001-28</t>
  </si>
  <si>
    <t>Jardim Vera Cruz</t>
  </si>
  <si>
    <t>marymagali@hotmail.com</t>
  </si>
  <si>
    <t>6074.2025/0002616-4</t>
  </si>
  <si>
    <t>452.4/21</t>
  </si>
  <si>
    <t>EMPREENDE 60+</t>
  </si>
  <si>
    <t>secretaria@velhoamigo.org.br</t>
  </si>
  <si>
    <t>6074.2025/0002638-5</t>
  </si>
  <si>
    <t>452.5/21</t>
  </si>
  <si>
    <t>VELHO É SEU PRECONCEITO</t>
  </si>
  <si>
    <t>6074.2025/0002640-7</t>
  </si>
  <si>
    <t>760.2/23</t>
  </si>
  <si>
    <t>760.1/23</t>
  </si>
  <si>
    <t>BALI RESIDENCIAL PARA IDOSOS (FILIAL)</t>
  </si>
  <si>
    <t>44.834.327/0002-15</t>
  </si>
  <si>
    <t>6074.2025/0002655-5</t>
  </si>
  <si>
    <t>Rua Ribeiro do Vale, 1342</t>
  </si>
  <si>
    <t>883.2/24</t>
  </si>
  <si>
    <t>31.428.522/0002-01</t>
  </si>
  <si>
    <t>Praça Senador José Roberto Leite Penteado, 550</t>
  </si>
  <si>
    <t>05078-020</t>
  </si>
  <si>
    <t>(11) 3832-0304</t>
  </si>
  <si>
    <t>6074.2025/0002685-7</t>
  </si>
  <si>
    <t>883.1/24</t>
  </si>
  <si>
    <t>BEM VIVER</t>
  </si>
  <si>
    <t>04046-500</t>
  </si>
  <si>
    <t>(11) 94056-3186</t>
  </si>
  <si>
    <t>www.obrasocialsjt.org.br</t>
  </si>
  <si>
    <t>Av. Jabaquara, 2682</t>
  </si>
  <si>
    <t>casaderepousonovamorada2024@gmail.com</t>
  </si>
  <si>
    <t>994/25</t>
  </si>
  <si>
    <t>CASA MARIA FLOR RESIDENCIAL PARA IDOSOS LTDA</t>
  </si>
  <si>
    <t>CASA MARIA FLOR</t>
  </si>
  <si>
    <t>24.839.048/0001-56</t>
  </si>
  <si>
    <t>Rua Estoril, 22</t>
  </si>
  <si>
    <t>04773-090</t>
  </si>
  <si>
    <t>(11) 3486-0031</t>
  </si>
  <si>
    <t>contato@casamariaflor.com.br</t>
  </si>
  <si>
    <t>www.casamariaflor.com.br</t>
  </si>
  <si>
    <t>6074.2025/0002825-6</t>
  </si>
  <si>
    <t>995/25</t>
  </si>
  <si>
    <t xml:space="preserve">INSTITUTO VIDAS PELO FUTURO </t>
  </si>
  <si>
    <t>40.483.172/0001-88</t>
  </si>
  <si>
    <t>Rua Manoel Alves da Rocha, 665</t>
  </si>
  <si>
    <t>(11) 2048-6572</t>
  </si>
  <si>
    <t>institutovidaspelofuturo@gmail.com</t>
  </si>
  <si>
    <t>6074.2025/0002842-6</t>
  </si>
  <si>
    <t>www.cacs-cairbarschutel.org.br</t>
  </si>
  <si>
    <t>CENTRO DIA PARA IDOSOS - DR. RICARDO</t>
  </si>
  <si>
    <t>996/25</t>
  </si>
  <si>
    <t>ABA - ASSOCIAÇÃO BELLA ATITUDE</t>
  </si>
  <si>
    <t xml:space="preserve">BELLA IDADE </t>
  </si>
  <si>
    <t>59.627.750/0001-30</t>
  </si>
  <si>
    <t>(11) 2361-5888</t>
  </si>
  <si>
    <t>aba.bellaatitude@gmail.com</t>
  </si>
  <si>
    <t>6074.2025/0002877-9</t>
  </si>
  <si>
    <t>Rua Jumana, 201</t>
  </si>
  <si>
    <t xml:space="preserve">RESIDENCIAL PARA IDOSOS SOPHIA LTDA </t>
  </si>
  <si>
    <t>RESIDENCIAL PARA IDOSOS SOPHIA (FILIAL)</t>
  </si>
  <si>
    <t>GLORIA INÉS GONZÁLES AVILA</t>
  </si>
  <si>
    <t xml:space="preserve">Rua Coronel Mendonça, n° 344 </t>
  </si>
  <si>
    <t>(11) 94734-9974</t>
  </si>
  <si>
    <t>6074.2025/0002935-0</t>
  </si>
  <si>
    <t>NCI JARDIM MIRIAM</t>
  </si>
  <si>
    <t xml:space="preserve">Rua Diogo Arias, nº 51 </t>
  </si>
  <si>
    <t>04417-060</t>
  </si>
  <si>
    <t>Jardim Miriam</t>
  </si>
  <si>
    <t>(11) 4305-2187</t>
  </si>
  <si>
    <t>6074.2025/0002961-9</t>
  </si>
  <si>
    <t>elisangela.carvalhoecl@gmail.com</t>
  </si>
  <si>
    <t>(11) 97729-5495/97787-7341</t>
  </si>
  <si>
    <t>997/25</t>
  </si>
  <si>
    <t>ALDEIA DO FUTURO - ASSOCIAÇÃO PARA MELHORIA DA CONDIÇÃO DA POPULAÇÃO CARENTE</t>
  </si>
  <si>
    <t>CCINTER ALDEIA DO FUTURO</t>
  </si>
  <si>
    <t>74.137.126/0001-49</t>
  </si>
  <si>
    <t>Rua Jorge Rubens Neiva de Camargo, 228</t>
  </si>
  <si>
    <t>(11) 5563-4436</t>
  </si>
  <si>
    <t>certificados@lemecontabil.com.br</t>
  </si>
  <si>
    <t>www.aldeiadofuturo.org.br</t>
  </si>
  <si>
    <t>6074.2025/0002997-0</t>
  </si>
  <si>
    <t>998/25</t>
  </si>
  <si>
    <t>INSTITUTO RINO EDUCAÇÃO</t>
  </si>
  <si>
    <t>REESCREVENDO A VIDA</t>
  </si>
  <si>
    <t>51.235.280/0001-58</t>
  </si>
  <si>
    <t>Rua Salvador Maella, 180</t>
  </si>
  <si>
    <t>03572-050</t>
  </si>
  <si>
    <t>Jardim Santa Teresinha</t>
  </si>
  <si>
    <t>(11) 97557-4772</t>
  </si>
  <si>
    <t>diretoria@institutorino.org.br</t>
  </si>
  <si>
    <t>www.institutorino.org.br</t>
  </si>
  <si>
    <t>6074.2025/0003007-2</t>
  </si>
  <si>
    <t>ASSOCIAÇÃO NIPO-BRASILEIRA DE ASSISTÊNCIA SOCIAL - ENKYO</t>
  </si>
  <si>
    <t>CENTRO DE CONVIVÊNCIA PARA IDOSOS - CCI</t>
  </si>
  <si>
    <t>R. Deputado Lacerda Franco, 287</t>
  </si>
  <si>
    <t>05418-000</t>
  </si>
  <si>
    <t>sandra@fundacaobritanica.org.br</t>
  </si>
  <si>
    <t>NÚCLEO DE CONVIVÊNCIA PARA IDOSOS</t>
  </si>
  <si>
    <t>CASA DE REPOUSO BRILHO DO AMANHECER LTDA</t>
  </si>
  <si>
    <t>BRILHO DO AMANHECER</t>
  </si>
  <si>
    <t>05533-000</t>
  </si>
  <si>
    <t>(11) 4139-0730/3843-0935</t>
  </si>
  <si>
    <t>asteca_contabil@hotmail.com</t>
  </si>
  <si>
    <t>www.casaderepousobutanta.com.br</t>
  </si>
  <si>
    <t>6074.2025/0003148-6</t>
  </si>
  <si>
    <t>Instituto de Previdência</t>
  </si>
  <si>
    <t xml:space="preserve">NÚCLEO ASSISTENCIAL BEZERRA DE MENEZES </t>
  </si>
  <si>
    <t>999/25</t>
  </si>
  <si>
    <t>RESIDENCIAL STAR LTDA</t>
  </si>
  <si>
    <t>RESIDENCIAL STAR</t>
  </si>
  <si>
    <t>40.063.721/0001-65</t>
  </si>
  <si>
    <t>51.235.280/00015-8</t>
  </si>
  <si>
    <t>Rua Cecília Calovini, 212</t>
  </si>
  <si>
    <t>02976-000</t>
  </si>
  <si>
    <t>Vila Zat</t>
  </si>
  <si>
    <t>(11) 97069-0024</t>
  </si>
  <si>
    <t>contato@residencialstar.com.br</t>
  </si>
  <si>
    <t>6074.2025/0003177-0</t>
  </si>
  <si>
    <t>486.1/21</t>
  </si>
  <si>
    <t>486.2/21</t>
  </si>
  <si>
    <t>BELLA SENIOR RESIDENCE LTDA (FILIAL)</t>
  </si>
  <si>
    <t>30.686.502/0002-60</t>
  </si>
  <si>
    <t>Rua Padre Azevedo, 211</t>
  </si>
  <si>
    <t>(11) 2959-9555/2959-5977</t>
  </si>
  <si>
    <t>6074.2025/0003195-8</t>
  </si>
  <si>
    <t>BELLA SENIOR</t>
  </si>
  <si>
    <t>38.883.732/0034-08</t>
  </si>
  <si>
    <t>Rua Almirante Mariath, 38</t>
  </si>
  <si>
    <t>04218-040</t>
  </si>
  <si>
    <t>(11) 2062-7906</t>
  </si>
  <si>
    <t>contabil.unas@gmail.com</t>
  </si>
  <si>
    <t>6074.2025/0003245-8</t>
  </si>
  <si>
    <t>CENTRO DIA PARA O IDOSO NELSON MANDELA</t>
  </si>
  <si>
    <t>UNAS - UNIÃO DE NÚCLEOS, ASSOCIAÇÕES DOS MORADORES DE HELIOPOLIS E REGIÃO</t>
  </si>
  <si>
    <t>CASA DE REPOUSO CASA VITA LTDA</t>
  </si>
  <si>
    <t>CASA VITA</t>
  </si>
  <si>
    <t>Rua Doutor Francisco Pati, 170</t>
  </si>
  <si>
    <t>6074.2019/0003355-0</t>
  </si>
  <si>
    <t>CASA DE REPOUSO TOTAL CARE</t>
  </si>
  <si>
    <t>(11) 4171-0715</t>
  </si>
  <si>
    <t>casaderepousototalcare@gmail.com</t>
  </si>
  <si>
    <t>6074.2025/0003274-1</t>
  </si>
  <si>
    <t>1000/25</t>
  </si>
  <si>
    <t>CASA DE REPOUSO RESIDENCIAL LIFE LTDA</t>
  </si>
  <si>
    <t>08.749.682/0001-41</t>
  </si>
  <si>
    <t>Rua Conde Vicente de Azevedo, 376</t>
  </si>
  <si>
    <t>04264-000</t>
  </si>
  <si>
    <t>(11) 5062-6005</t>
  </si>
  <si>
    <t>residenciallife376@hotmail.com</t>
  </si>
  <si>
    <t>6074.2025/0003301-2</t>
  </si>
  <si>
    <t>CONGREGAÇÃO DAS IRMÃS DO APOSTOLADO CATÓLICO - PROVÍNCIA SÃO VICENTE PALLOTTI</t>
  </si>
  <si>
    <t>IRMÃS PALOTINAS - COMUNIDADE GALILEIA</t>
  </si>
  <si>
    <t>CASA DE REPOUSO ARCANJO GABRIEL</t>
  </si>
  <si>
    <t>02079-070</t>
  </si>
  <si>
    <t>Vila Isolina Mazzei</t>
  </si>
  <si>
    <t>(11) 3459-6144/2218-0301</t>
  </si>
  <si>
    <t>www.casaderepousoarcanjogabriel.com</t>
  </si>
  <si>
    <t>6074.2025/0003378-0</t>
  </si>
  <si>
    <t>05601-000</t>
  </si>
  <si>
    <t xml:space="preserve">CASA DE REPOUSO RESIDENCIAL LIFE </t>
  </si>
  <si>
    <t>CASA DE REPOUSO M&amp;M PIRITUBA</t>
  </si>
  <si>
    <t>CASA DE REPOUSO M &amp; M PIRITUBA LTDA</t>
  </si>
  <si>
    <t>247.7/18</t>
  </si>
  <si>
    <t>TRANSFORMAR PARA CUIDAR</t>
  </si>
  <si>
    <t>Rua Rodolfo Miranda, 287, 1º andar</t>
  </si>
  <si>
    <t>6074.2025/0003416-7</t>
  </si>
  <si>
    <t>LAR DIVINO AMIGO</t>
  </si>
  <si>
    <t>6074.2025/0003453-1</t>
  </si>
  <si>
    <t>(11) 3539-7920</t>
  </si>
  <si>
    <t>6074.2025/0003485-0</t>
  </si>
  <si>
    <t>amandapelegrina@hotmail.com</t>
  </si>
  <si>
    <t>(11) 5588-2621</t>
  </si>
  <si>
    <t>secretaria@mamae.org.br</t>
  </si>
  <si>
    <t>MAMÃE - ASSOCIAÇÃO DE ASSISTÊNCIA À CRIANÇA SANTAMARENSE</t>
  </si>
  <si>
    <t>1001/25</t>
  </si>
  <si>
    <t>ASSOCIAÇÃO DO ABRIGO NOSSA SENHORA RAINHA DA PAZ DO JARDIM FIM DE SEMANA</t>
  </si>
  <si>
    <t>NCI RAINHA DA PAZ</t>
  </si>
  <si>
    <t>69.100.576/0001-27</t>
  </si>
  <si>
    <t>Rua Daniel Auber, 70</t>
  </si>
  <si>
    <t>05847-470</t>
  </si>
  <si>
    <t>Jardim Iracema</t>
  </si>
  <si>
    <t xml:space="preserve"> (11) 5513-4596</t>
  </si>
  <si>
    <t>rainhadapaz@terra.com.br</t>
  </si>
  <si>
    <t>www.rainhadapaz.org</t>
  </si>
  <si>
    <t>6074.2025/0003518-0</t>
  </si>
  <si>
    <t>172.2/17</t>
  </si>
  <si>
    <t>ASSOCIAÇÃO COMUNITÁRIA E BENEFICENTE PADRE JOSÉ AUGUSTO MACHADO MOREIRA</t>
  </si>
  <si>
    <t>NCI - RIO CLARO</t>
  </si>
  <si>
    <t>65.887.382/0006-77</t>
  </si>
  <si>
    <t>Rua Cinira Polônio, 371</t>
  </si>
  <si>
    <t>08395-320</t>
  </si>
  <si>
    <t>Jardim Promorar</t>
  </si>
  <si>
    <t>(11) 2754-1949</t>
  </si>
  <si>
    <t>padremoreira@sonhareacontecer.org.br</t>
  </si>
  <si>
    <t>www.sonhareacontecer.org.br</t>
  </si>
  <si>
    <t>6074.2025/0003540-6</t>
  </si>
  <si>
    <t>TATUAPÉ RESIDENCIAL SÊNIOR</t>
  </si>
  <si>
    <t>1002/25</t>
  </si>
  <si>
    <t>ASSOCIAÇÃO DO BEM-ESTAR SOCIAL DA ZONA NORTE</t>
  </si>
  <si>
    <t>PROJETO DE LONGA DURAÇÃO PARA IDOSOS</t>
  </si>
  <si>
    <t>96.476.924/0001-38</t>
  </si>
  <si>
    <t>Avenida Zunkeller, 326</t>
  </si>
  <si>
    <t>02420-000</t>
  </si>
  <si>
    <t>(11) 2233-2309</t>
  </si>
  <si>
    <t>asbencei@gmail.com</t>
  </si>
  <si>
    <t>www.asben.org</t>
  </si>
  <si>
    <t>6074.2025/0003707-7</t>
  </si>
  <si>
    <t>1003/25</t>
  </si>
  <si>
    <t>CLÍNICA DE REPOUSO TERÇA DA SERRA MORUMBI LTDA</t>
  </si>
  <si>
    <t>TERÇA DA SERRA MORUMBI</t>
  </si>
  <si>
    <t>52.663.299/0001-68</t>
  </si>
  <si>
    <t>Avenida Giovanni Gronchi, 1263</t>
  </si>
  <si>
    <t>05651-001</t>
  </si>
  <si>
    <t>(11) 94043-8973</t>
  </si>
  <si>
    <t>6074.2025/0003732-8</t>
  </si>
  <si>
    <t>1004/25</t>
  </si>
  <si>
    <t>ROSANGELA DOS SANTOS TONIOLI DE FARIAS - ME</t>
  </si>
  <si>
    <t>RESIDENCIAL GERIÁTRICO TONIOLI</t>
  </si>
  <si>
    <t>18.196.291/0001-09</t>
  </si>
  <si>
    <t>Rua João Teixeira da Silva, 123</t>
  </si>
  <si>
    <t>03348-040</t>
  </si>
  <si>
    <t>(11) 3774-3496</t>
  </si>
  <si>
    <t>cobrancatonioli@gmail.com</t>
  </si>
  <si>
    <t>www.residencialgeriatricotonioli.com</t>
  </si>
  <si>
    <t>6074.2025/0003744-1</t>
  </si>
  <si>
    <t xml:space="preserve">HOTELARIA PARA TERCEIRA IDADE ORQUÍDEA LTDA </t>
  </si>
  <si>
    <t>HOTELARIA ORQUÍDEA</t>
  </si>
  <si>
    <t>Rua Tomé de Souza, n° 88</t>
  </si>
  <si>
    <t>(11) 2373-1720</t>
  </si>
  <si>
    <t>6074.2025/0003769-7</t>
  </si>
  <si>
    <t>(11) 3766-6978</t>
  </si>
  <si>
    <t>1005/25</t>
  </si>
  <si>
    <t>ACONCHEGO LAR DO IDOSO</t>
  </si>
  <si>
    <t>ACONCHEGO</t>
  </si>
  <si>
    <t>48.590.785/0001-26</t>
  </si>
  <si>
    <t>Avenida Pascoal da Rocha Falcão, 504</t>
  </si>
  <si>
    <t>04785-000</t>
  </si>
  <si>
    <t>Jardim Santa Helena</t>
  </si>
  <si>
    <t>6074.2025/0003773-5</t>
  </si>
  <si>
    <t>172.1/17</t>
  </si>
  <si>
    <t>65.887.382/0010-53</t>
  </si>
  <si>
    <t>Av. Satélite, nº 298/308</t>
  </si>
  <si>
    <t>(11) 2013-1397</t>
  </si>
  <si>
    <t>1006/25</t>
  </si>
  <si>
    <t>SÃO BENEDITO RESIDENCIAL PARA IDOSOS LTDA</t>
  </si>
  <si>
    <t>RESIDENCIAL VIVER BEM</t>
  </si>
  <si>
    <t>53.048.485/0001-50</t>
  </si>
  <si>
    <t>Rua São Benedito, 1274</t>
  </si>
  <si>
    <t>04735-003</t>
  </si>
  <si>
    <t>(11) 5548-8663</t>
  </si>
  <si>
    <t>administracao_sb@residencialviverbem.com.br</t>
  </si>
  <si>
    <t>6074.2025/0003798-0</t>
  </si>
  <si>
    <t>CASA DE REPOUSO RECANTO DAS ARAUCÁRIAS LTDA</t>
  </si>
  <si>
    <t>RESIDENCIAL DAS ARAUCÁRIAS</t>
  </si>
  <si>
    <t>54.232.381/0001-63</t>
  </si>
  <si>
    <t>(11) 2275-3078</t>
  </si>
  <si>
    <t>6074.2025/0003802-2</t>
  </si>
  <si>
    <t>NCI - SÃO JOAQUIM</t>
  </si>
  <si>
    <t>04917-030</t>
  </si>
  <si>
    <t>(11) 5515-2477</t>
  </si>
  <si>
    <t>www.ccsj.org.br</t>
  </si>
  <si>
    <t>nci@ccsj.org.br / adm.ccsj@ccsj.org.br</t>
  </si>
  <si>
    <t>1007/25</t>
  </si>
  <si>
    <t>CASA DE REPOUSO VOVÔ MANUEL LTDA</t>
  </si>
  <si>
    <t>CASA DE REPOUSO VOVÔ MANUEL</t>
  </si>
  <si>
    <t>54.456.185/0001-72</t>
  </si>
  <si>
    <t>Rua Getúlio Vargas Filho, 539</t>
  </si>
  <si>
    <t>(11) 95795-5763</t>
  </si>
  <si>
    <t>marcianaoficial31@gmail.com</t>
  </si>
  <si>
    <t>6074.2025/0003879-0</t>
  </si>
  <si>
    <t>Jardim Santa Bárbara</t>
  </si>
  <si>
    <t>antoine.vens@tercadaserra.com.br</t>
  </si>
  <si>
    <t>1008/25</t>
  </si>
  <si>
    <t>CENTRO EDUCACIONAL JOVEM APRENDIZ DO BRASIL</t>
  </si>
  <si>
    <t>PROJETO DE ENSINO SUPERIOR E CAPACITAÇÃO PROFISSIONAL</t>
  </si>
  <si>
    <t>15.409.309/0001-07</t>
  </si>
  <si>
    <t>Rua Heloisa Penteado, 339/ Rua Conselheiro Crispiniano, 105</t>
  </si>
  <si>
    <t>03649-010</t>
  </si>
  <si>
    <t>(11) 2791-8464</t>
  </si>
  <si>
    <t>comercial@cejabrasil.org.br</t>
  </si>
  <si>
    <t>www.ceja.org.br</t>
  </si>
  <si>
    <t>6074.2025/0003923-1</t>
  </si>
  <si>
    <t xml:space="preserve"> NCI - CAROLINA MARIA DE JESUS</t>
  </si>
  <si>
    <t>05775-200</t>
  </si>
  <si>
    <t>(11) 4102-6622</t>
  </si>
  <si>
    <t>NCI - PILAR</t>
  </si>
  <si>
    <t>(11) 2761-5677</t>
  </si>
  <si>
    <t>www.institutopilar.org.br</t>
  </si>
  <si>
    <t>6074.2025/0003966-5</t>
  </si>
  <si>
    <t>1009/25</t>
  </si>
  <si>
    <t>FUNDAÇÃO PAULISTA CONTRA A HANSENÍASE</t>
  </si>
  <si>
    <t>DIGNIDADE EM AÇÃO: PROPORCIONANDO QUALIDADE DE VIDA AO PACIENTE DE HANSENÍASE COM A REABILITAÇÃO FÍSICA</t>
  </si>
  <si>
    <t>62.405.295/0001-33</t>
  </si>
  <si>
    <t>Rua Leopoldo Miguez, 327</t>
  </si>
  <si>
    <t>01518-020</t>
  </si>
  <si>
    <t>Glicério</t>
  </si>
  <si>
    <t>(11) 3385-7113</t>
  </si>
  <si>
    <t>contato@fundacaohanseniase.org.br</t>
  </si>
  <si>
    <t>www.fundacaohanseniase.org.br</t>
  </si>
  <si>
    <t>6074.2025/0003973-8</t>
  </si>
  <si>
    <t>1010/25</t>
  </si>
  <si>
    <t>RESIDENCIAL PARA IDOSOS LIMA &amp; GONÇALVES</t>
  </si>
  <si>
    <t>50.943.564/0001-36</t>
  </si>
  <si>
    <t>Rua Ibituruna, 478</t>
  </si>
  <si>
    <t>04302-052</t>
  </si>
  <si>
    <t>residenciallimaegoncalves@gmail.com</t>
  </si>
  <si>
    <t>6074.2025/0003997-5</t>
  </si>
  <si>
    <t>RESIDENCIAL PARA IDOSOS LIMA &amp; GONÇALVES LTDA</t>
  </si>
  <si>
    <t>02421-050</t>
  </si>
  <si>
    <t xml:space="preserve"> (11) 3477-0008</t>
  </si>
  <si>
    <t>RECANTO DOS LÍRIOS</t>
  </si>
  <si>
    <t>6074.2025/0004003-5</t>
  </si>
  <si>
    <t>1011/25</t>
  </si>
  <si>
    <t>RESIDENCIAL SENIOR CARITOR LTDA</t>
  </si>
  <si>
    <t>TERÇA DA SERRA SANTANA</t>
  </si>
  <si>
    <t>53.441.519/0001-71</t>
  </si>
  <si>
    <t>Rua Carlos Escobar, 193</t>
  </si>
  <si>
    <t>02013-050</t>
  </si>
  <si>
    <t>(11) 93372-3383</t>
  </si>
  <si>
    <t>fernando.cortizo@tercadaserra.com.br</t>
  </si>
  <si>
    <t>6074.2025/0004019-1</t>
  </si>
  <si>
    <t>CASA DE REPOUSO MARIA TEREZA</t>
  </si>
  <si>
    <t>(11) 3987-2856</t>
  </si>
  <si>
    <t>edeleneborges171@gmail.com</t>
  </si>
  <si>
    <t>6074.2025/0004030-2</t>
  </si>
  <si>
    <t>020.6/14</t>
  </si>
  <si>
    <t>CAEI - CASA VERDE</t>
  </si>
  <si>
    <t>Rua Antonio Vera Cruz, 213</t>
  </si>
  <si>
    <t>(11) 3955-2121/3965-6006</t>
  </si>
  <si>
    <t>adm.croph@uol.com.br</t>
  </si>
  <si>
    <t>www.croph.org.br</t>
  </si>
  <si>
    <t>6074.2025/0004066-3</t>
  </si>
  <si>
    <t>RESIDENCIAL VIDA MAIS SÊNIOR LTDA</t>
  </si>
  <si>
    <t>RESIDENCIAL VIDA</t>
  </si>
  <si>
    <t>(11) 2950-5222</t>
  </si>
  <si>
    <t>contato@residencialvida.com.br</t>
  </si>
  <si>
    <t>6074.2025/0004102-3</t>
  </si>
  <si>
    <t>www.residencialvida.com.br</t>
  </si>
  <si>
    <t>(11) 5833-0835</t>
  </si>
  <si>
    <t>contato@larsaotiago.org.br</t>
  </si>
  <si>
    <t>05874-180</t>
  </si>
  <si>
    <t>NCI - TERESA DA CRUZ MARÇO</t>
  </si>
  <si>
    <t>00.346.741/0001-29</t>
  </si>
  <si>
    <t>(11) 2308-0153</t>
  </si>
  <si>
    <t>associacaodemulheresjovarural@gmail.com</t>
  </si>
  <si>
    <t>6074.2025/0004110-4</t>
  </si>
  <si>
    <t>1012/25</t>
  </si>
  <si>
    <t>ASSOCIAÇÃO BENEFICENTE AÇÃO SOCIAL DE MULHERES DA ZONA LESTE</t>
  </si>
  <si>
    <t>GERANDO QUALIDADE DE VIDA PARA IDOSOS</t>
  </si>
  <si>
    <t>00.526.206/0001-50</t>
  </si>
  <si>
    <t>Rua José Ariza, 92</t>
  </si>
  <si>
    <t>08255-015</t>
  </si>
  <si>
    <t>(11) 2524-0635</t>
  </si>
  <si>
    <t>abasvitoriosas@gmail.com</t>
  </si>
  <si>
    <t>6074.2025/0004111-2</t>
  </si>
  <si>
    <t>(11) 2240-7079</t>
  </si>
  <si>
    <t>6074.2025/0004115-5</t>
  </si>
  <si>
    <t>CENTRO DIA JOVA RURAL ADONIRAN BARBOSA</t>
  </si>
  <si>
    <t>NCI - JOVA RURAL</t>
  </si>
  <si>
    <t>00.346.741/0004-71</t>
  </si>
  <si>
    <t>(11) 2240-6271</t>
  </si>
  <si>
    <t>6074.2025/0004117-1</t>
  </si>
  <si>
    <t>1013/25</t>
  </si>
  <si>
    <t>ASSOCIAÇÃO DOS MORADORES DE BAIRRO DO JARDIM REAL E ADJACÊNCIAS</t>
  </si>
  <si>
    <t>BEM-ESTAR E CIDADANIA NA TERCEIRA IDADE</t>
  </si>
  <si>
    <t>04.697.238/0001-79</t>
  </si>
  <si>
    <t>04826-000</t>
  </si>
  <si>
    <t>Rua Frederico René de Jaegher, 2716</t>
  </si>
  <si>
    <t>(11) 5925-3598</t>
  </si>
  <si>
    <t>associacaojardimreal@hotmail.com</t>
  </si>
  <si>
    <t>www.associacaojardimreal.org.br</t>
  </si>
  <si>
    <t>6074.2025/0004130-9</t>
  </si>
  <si>
    <t>Jardim Rio Bonito</t>
  </si>
  <si>
    <t>(11) 5531-5447</t>
  </si>
  <si>
    <t>6074.2025/0004155-4</t>
  </si>
  <si>
    <t>1014/25</t>
  </si>
  <si>
    <t>33.380.761/0001-75</t>
  </si>
  <si>
    <t>Rua Machado de Assis, 194</t>
  </si>
  <si>
    <t>04106-000</t>
  </si>
  <si>
    <t>(11) 5579-7330</t>
  </si>
  <si>
    <t>residencial_nossolar@hotmail.com</t>
  </si>
  <si>
    <t>6074.2025/0004175-9</t>
  </si>
  <si>
    <t>1015/25</t>
  </si>
  <si>
    <t>CASA DE REPOUSO SÃO JUDAS TADEU</t>
  </si>
  <si>
    <t>28.153.510/0001-18</t>
  </si>
  <si>
    <t>Rua Professor Celso Quirino dos Santos, 67</t>
  </si>
  <si>
    <t>05353-030</t>
  </si>
  <si>
    <t>(11) 3719-2356</t>
  </si>
  <si>
    <t>casaderepousosaojudastadeu@gmail.com</t>
  </si>
  <si>
    <t>6074.2025/0004191-0</t>
  </si>
  <si>
    <t>ELISANDRA APARECIDA DA SILVA RODRIGUES DE ALMEIDA CASA DE REPOUSO - ME</t>
  </si>
  <si>
    <t>(11) 8808-5999</t>
  </si>
  <si>
    <t>Chora Menino</t>
  </si>
  <si>
    <t>(11) 2979-7576</t>
  </si>
  <si>
    <t>casarepousohom@hotmail.com</t>
  </si>
  <si>
    <t>6074.2025/0004218-6</t>
  </si>
  <si>
    <t>917.1/24</t>
  </si>
  <si>
    <t>914.1/24</t>
  </si>
  <si>
    <t>917.2/24</t>
  </si>
  <si>
    <t>CAEI - LAR DITOSO</t>
  </si>
  <si>
    <t>59.947.465/0018-45</t>
  </si>
  <si>
    <t>Rua Professor Hasegawa, 100</t>
  </si>
  <si>
    <t>08260-090</t>
  </si>
  <si>
    <t>Colônia (Zona Leste)</t>
  </si>
  <si>
    <t>(11) 5039-7755</t>
  </si>
  <si>
    <t>6074.2025/0004220-8</t>
  </si>
  <si>
    <t>KUJUA WAZEE NAS ESCOLAS – MEMORAR E EXISTIR, HISTÓRIAS AFRO-ATLÂNTICAS</t>
  </si>
  <si>
    <t>923.2/24</t>
  </si>
  <si>
    <t>CASA DE REPOUSO TERESA DE LISIEUX II</t>
  </si>
  <si>
    <t>19.587.301/0002-72</t>
  </si>
  <si>
    <t>Rua Antônio Lourenço, 133</t>
  </si>
  <si>
    <t>02334-070</t>
  </si>
  <si>
    <t>(11) 2305-7180</t>
  </si>
  <si>
    <t>flavio.lanzelotti@hotmail.com</t>
  </si>
  <si>
    <t>6074.2025/0004284-4</t>
  </si>
  <si>
    <t>1016.1/25</t>
  </si>
  <si>
    <t>ESTUDO PURE</t>
  </si>
  <si>
    <t>60.726.502/0001-26</t>
  </si>
  <si>
    <t>Rua João Julião, 331</t>
  </si>
  <si>
    <t>01323-903</t>
  </si>
  <si>
    <t>(11) 3549-1000</t>
  </si>
  <si>
    <t>daniella.martins@haoc.com.br</t>
  </si>
  <si>
    <t>6074.2025/0004310-7</t>
  </si>
  <si>
    <t>1016.2/25</t>
  </si>
  <si>
    <t>OFICINAS DE SAÚDE INTEGRATIVA</t>
  </si>
  <si>
    <t>1016.3/25</t>
  </si>
  <si>
    <t>PROGRAMA GERAÇÃO 60+</t>
  </si>
  <si>
    <t>(11) 3459-1000</t>
  </si>
  <si>
    <t>ASSOCIAÇÃO BENEFICENTE DE DAMAS BRASIL BRASIL - ARMÊNIA (H.O.M)</t>
  </si>
  <si>
    <t>1017/25</t>
  </si>
  <si>
    <t>CASARÃO BRASIL - ASSOCIAÇÃO LGBTI</t>
  </si>
  <si>
    <t>10.013.459/0001-83</t>
  </si>
  <si>
    <t>(11) 99463-0537</t>
  </si>
  <si>
    <t>casaraobrasil.projetos@gmail.com</t>
  </si>
  <si>
    <t>6074.2025/0004319-0</t>
  </si>
  <si>
    <t>Rua José Margarido, 184</t>
  </si>
  <si>
    <t>02021-020</t>
  </si>
  <si>
    <t>NCI - SANTA VINCENZA GEROSA</t>
  </si>
  <si>
    <t>62.264.494/0059-95</t>
  </si>
  <si>
    <t>03192-100</t>
  </si>
  <si>
    <t>(11) 2021-5838</t>
  </si>
  <si>
    <t>secretaria@bompar.org.br</t>
  </si>
  <si>
    <t>6074.2025/0004353-0</t>
  </si>
  <si>
    <t>CASA DE REPOUSO NOVO TEMPO</t>
  </si>
  <si>
    <t xml:space="preserve">Rua Nazaré da Mota, nº 225 </t>
  </si>
  <si>
    <t>(11) 2674-5286</t>
  </si>
  <si>
    <t>6074.2025/0004417-0</t>
  </si>
  <si>
    <t>NÚCLEO DE CONVIVÊNCIA PARA IDOSOS - NCI</t>
  </si>
  <si>
    <t>CASA DE REPOUSO OS SETE FILHOS DE MARIA</t>
  </si>
  <si>
    <t>Rua Pedro Alves, 154</t>
  </si>
  <si>
    <t>05786-180</t>
  </si>
  <si>
    <t>Vila Pirajussara</t>
  </si>
  <si>
    <t>(11) 3501-9064</t>
  </si>
  <si>
    <t>6074.2025/0004481-2</t>
  </si>
  <si>
    <t>MEMÓRIAS LGBTI+</t>
  </si>
  <si>
    <t>1018/25</t>
  </si>
  <si>
    <t>INSTITUTO ATUAR SOCIAL SÃO PAULO</t>
  </si>
  <si>
    <t>VIVER BEM: QUALIDADE DE VIDA NA MELHOR IDADE</t>
  </si>
  <si>
    <t>47.908.668/0001-03</t>
  </si>
  <si>
    <t>Avenida Tucuruvi, 808</t>
  </si>
  <si>
    <t>02304-002</t>
  </si>
  <si>
    <t>(11) 97375-7418</t>
  </si>
  <si>
    <t>institutoatuarsp@gmail.com</t>
  </si>
  <si>
    <t>6074.2025/0004564-9</t>
  </si>
  <si>
    <t>ARTETERAPIA PREVENÇÃO E TRATAMENTO</t>
  </si>
  <si>
    <t>(11) 2308-8631</t>
  </si>
  <si>
    <t>HOSPITAL ALEMÃO OSWALDO CRUZ</t>
  </si>
  <si>
    <t>www.hospitaloswaldocruz.org.br</t>
  </si>
  <si>
    <t>278.2/19</t>
  </si>
  <si>
    <t>RESIDENCIAL PARA IDOSOS VELEIROS (FILIAL)</t>
  </si>
  <si>
    <t>30.308.143/0002-07</t>
  </si>
  <si>
    <t>Rua Antenor Betarello, 268</t>
  </si>
  <si>
    <t>6074.2025/0004568-1</t>
  </si>
  <si>
    <t>172.3/17</t>
  </si>
  <si>
    <t>CDI - RECANTO DO AMOR</t>
  </si>
  <si>
    <t>65.887.382/0007-58</t>
  </si>
  <si>
    <t>Rua Ângelo de Candia, 2005</t>
  </si>
  <si>
    <t>03958-000</t>
  </si>
  <si>
    <t>(11) 2017-4574</t>
  </si>
  <si>
    <t>6074.2025/0004758-7</t>
  </si>
  <si>
    <t>1019/25</t>
  </si>
  <si>
    <t>RESIDENCIAL PARA IDOSOS REGINA LOPES BORDIN LTDA</t>
  </si>
  <si>
    <t>REGINA LOPES BORDIN</t>
  </si>
  <si>
    <t>52.047.407/0001-78</t>
  </si>
  <si>
    <t>Rua Belmonte, 145</t>
  </si>
  <si>
    <t>05088-050</t>
  </si>
  <si>
    <t>(11) 3644-8457</t>
  </si>
  <si>
    <t>residencialidososgirassol@gmail.com</t>
  </si>
  <si>
    <t>6074.2025/0004904-0</t>
  </si>
  <si>
    <t>RESIDENCIAL SÊNIOR SABEDORIA E VIDA</t>
  </si>
  <si>
    <t>(11) 2687-4142</t>
  </si>
  <si>
    <t>6074.2020/0003958-5</t>
  </si>
  <si>
    <t>829.2/24</t>
  </si>
  <si>
    <t>MELHOR IDADE EM MOVIMENTO</t>
  </si>
  <si>
    <t>04.191.877/0001-68</t>
  </si>
  <si>
    <t>Travessa Inácio Rivas, 351 - Res. Lt. 2 Qd. 2</t>
  </si>
  <si>
    <t>03591-040</t>
  </si>
  <si>
    <t>Conj. Hab. Padre Manoel de Paiva</t>
  </si>
  <si>
    <t>associacaoesfuco@gmail.com</t>
  </si>
  <si>
    <t>1020/25</t>
  </si>
  <si>
    <t>ENCONTRO DAS HISTÓRIAS DE VIDA LTDA</t>
  </si>
  <si>
    <t>56.415.798/0001-97</t>
  </si>
  <si>
    <t>Rua Margarida Bicudo, 102</t>
  </si>
  <si>
    <t>02275-110</t>
  </si>
  <si>
    <t>Vila Germinal</t>
  </si>
  <si>
    <t>(11) 2242-8820</t>
  </si>
  <si>
    <t>novaiscarmem9@gmail.com</t>
  </si>
  <si>
    <t>6074.2025/0005509-1</t>
  </si>
  <si>
    <t>AMIGOS PARA SEMPRE</t>
  </si>
  <si>
    <t>BRILHO DE VIDA CASA DE REPOUSO LONGA PERMANÊNCIA PARA IDOSO LTDA - ME</t>
  </si>
  <si>
    <t>CASA DE REPOUSO BRILHO DE VIDA</t>
  </si>
  <si>
    <t>Rua Gonçalo Nunes,64</t>
  </si>
  <si>
    <t>(11) 3624-6184</t>
  </si>
  <si>
    <t>1021/25</t>
  </si>
  <si>
    <t>ASSOCIAÇÃO FILHOS E FILHAS DORCAS</t>
  </si>
  <si>
    <t>CURADAS PARA CURAR</t>
  </si>
  <si>
    <t>44.714.743/0001-07</t>
  </si>
  <si>
    <t>Rua Fortaleza de Itapema, 268</t>
  </si>
  <si>
    <t>08330-054</t>
  </si>
  <si>
    <t>(11) 95866-1743</t>
  </si>
  <si>
    <t>filhosefilhasdorcas@gmail.com</t>
  </si>
  <si>
    <t>6074.2025/0005594-6</t>
  </si>
  <si>
    <t>NOSSA CASA</t>
  </si>
  <si>
    <t>Alameda dos Nhambiquaras, n° 192 - Anexo 200</t>
  </si>
  <si>
    <t>(11) 2738-1700</t>
  </si>
  <si>
    <t>580.2/22</t>
  </si>
  <si>
    <t>LAR E VIDA BUENO (FILIAL)</t>
  </si>
  <si>
    <t>41.851.124/0002-49</t>
  </si>
  <si>
    <t>Rua Pretória, 284</t>
  </si>
  <si>
    <t>03416-000</t>
  </si>
  <si>
    <t>(11) 2362-0723</t>
  </si>
  <si>
    <t>6074.2025/0005633-0</t>
  </si>
  <si>
    <t>6074.2023/0008167-6</t>
  </si>
  <si>
    <t>1022/25</t>
  </si>
  <si>
    <t>ASSOCIAÇÃO SOCIAL, ESPORTIVA, CULTURAL E AMBIENTAL DO BRASIL</t>
  </si>
  <si>
    <t>IDOSO EM MOVIMENTO: CUIDADO, CULTURA E CONVIVÊNCIA</t>
  </si>
  <si>
    <t>31.435.074/0001-84</t>
  </si>
  <si>
    <t>Rua José Tartini, 34 B</t>
  </si>
  <si>
    <t>05886-090</t>
  </si>
  <si>
    <t>(11) 96337-6603</t>
  </si>
  <si>
    <t>asecabbrasil@gmail.com</t>
  </si>
  <si>
    <t>www.institutosocialasecab.org</t>
  </si>
  <si>
    <t>6074.2025/0005658-6</t>
  </si>
  <si>
    <t>Jardim Dom José</t>
  </si>
  <si>
    <t>1023/25</t>
  </si>
  <si>
    <t>I.L.P.I RESIDENCIAL GERMÂNIA LTDA</t>
  </si>
  <si>
    <t>58.364.885/0001-98</t>
  </si>
  <si>
    <t>Rua Marcolina Mendes Leal, 55</t>
  </si>
  <si>
    <t>05848-090</t>
  </si>
  <si>
    <t>Jardim Germânia</t>
  </si>
  <si>
    <t>(11) 93090-5579</t>
  </si>
  <si>
    <t>germania.residencial@outlook.com</t>
  </si>
  <si>
    <t>6074.2025/0005660-8</t>
  </si>
  <si>
    <t>1024/25</t>
  </si>
  <si>
    <t>MELHOR IDADE - VIDA EM HARMONIA</t>
  </si>
  <si>
    <t>25.424.713/0001-03</t>
  </si>
  <si>
    <t>Rua Porto Seguro, 260</t>
  </si>
  <si>
    <t>01109-040</t>
  </si>
  <si>
    <t>Luz</t>
  </si>
  <si>
    <t>(11) 3313-7423</t>
  </si>
  <si>
    <t>abdhec2007@gmail.com</t>
  </si>
  <si>
    <t>6074.2025/0005662-4</t>
  </si>
  <si>
    <t>ASSOCIAÇÃO BRASILEIRA DE DIREITOS HUMANOS E CIDADANIA - ABDHEC</t>
  </si>
  <si>
    <t>1025/25</t>
  </si>
  <si>
    <t>VIDEIRA DOCE LAR LTDA</t>
  </si>
  <si>
    <t>VIDEIRA DOCE LAR</t>
  </si>
  <si>
    <t>57.641.049/0001-40</t>
  </si>
  <si>
    <t>Rua João Gomes Júnior, 1005</t>
  </si>
  <si>
    <t>05592-001</t>
  </si>
  <si>
    <t>(11) 95421-7537</t>
  </si>
  <si>
    <t>videiradocelar@gmail.com</t>
  </si>
  <si>
    <t>6074.2025/0005667-5</t>
  </si>
  <si>
    <t>1026/25</t>
  </si>
  <si>
    <t>INSTITUTO BRASILEIRO GERANDO KAIROS</t>
  </si>
  <si>
    <t>IDADE DE OURO</t>
  </si>
  <si>
    <t>57.991.469/0001-57</t>
  </si>
  <si>
    <t>Rua Roque de Morais, 497</t>
  </si>
  <si>
    <t>02721-031</t>
  </si>
  <si>
    <t>Limão</t>
  </si>
  <si>
    <t>(11) 98599-3050</t>
  </si>
  <si>
    <t>institutogerandokairos@gmail.com</t>
  </si>
  <si>
    <t>6074.2025/0005701-9</t>
  </si>
  <si>
    <t>CENTRO DE PROMOÇÃO HUMANA LAR VICENTINO</t>
  </si>
  <si>
    <t>LAR VICENTINO</t>
  </si>
  <si>
    <t>(11) 2546-5682</t>
  </si>
  <si>
    <t>6074.2025/0005703-5</t>
  </si>
  <si>
    <t>533.4/21</t>
  </si>
  <si>
    <t>CULTURA +60</t>
  </si>
  <si>
    <t>6074.2025/0005718-3</t>
  </si>
  <si>
    <t>CENTRO DE CONVIVÊNCIA PARA IDOSOS LOUREIRO MASCARENHAS LTDA</t>
  </si>
  <si>
    <t>25.109.870/0001-24</t>
  </si>
  <si>
    <t>Rua Eliane Araújo Neves, 331</t>
  </si>
  <si>
    <t>05758-090</t>
  </si>
  <si>
    <t>Jardim Catanduva</t>
  </si>
  <si>
    <t>(11) 3110-1055</t>
  </si>
  <si>
    <t>ccidentrodeumabraco@gmail.com</t>
  </si>
  <si>
    <t>6074.2025/0005737-0</t>
  </si>
  <si>
    <t>1027.1/25</t>
  </si>
  <si>
    <t>CENTRO DE CONVIVÊNCIA PARA IDOSOS DENTRO DE UM ABRAÇO (MATRIZ)</t>
  </si>
  <si>
    <t>1027.2/25</t>
  </si>
  <si>
    <t>CENTRO DE CONVIVÊNCIA PARA IDOSOS DENTRO DE UM ABRAÇO (FILIAL)</t>
  </si>
  <si>
    <t>25.109.870/0002-05</t>
  </si>
  <si>
    <t>Rua Desembargador Alceu Cordeiro Fernandes, 568</t>
  </si>
  <si>
    <t>05758-060</t>
  </si>
  <si>
    <t>Jardim Pirajussara</t>
  </si>
  <si>
    <t>(11) 5841-8003</t>
  </si>
  <si>
    <t>6074.2025/0005736-1</t>
  </si>
  <si>
    <t>1028/25</t>
  </si>
  <si>
    <t>RESIDENCIAL PARA IDOSOS GIRASSOL LTDA</t>
  </si>
  <si>
    <t>RESIDENCIAL PARA IDOSOS GIRASSOL</t>
  </si>
  <si>
    <t>37.569.297/0001-10</t>
  </si>
  <si>
    <t>Rua Passos da Pátria, 585</t>
  </si>
  <si>
    <t>05085-000</t>
  </si>
  <si>
    <t>(11) 3834-9014</t>
  </si>
  <si>
    <t>6074.2025/0005744-2</t>
  </si>
  <si>
    <t>VILLA DEI FIORI - ILPI JAGUARÉ</t>
  </si>
  <si>
    <t>(11)3768-4677</t>
  </si>
  <si>
    <t>1029/25</t>
  </si>
  <si>
    <t>SMKJ MOOCA RESIDENCIAL GERIÁTRICO LTDA</t>
  </si>
  <si>
    <t>HAPPY LIFE MOOCA RESIDENCIAL GERIÁTRICO</t>
  </si>
  <si>
    <t>55.813.426/0001-56</t>
  </si>
  <si>
    <t>Rua Cel. Joviniano Brandão, 540</t>
  </si>
  <si>
    <t>03127-175</t>
  </si>
  <si>
    <t>(11) 97883-9449</t>
  </si>
  <si>
    <t>happyliferesidencial@gmail.com</t>
  </si>
  <si>
    <t>6074.2025/0005768-0</t>
  </si>
  <si>
    <t>INSTITUTO SORRIR PARA VIDA</t>
  </si>
  <si>
    <t>SORRISO PLENO</t>
  </si>
  <si>
    <t>Rua Ferreira de Araújo, 957</t>
  </si>
  <si>
    <t>05428-002</t>
  </si>
  <si>
    <t>823.2/24</t>
  </si>
  <si>
    <t>CENTRO DIA PARA IDOSOS BOM RETIRO</t>
  </si>
  <si>
    <t>(11) 3123-7309</t>
  </si>
  <si>
    <t>I.L.P.I. RESIDENCIAL GERMÂNIA</t>
  </si>
  <si>
    <t>CASA SÃO LÁZARO</t>
  </si>
  <si>
    <t>(11) 2963-0292</t>
  </si>
  <si>
    <t>marizaluciadossantos@gmail.com</t>
  </si>
  <si>
    <t>ORGANIZACAO NÃO GOVERNAMENTAL FILHOS DE MARIA</t>
  </si>
  <si>
    <t>Rua Manuel Álvares Pimentel, n° 885</t>
  </si>
  <si>
    <t>1030/25</t>
  </si>
  <si>
    <t>CASA DE REPOUSO E CRECHE PARA IDOSOS LIBERTY LTDA</t>
  </si>
  <si>
    <t>LIBERTY</t>
  </si>
  <si>
    <t>52.328.672/0001-24</t>
  </si>
  <si>
    <t>Rua Itapari, 55</t>
  </si>
  <si>
    <t>04261-100</t>
  </si>
  <si>
    <t>(11) 4306-2285</t>
  </si>
  <si>
    <t>casaderepousoliberty@gmail.com</t>
  </si>
  <si>
    <t>www.casarepousoliberty.com</t>
  </si>
  <si>
    <t>6074.2025/0005937-2</t>
  </si>
  <si>
    <t>CASA DE REPOUSO - LAR DA MELHOR IDADE</t>
  </si>
  <si>
    <t>02079-000</t>
  </si>
  <si>
    <t>(11) 2367-3186</t>
  </si>
  <si>
    <t>lardamelhoridade.adm@gmail.com</t>
  </si>
  <si>
    <t>www.casaderepousolardamelhoridade.com.br</t>
  </si>
  <si>
    <t>6074.2025/0006140-7</t>
  </si>
  <si>
    <t>CASA DE REPOUSO - LAR DA MELHOR IDADE LTDA</t>
  </si>
  <si>
    <t>162.5/17</t>
  </si>
  <si>
    <t>Campos Elíseos / Santa Efigênia</t>
  </si>
  <si>
    <t>6074.2025/0006142-3</t>
  </si>
  <si>
    <t>CAEI - HOTEL COLUMBIA/LUGUS</t>
  </si>
  <si>
    <t>1031/25</t>
  </si>
  <si>
    <t>36.573.071/0001-20</t>
  </si>
  <si>
    <t xml:space="preserve">Não </t>
  </si>
  <si>
    <t>Av. Jose Maria Fernandes, 1017</t>
  </si>
  <si>
    <t>02185-031</t>
  </si>
  <si>
    <t>6074.2025/0006181-4</t>
  </si>
  <si>
    <t xml:space="preserve">CASA DE REPOUSO RESIDENCIAL LAR BÊNÇÃO LTDA </t>
  </si>
  <si>
    <t xml:space="preserve">RESIDENCIAL LAR BÊNÇÃO </t>
  </si>
  <si>
    <t>CASA GERIATRÍCA GUADALUPE LTDA</t>
  </si>
  <si>
    <t>CASA GERIÁTRICA GUADALUPE</t>
  </si>
  <si>
    <t xml:space="preserve">Rua Dom Estevão Pimentel, nº 221 </t>
  </si>
  <si>
    <t>03378-050</t>
  </si>
  <si>
    <t>(11) 99189-4131</t>
  </si>
  <si>
    <t>goreteandreozzi@hotmail.com</t>
  </si>
  <si>
    <t>6074.2025/0006302-7</t>
  </si>
  <si>
    <t>Rua dos Timbiras, 492 /  Rua Aurora, 427 / Rua Barão de Limeira, 117</t>
  </si>
  <si>
    <t>(11) 3223-5611 / 4480-1040 / 3331-3411</t>
  </si>
  <si>
    <t>01209-001 / 01035-000 / 01202-001</t>
  </si>
  <si>
    <t>1032/25</t>
  </si>
  <si>
    <t>ASSOCIAÇÃO DE AMPARO AO IDOSO IRIS BAFFA</t>
  </si>
  <si>
    <t>26.680.539/0001-22</t>
  </si>
  <si>
    <t>Rua Dr. Alexandre Kalil Yasbek, 144 - casa 03</t>
  </si>
  <si>
    <t>04474-370</t>
  </si>
  <si>
    <t>Praia do Leblon</t>
  </si>
  <si>
    <t>(11) 5614-7266</t>
  </si>
  <si>
    <t>cramosribeiro2@gmail.com</t>
  </si>
  <si>
    <t>6074.2025/0006342-6</t>
  </si>
  <si>
    <t>CASA DE REPOUSO MOOCA BEM ME CARE LTDA</t>
  </si>
  <si>
    <t>(11) 2591-2596</t>
  </si>
  <si>
    <t>6074.2025/0006404-0</t>
  </si>
  <si>
    <t>CASA DE REPOUSO MOOCA BEM ME CARE (FILIAL)</t>
  </si>
  <si>
    <t>CASA DE REPOUSO MOOCA BEM ME CARE (MATRIZ)</t>
  </si>
  <si>
    <t>(11) 2061-5816</t>
  </si>
  <si>
    <t>RESIDENCIAL ROYAL SÊNIOR CENTRO DE APOIO GERIÁTRICO LTDA</t>
  </si>
  <si>
    <t>RESIDENCIAL ROYAL SÊNIOR</t>
  </si>
  <si>
    <t>(11) 3641-2624</t>
  </si>
  <si>
    <t>6074.2025/0006476-7</t>
  </si>
  <si>
    <t>CONVITA</t>
  </si>
  <si>
    <t>(11) 3283-1350</t>
  </si>
  <si>
    <t>gerencia@convita.org.br</t>
  </si>
  <si>
    <t>947.2/24</t>
  </si>
  <si>
    <t>VIABILIZAR AÇÕES PARA PESSOAS IDOSAS E SEUS FAMILIARES, PROMOVENDO ATIVIDADES CULTURAIS DE SAÚDE E BEM-ESTAR</t>
  </si>
  <si>
    <t>Av. Francisco Matarazzo, 450, Prédio 15/Av. Santa Inês, 3321</t>
  </si>
  <si>
    <t>Agua Branca/Jardim Peri</t>
  </si>
  <si>
    <t>1033/25</t>
  </si>
  <si>
    <t>RESIDENCIAL COMPAGNI LTDA</t>
  </si>
  <si>
    <t>RESIDENCIAL COMPAGNI</t>
  </si>
  <si>
    <t>56.064.088/0001-60</t>
  </si>
  <si>
    <t>04120-030</t>
  </si>
  <si>
    <t>(11) 2365-5490</t>
  </si>
  <si>
    <t>6074.2025/0006520-8</t>
  </si>
  <si>
    <t>1009.2/25</t>
  </si>
  <si>
    <t>DIGNIDADE EM CADA GESTO</t>
  </si>
  <si>
    <t>HARMONIA HOSPEDARIA SÊNIOR LTDA</t>
  </si>
  <si>
    <t>CASA DE REPOUSO HARMONIA</t>
  </si>
  <si>
    <t>(11) 4157-1158</t>
  </si>
  <si>
    <t>aleite731@gmail.com</t>
  </si>
  <si>
    <t>www.residencialharmoniasenior.com.br</t>
  </si>
  <si>
    <t>6074.2025/0006560-7</t>
  </si>
  <si>
    <t>RESIDENCIAL LÍRIOS DA PAZ</t>
  </si>
  <si>
    <t>(11) 3904-8808</t>
  </si>
  <si>
    <t>6074.2025/0006561-5</t>
  </si>
  <si>
    <t>1034/25</t>
  </si>
  <si>
    <t>CASA DE REPOUSO LUZ &amp; ESPERANÇA LTDA</t>
  </si>
  <si>
    <t>CASA DE REPOUSO LUZ &amp; ESPERANÇA</t>
  </si>
  <si>
    <t>55.285.256/0001-84</t>
  </si>
  <si>
    <t>Rua Laurentino da Silva Nonato, 296</t>
  </si>
  <si>
    <t>08020-200</t>
  </si>
  <si>
    <t>Vila Aparecida</t>
  </si>
  <si>
    <t>(11) 2058-1031</t>
  </si>
  <si>
    <t>contato@casaderepousoluzeesperanca.com.br</t>
  </si>
  <si>
    <t>6074.2025/0006607-7</t>
  </si>
  <si>
    <t>04249-000</t>
  </si>
  <si>
    <t>(11) 2940-6464</t>
  </si>
  <si>
    <t>vemser@associacaovemser.org.br</t>
  </si>
  <si>
    <t>www.associacaovemser.org.br</t>
  </si>
  <si>
    <t>RESIDENCIAL AQUARIUS LTDA</t>
  </si>
  <si>
    <t>RESIDENCIAL AQUARIUS</t>
  </si>
  <si>
    <t>6074.2025/0006872-0</t>
  </si>
  <si>
    <t>www.casaderepousoaquarius.com</t>
  </si>
  <si>
    <t>927.2/24</t>
  </si>
  <si>
    <t>MOVIMENTO E EQUILÍBRIO PARA TODOS</t>
  </si>
  <si>
    <t>Rua Felipe Cardoso de Campos, 291</t>
  </si>
  <si>
    <t>05207-090</t>
  </si>
  <si>
    <t>(11) 94923-0234</t>
  </si>
  <si>
    <t>1035/25</t>
  </si>
  <si>
    <t>ÁGAPE PHILOS - INSTITUTO DE APOIO AO CRESCIMENTO E DESENVOLVIMENTO INFANTOJUVENIL</t>
  </si>
  <si>
    <t>FORTALESER 60+</t>
  </si>
  <si>
    <t>10.837.495/0001-61</t>
  </si>
  <si>
    <t>Estrada de Taipas, 452 - Piso 1</t>
  </si>
  <si>
    <t>02991-000</t>
  </si>
  <si>
    <t>agapephilos@hotmail.com</t>
  </si>
  <si>
    <t>www.agapephilos.org</t>
  </si>
  <si>
    <t>6074.2025/0006912-2</t>
  </si>
  <si>
    <t>(11) 3796-5029</t>
  </si>
  <si>
    <t>RESIDENCIAL PINHEIROS</t>
  </si>
  <si>
    <t>(11) 3021-5077</t>
  </si>
  <si>
    <t>6074.2025/0006941-6</t>
  </si>
  <si>
    <t>Jardim Jaraguá</t>
  </si>
  <si>
    <t>1036/25</t>
  </si>
  <si>
    <t>INSTITUTO GIORGIO NICOLI</t>
  </si>
  <si>
    <t>18.684.822/0001-02</t>
  </si>
  <si>
    <t>(11) 2532-1171</t>
  </si>
  <si>
    <t>Rua Pedroso Alvarenga, 1284</t>
  </si>
  <si>
    <t>04531-913</t>
  </si>
  <si>
    <t>administrativo@institutogiorgionicoli.org.br</t>
  </si>
  <si>
    <t>www.institutogiorgionicoli.org.br</t>
  </si>
  <si>
    <t>6074.2025/0006948-3</t>
  </si>
  <si>
    <t>1037/25</t>
  </si>
  <si>
    <t>CASA DE REPOUSO MEU LAR LTDA</t>
  </si>
  <si>
    <t>CASA DE REPOUSO MEU LAR</t>
  </si>
  <si>
    <t>41.143.444/0001-63</t>
  </si>
  <si>
    <t>Rua Dr. Raul da Rocha Medeiros, 236</t>
  </si>
  <si>
    <t>03071-100</t>
  </si>
  <si>
    <t>(11) 98934-5191</t>
  </si>
  <si>
    <t>casaderepousomeular@hotmail.com</t>
  </si>
  <si>
    <t>6074.2025/0007802-4</t>
  </si>
  <si>
    <t>390.4/20</t>
  </si>
  <si>
    <t>INTEGRANDO SABERES PARA O ATENDIMENTO DA PESSOA IDOSA</t>
  </si>
  <si>
    <t>Rua Nova do Taparoquera, 249</t>
  </si>
  <si>
    <t>05820-200</t>
  </si>
  <si>
    <t>carlaprates@fundacaojulita.org.br</t>
  </si>
  <si>
    <t>CASA DE REPOUSO FAMÍLIA FELIZ</t>
  </si>
  <si>
    <t>07.923.396/0001-98</t>
  </si>
  <si>
    <t>Rua Vieira Portuense, 56</t>
  </si>
  <si>
    <t>04347-080</t>
  </si>
  <si>
    <t>(11) 5011-0730</t>
  </si>
  <si>
    <t>6074.2025/0007811-3</t>
  </si>
  <si>
    <t>457.2/21</t>
  </si>
  <si>
    <t>CASA DE REPOUSO RECANTO AZUL</t>
  </si>
  <si>
    <t>71.839.302/0002-87</t>
  </si>
  <si>
    <t>Avenida São Gualter, 615</t>
  </si>
  <si>
    <t>05455-000</t>
  </si>
  <si>
    <t>(11) 3834-5247</t>
  </si>
  <si>
    <t>azul@casaderepousorecantoazul.com.br</t>
  </si>
  <si>
    <t>www.casaderepousorecantoazul.com.br</t>
  </si>
  <si>
    <t>CAEI - JARDIM UMUARAMA</t>
  </si>
  <si>
    <t>Rua Eduardo Amigo, nº 103 - B</t>
  </si>
  <si>
    <t>04650-130</t>
  </si>
  <si>
    <t>(11) 2339-0260</t>
  </si>
  <si>
    <t>6074.20250002961-9</t>
  </si>
  <si>
    <t>1038/25</t>
  </si>
  <si>
    <t>AMOR RESIDENCIAL SÊNIOR 4 CORAÇÕES LTDA</t>
  </si>
  <si>
    <t>57.638.529/0001-52</t>
  </si>
  <si>
    <t>Av. Norberto Mayer, 399, Anexo 409</t>
  </si>
  <si>
    <t>03425-040</t>
  </si>
  <si>
    <t>amorresidencialuni2@gmail.com</t>
  </si>
  <si>
    <t>6074.2025/0007823-7</t>
  </si>
  <si>
    <t>1039/25</t>
  </si>
  <si>
    <t>CANTINHO DO IDOSO SÃO JOSÉ LTDA</t>
  </si>
  <si>
    <t>CANTNHO DO IDOSO SÃO JOSÉ</t>
  </si>
  <si>
    <t>54.948.209/0001-00</t>
  </si>
  <si>
    <t>Rua Augusto Carlos Bauman, 606</t>
  </si>
  <si>
    <t>08210-590</t>
  </si>
  <si>
    <t>(11) 97211-3629</t>
  </si>
  <si>
    <t>ongmaglac@gmail.com</t>
  </si>
  <si>
    <t>6074.2025/0007850-4</t>
  </si>
  <si>
    <t>682.3/23</t>
  </si>
  <si>
    <t>CASA DE REPOUSO DAS OLIVEIRAS 3</t>
  </si>
  <si>
    <t>48.400.827/0003-80</t>
  </si>
  <si>
    <t>Av. Nova Cantareira, 5622</t>
  </si>
  <si>
    <t>(11) 2366-3737</t>
  </si>
  <si>
    <t>NCI - IPISP</t>
  </si>
  <si>
    <t>Rua Benedito Pinto de Campos, 5 A</t>
  </si>
  <si>
    <t>04930-220</t>
  </si>
  <si>
    <t>Jardim Santa Margarida</t>
  </si>
  <si>
    <t>(11) 5825-1577</t>
  </si>
  <si>
    <t>996.2/25</t>
  </si>
  <si>
    <t>BELLA ZUMBA</t>
  </si>
  <si>
    <t>Rua Jumana, 201/199</t>
  </si>
  <si>
    <t>03121-030</t>
  </si>
  <si>
    <t>1040/25</t>
  </si>
  <si>
    <t>CASA DE REPOUSO ROSA JULIET LTDA</t>
  </si>
  <si>
    <t>CASA DE REPOUSO ROSA JULIET</t>
  </si>
  <si>
    <t>56.435.468/0001-63</t>
  </si>
  <si>
    <t>Av. do Anastácio, 2034</t>
  </si>
  <si>
    <t>(11) 3906-0927</t>
  </si>
  <si>
    <t>rosa.juliet@terra.com.br</t>
  </si>
  <si>
    <t>www.rosajuliet.com.br</t>
  </si>
  <si>
    <t>6074.2025/0007865-2</t>
  </si>
  <si>
    <t>1041/25</t>
  </si>
  <si>
    <t>REDE INTERNACIONAL DE AÇÃO COMUNITÁRIA - INTERAÇÃO</t>
  </si>
  <si>
    <t>07.301.538/0001-85</t>
  </si>
  <si>
    <t>Rua Líbero Badaró, 101, Conj. 20, 15º andar</t>
  </si>
  <si>
    <t>01009-902</t>
  </si>
  <si>
    <t>(11) 3159-2621</t>
  </si>
  <si>
    <t>contato@redeinteracao.org.br</t>
  </si>
  <si>
    <t>www.redeinteracao.org.br</t>
  </si>
  <si>
    <t>6074.2025/0007883-0</t>
  </si>
  <si>
    <t>CASA DE REPOUSO NOSSA SENHORA CONCEIÇÃO APARECIDA</t>
  </si>
  <si>
    <t>1042/25</t>
  </si>
  <si>
    <t>INSTITUTO SOCIAL DALVA RANGEL</t>
  </si>
  <si>
    <t>VIDA ATIVA: SAÚDE, LAZER E DIGNIDADE PARA A TERCEIRA IDADE</t>
  </si>
  <si>
    <t>16.651.882/0001-95</t>
  </si>
  <si>
    <t>Rua Ferdinando Bibiena, 337</t>
  </si>
  <si>
    <t>08225-300</t>
  </si>
  <si>
    <t>Cidade Antônio Estêvão de Carvalho</t>
  </si>
  <si>
    <t>(11) 2985-1083</t>
  </si>
  <si>
    <t>institutosocialdalvarangel@gmail.com</t>
  </si>
  <si>
    <t>www.institutodalvarangel.com</t>
  </si>
  <si>
    <t>6074.2025/0007886-5</t>
  </si>
  <si>
    <t>1043/25</t>
  </si>
  <si>
    <t>INSTITUTO SEMEÃO SILVA</t>
  </si>
  <si>
    <t>ATENDIMENTO PARA PESSOAS IDOSAS</t>
  </si>
  <si>
    <t>27.633.748/0001-88</t>
  </si>
  <si>
    <t>Rua Clara Nunes, 03-A</t>
  </si>
  <si>
    <t>02675-031</t>
  </si>
  <si>
    <t>Conj. Promorar Estrada da Parada Elisa - Maria</t>
  </si>
  <si>
    <t>(11) 3104-6383</t>
  </si>
  <si>
    <t>institutosemeaosilvaoficial@gmail.com</t>
  </si>
  <si>
    <t>6074.2025/0007891-1</t>
  </si>
  <si>
    <t>(11) 91673-2503</t>
  </si>
  <si>
    <t>marlene.neves@rcleger.com.br</t>
  </si>
  <si>
    <t>www.residencialclubleger.com.br</t>
  </si>
  <si>
    <t>ASSOCIAÇÃO FRANCISCANA DE SOLIDARIEDADE</t>
  </si>
  <si>
    <t>CASA DE CLARA</t>
  </si>
  <si>
    <t>11.861.086/0013-05</t>
  </si>
  <si>
    <t>(11) 2604-5688</t>
  </si>
  <si>
    <t>sefras@sefras.org.br</t>
  </si>
  <si>
    <t>6074.2025/0007896-2</t>
  </si>
  <si>
    <t>1044/25</t>
  </si>
  <si>
    <t>CASA DE REPOUSO IKEBANA LTDA</t>
  </si>
  <si>
    <t>CASA DE REPOUSO IKEBANA</t>
  </si>
  <si>
    <t>55.087.371/0001-44</t>
  </si>
  <si>
    <t>Rua Ribeiro Lacerda, 309</t>
  </si>
  <si>
    <t>(11) 99231-7968</t>
  </si>
  <si>
    <t>casaderepousoikebana@gmail.com</t>
  </si>
  <si>
    <t>www.casaderepousoikebana.com.br</t>
  </si>
  <si>
    <t>6074.2025/0007929-2</t>
  </si>
  <si>
    <t>CASA DE REPOUSO OTONIEL MOTA</t>
  </si>
  <si>
    <t>05849-440</t>
  </si>
  <si>
    <t>1045/25</t>
  </si>
  <si>
    <t>INSTITUTO EDUCACIONAL TOQUE PARA O FUTURO</t>
  </si>
  <si>
    <t>NCI VINOCA</t>
  </si>
  <si>
    <t>18.194.075/0001-16</t>
  </si>
  <si>
    <t>Rua Victor Roger, 35</t>
  </si>
  <si>
    <t>02612-100</t>
  </si>
  <si>
    <t>Vila Nova Cachoeirinha</t>
  </si>
  <si>
    <t>(11) 96946-0139</t>
  </si>
  <si>
    <t>toqueparaofuturo@yahoo.com.br</t>
  </si>
  <si>
    <t>www.toqueparaofuturo.com.br</t>
  </si>
  <si>
    <t>6074.2025/0007932-2</t>
  </si>
  <si>
    <t>1046/25</t>
  </si>
  <si>
    <t>D'PÁDUA RESIDENCIAL SÊNIOR</t>
  </si>
  <si>
    <t>52.166.571/0001-02</t>
  </si>
  <si>
    <t>Rua Capivarinhas, 54</t>
  </si>
  <si>
    <t>05458-010</t>
  </si>
  <si>
    <t>6074.2025/0007934-9</t>
  </si>
  <si>
    <t>LAR SANT'ANA - BUTANTÃ</t>
  </si>
  <si>
    <t>(11) 3670-0291</t>
  </si>
  <si>
    <t>Avenida São Gualter, 1148</t>
  </si>
  <si>
    <t>03759-030</t>
  </si>
  <si>
    <t>Jardim Penha</t>
  </si>
  <si>
    <t>(11) 95822-1762</t>
  </si>
  <si>
    <t>1047/25</t>
  </si>
  <si>
    <t>ASSOCIAÇÃO COMUNITÁRIA ANA JULIA DO JARDIM SILVEIRA</t>
  </si>
  <si>
    <t>ANA JULIA ASSISTÊNCIA AOS IDOSOS</t>
  </si>
  <si>
    <t>31.923.700/0001-81</t>
  </si>
  <si>
    <t>Rua Ricardo Vines, 220</t>
  </si>
  <si>
    <t>04892-110</t>
  </si>
  <si>
    <t>Jardim Silveira</t>
  </si>
  <si>
    <t>(11) 5934-1365</t>
  </si>
  <si>
    <t>int.anajuliaidosos@gmail.com</t>
  </si>
  <si>
    <t>6074.2025/0007939-0</t>
  </si>
  <si>
    <t>D.M.F. CASA DE REPOUSO LTDA</t>
  </si>
  <si>
    <t>RESIDENCIAL FERNANDES</t>
  </si>
  <si>
    <t xml:space="preserve">Rua Nunes Balboa, nº 485 </t>
  </si>
  <si>
    <t>(11) 2096 -4702</t>
  </si>
  <si>
    <t>divapisani77@gmail.com</t>
  </si>
  <si>
    <t>6074.2025/0007949-7</t>
  </si>
  <si>
    <t>679.2/23</t>
  </si>
  <si>
    <t>VIVER MELHOR COM CIDADANIA DIGITAL E INCLUSÃO SOCIOCULTURAL PARA TERCEIRA IDADE</t>
  </si>
  <si>
    <t>Rua dos Pinheiros, 706, casa 06</t>
  </si>
  <si>
    <t>(11) 98270-0700</t>
  </si>
  <si>
    <t>financeiro@atados.com.br</t>
  </si>
  <si>
    <t>679.1/23</t>
  </si>
  <si>
    <t>INSTITUTO DE PROTEÇÃO À INFÂNCIA DE SÃO PAULO - IPISP</t>
  </si>
  <si>
    <t>109.1/16</t>
  </si>
  <si>
    <t>03175-010</t>
  </si>
  <si>
    <t>Av. Eng° Heitor Antonio Eiras Garcia, n° 5531</t>
  </si>
  <si>
    <t>(11) 5853-2050</t>
  </si>
  <si>
    <t>1048/25</t>
  </si>
  <si>
    <t>RESIDENCIAL ALVORADA - CASA DE REPOUSO LTDA</t>
  </si>
  <si>
    <t>RESIDENCIAL ALVORADA</t>
  </si>
  <si>
    <t>59.868.237/0001-31</t>
  </si>
  <si>
    <t>(11) 94045-0712</t>
  </si>
  <si>
    <t>contato@residencialalvorada.com.br</t>
  </si>
  <si>
    <t>www.residencialalvorada.com.br</t>
  </si>
  <si>
    <t>6074.2025/0008005-3</t>
  </si>
  <si>
    <t>1049/25</t>
  </si>
  <si>
    <t>RESIDENCIAL SÊNIOR HARMONIA</t>
  </si>
  <si>
    <t>58.468.862/0001-23</t>
  </si>
  <si>
    <t>Avenida Morumbi, 354</t>
  </si>
  <si>
    <t>residencialseniorharmonia@gmailcom</t>
  </si>
  <si>
    <t>www.residencialseniorharmonia.org.br</t>
  </si>
  <si>
    <t>6074.2025/0008007-0</t>
  </si>
  <si>
    <t>SANDRA DORTA TUBOTA - ME</t>
  </si>
  <si>
    <t>CASA DE REPOUSO CIDADE VARGAS</t>
  </si>
  <si>
    <t>contato@moradasaogualter.com.br</t>
  </si>
  <si>
    <t>www.moradasaogualter.com.br</t>
  </si>
  <si>
    <t>1050/25</t>
  </si>
  <si>
    <t>ENVELHECER &amp; SAÚDE INSTITUIÇÃO DE LONGA PERMANÊNCIA LTDA</t>
  </si>
  <si>
    <t>TERÇA DA SERRA INTERLAGOS</t>
  </si>
  <si>
    <t>55.455.768/0001-41</t>
  </si>
  <si>
    <t>Rua Engelbert Romer, 153</t>
  </si>
  <si>
    <t>04802-090</t>
  </si>
  <si>
    <t>(11) 5669-2332</t>
  </si>
  <si>
    <t>interlagos@tercadaserra.com.br</t>
  </si>
  <si>
    <t>6074.2025/0008024-0</t>
  </si>
  <si>
    <t>1051/25</t>
  </si>
  <si>
    <t>ASSOCIAÇÃO BENEFICENTE LONAN</t>
  </si>
  <si>
    <t>NCI - MAIS VIVER</t>
  </si>
  <si>
    <t>16.479.655/0001-24</t>
  </si>
  <si>
    <t>Rua Paulo Frontin, 335</t>
  </si>
  <si>
    <t>08220-390</t>
  </si>
  <si>
    <t>(11) 2056-3251</t>
  </si>
  <si>
    <t>associacaobeneficentelonan@hotmail.com</t>
  </si>
  <si>
    <t>6074.2025/0008033-9</t>
  </si>
  <si>
    <t>08275-240</t>
  </si>
  <si>
    <t>Rua Frei Cristóvão Severim, 266</t>
  </si>
  <si>
    <t>RESIDENCIAL SANTA CRUZ</t>
  </si>
  <si>
    <t>04676-020</t>
  </si>
  <si>
    <t>alex.quirino@rsantacruz.com.br</t>
  </si>
  <si>
    <t>03.960.066/0001-11</t>
  </si>
  <si>
    <t>(11) 2662-6030</t>
  </si>
  <si>
    <t>NCI NOSSO LAR</t>
  </si>
  <si>
    <t>67.139.907/0001-07</t>
  </si>
  <si>
    <t>03347-010</t>
  </si>
  <si>
    <t>(11) 2021-2742</t>
  </si>
  <si>
    <t>nossolar@capsnossolar.org.br</t>
  </si>
  <si>
    <t>NCI - JARDIM PANAMERICANO</t>
  </si>
  <si>
    <t>Rua Barra da Forquilha, 300</t>
  </si>
  <si>
    <t>02993-000</t>
  </si>
  <si>
    <t>Jardim Panamericano</t>
  </si>
  <si>
    <t>(11) 3941-9435</t>
  </si>
  <si>
    <t xml:space="preserve"> BRAZIL SENIOR LIVING LTDA</t>
  </si>
  <si>
    <t>(11) 2500-0800</t>
  </si>
  <si>
    <t>6074.2025/0008099-1</t>
  </si>
  <si>
    <t>1052/25</t>
  </si>
  <si>
    <t>CASA DE REPOUSO SOLAR SOBERANO LTDA</t>
  </si>
  <si>
    <t>CASA DE REPOUSO SOLAR SOBERANO</t>
  </si>
  <si>
    <t>45.464.463/0001-42</t>
  </si>
  <si>
    <t>Rua Guinle, 320</t>
  </si>
  <si>
    <t>01548-040</t>
  </si>
  <si>
    <t>(11) 2272-6199</t>
  </si>
  <si>
    <t>casaderepousosolarsoberano@outlook.com</t>
  </si>
  <si>
    <t>6074.2025/0008107-6</t>
  </si>
  <si>
    <t>QUEIROZ INSTITUIÇÃO PARA IDOSOS LTDA</t>
  </si>
  <si>
    <t>(11) 5061-0364</t>
  </si>
  <si>
    <t>6074.2025/0008110-6</t>
  </si>
  <si>
    <t>(11) 3313-8157</t>
  </si>
  <si>
    <t>CAEI ACONCHEGO/HOTEL PLAZA APOLO</t>
  </si>
  <si>
    <t>Rua Aurora, n° 409 - Rua dos Timbiras, 483</t>
  </si>
  <si>
    <t>01209-003 - 01208-012</t>
  </si>
  <si>
    <t>Santa Efigênia</t>
  </si>
  <si>
    <t>(11) 3362-2400 - 94217-4841</t>
  </si>
  <si>
    <t>6074.2025/0008131-9</t>
  </si>
  <si>
    <t>163.6/17</t>
  </si>
  <si>
    <t>NCI NOSSA SENHORA APARECIDA</t>
  </si>
  <si>
    <t>Rua Engenheiro Cesar Polilo, 368</t>
  </si>
  <si>
    <t>08021-150</t>
  </si>
  <si>
    <t>(11) 2387-2725</t>
  </si>
  <si>
    <t>nciidelfranca@gmail.com</t>
  </si>
  <si>
    <t>615.3/22</t>
  </si>
  <si>
    <t xml:space="preserve">ASSOCIAÇÃO BENEFICENTE OR AVROHOM - ORAM </t>
  </si>
  <si>
    <t>MEMÓRIAS DA MELHOR IDADE II</t>
  </si>
  <si>
    <t>Rua Jureia, 522</t>
  </si>
  <si>
    <t>PERSEVERANÇA RESIDENCIAL PARA IDOSOS</t>
  </si>
  <si>
    <t>(11) 2533-9673</t>
  </si>
  <si>
    <t>crperseverança@gmail.com</t>
  </si>
  <si>
    <t>6074.2025/0008171-8</t>
  </si>
  <si>
    <t>414.2/21</t>
  </si>
  <si>
    <t>RESIDENCIAL TATUAPÉ PARA TERCEIRA IDADE LTDA</t>
  </si>
  <si>
    <t>RESIDENCIAL TATUAPÉ</t>
  </si>
  <si>
    <t>14.158.853/0002-41</t>
  </si>
  <si>
    <t>Estrada Velha da Penha, 333</t>
  </si>
  <si>
    <t>03090-020</t>
  </si>
  <si>
    <t>(11) 2225-1515</t>
  </si>
  <si>
    <t>residencialtatuape@gmail.com</t>
  </si>
  <si>
    <t>www.residencialtatuape.com.br</t>
  </si>
  <si>
    <t>6074.2025/0008174-2</t>
  </si>
  <si>
    <t>1053/25</t>
  </si>
  <si>
    <t>LUZ E VIDA RESIDENCIAL PARA IDOSO LTDA</t>
  </si>
  <si>
    <t>LUZ E VIDA RESIDENCIAL PARA IDOSO</t>
  </si>
  <si>
    <t>47.810.945/0001-32</t>
  </si>
  <si>
    <t>Rua Guararapes, 104</t>
  </si>
  <si>
    <t>05077-050</t>
  </si>
  <si>
    <t>(11) 3832-4282</t>
  </si>
  <si>
    <t>6074.2025/0008185-8</t>
  </si>
  <si>
    <t>www.fundacaojulita.org.br</t>
  </si>
  <si>
    <t>www.associacaolonan.com.br</t>
  </si>
  <si>
    <t>1054/25</t>
  </si>
  <si>
    <t>INSTITUTO CEDESC - CENTRO EDUCACIONAL, DESPORTIVO, SOCIAL E CULTURAL DO PARQUE FERNANDA</t>
  </si>
  <si>
    <t>53.815.718/0001-00</t>
  </si>
  <si>
    <t>Avenida Doutor Salvador Rocco, 539</t>
  </si>
  <si>
    <t>05888-050</t>
  </si>
  <si>
    <t>(11) 5824-2802</t>
  </si>
  <si>
    <t>cedesc.pqf@gmail.com</t>
  </si>
  <si>
    <t>6074.2025/0008255-2</t>
  </si>
  <si>
    <t>Rua Lírio D'água, 111</t>
  </si>
  <si>
    <t>08141-690</t>
  </si>
  <si>
    <t>Jardim Camargo Nova</t>
  </si>
  <si>
    <t>(11) 98104-2341</t>
  </si>
  <si>
    <t>Av. Paes de Barros, nº 401</t>
  </si>
  <si>
    <t>03115-020</t>
  </si>
  <si>
    <t>(11) 93933-8200</t>
  </si>
  <si>
    <t>6074.2025/0008287-0</t>
  </si>
  <si>
    <t>ASSOCIAÇÃO IDADE DOURADA DE PINHEIROS</t>
  </si>
  <si>
    <t>NCI IDADE DOURADA</t>
  </si>
  <si>
    <t>1055/25</t>
  </si>
  <si>
    <t>CIRLENE RODRIGUES DOS SANTOS CASA DE REPOUSO - ME</t>
  </si>
  <si>
    <t>FLOR DE LIS</t>
  </si>
  <si>
    <t>11.482.077/0001-61</t>
  </si>
  <si>
    <t>Rua Cangalha, 112</t>
  </si>
  <si>
    <t>05108-110</t>
  </si>
  <si>
    <t>Jardim Marisa</t>
  </si>
  <si>
    <t>(11) 2574-3075</t>
  </si>
  <si>
    <t>flordeliscangalha112@gmail.com</t>
  </si>
  <si>
    <t>6074.2025/0008293-5</t>
  </si>
  <si>
    <t>NÚCLEO DA MATURIDADE - CENTRO DE ATIVIDADES E CONVÍVIO PARA A TERCEIRA IDADE</t>
  </si>
  <si>
    <t>01309-011</t>
  </si>
  <si>
    <t>(11) 2808-6299</t>
  </si>
  <si>
    <t>996.3/25</t>
  </si>
  <si>
    <t>CANTINHO CRIATIVO</t>
  </si>
  <si>
    <t>(11) 3791-7325</t>
  </si>
  <si>
    <t>6074.2021/0000397-3</t>
  </si>
  <si>
    <t>1056/25</t>
  </si>
  <si>
    <t>CASA BRASILEIRA UNIÃO HUNTINGTON</t>
  </si>
  <si>
    <t>PESSOAS COM DOENÇA DE HUNTINGTON E OUTRAS DOENÇAS RARA, NEGLIGENCIADAS, QUAL É SEU TEMPO DE ENVELHECER?</t>
  </si>
  <si>
    <t>57.011.188/0001-90</t>
  </si>
  <si>
    <t>Rua Timburiba, 100</t>
  </si>
  <si>
    <t>04119-080</t>
  </si>
  <si>
    <t>(11) 97208-9766</t>
  </si>
  <si>
    <t>casabrasileirauniaohuntington@gmail.com</t>
  </si>
  <si>
    <t>6074.2025/0008314-1</t>
  </si>
  <si>
    <t>753.4/23</t>
  </si>
  <si>
    <t>Rua Comendador Elias Zarzur, 86 - Rua Taguá,88</t>
  </si>
  <si>
    <t xml:space="preserve">04736-000 </t>
  </si>
  <si>
    <t>(11) 99782-8250</t>
  </si>
  <si>
    <t>projetos.sp@adra.org.br</t>
  </si>
  <si>
    <t>996.4/25</t>
  </si>
  <si>
    <t>BELLA ATITUDE ONLINE</t>
  </si>
  <si>
    <t>Rua Vespasiano, 592</t>
  </si>
  <si>
    <t>05044-050</t>
  </si>
  <si>
    <t>Vila Romana</t>
  </si>
  <si>
    <t xml:space="preserve">NOVA RESIDENCIAL SENIOR </t>
  </si>
  <si>
    <t>(11) 2503-6077</t>
  </si>
  <si>
    <t>1057/25</t>
  </si>
  <si>
    <t>53.931.701/0001-00</t>
  </si>
  <si>
    <t>Avenida Mercedes, 152</t>
  </si>
  <si>
    <t>(11) 96300-3700</t>
  </si>
  <si>
    <t>juridico@hospitalplatinum.com.br</t>
  </si>
  <si>
    <t>6074.2025/0008461-0</t>
  </si>
  <si>
    <t>RESIDENCIAL SÊNIOR REFÚGIO DO BOSQUE LTDA</t>
  </si>
  <si>
    <t>404.2/21</t>
  </si>
  <si>
    <t>CASA DE REPOUSO PAINEIRAS II</t>
  </si>
  <si>
    <t>04.468.626/0002-69</t>
  </si>
  <si>
    <t>Rua Sete Barras, 118-122</t>
  </si>
  <si>
    <t>(11) 3975-4466</t>
  </si>
  <si>
    <t>1058/25</t>
  </si>
  <si>
    <t>COMPANHIA MAJA DE TEATRO E DANÇA</t>
  </si>
  <si>
    <t>CUIDA DE MIM - OFICINAS DE HUMANIZAÇÃO E SENSIBILIDADE DE CUIDADOS COM A PESSOA IDOSA</t>
  </si>
  <si>
    <t>03.803.809/0001-40</t>
  </si>
  <si>
    <t>Avenida Muzambinho, 221</t>
  </si>
  <si>
    <t>Vila Fachini</t>
  </si>
  <si>
    <t>(11) 99733-6603</t>
  </si>
  <si>
    <t>companhiamaja@gmail.com</t>
  </si>
  <si>
    <t>www.companhiamaja.org.br</t>
  </si>
  <si>
    <t>6074.2025/0008513-6</t>
  </si>
  <si>
    <t xml:space="preserve">INSTITUTO FOMENTANDO REDES E EMPREENDEDORISMO SOCIAL </t>
  </si>
  <si>
    <t>01215-010</t>
  </si>
  <si>
    <t>Rua Helvétia, 234</t>
  </si>
  <si>
    <t>CENTRO DIA PARA IDOSOS CASA VERDE</t>
  </si>
  <si>
    <t>Rua Doutor Mario Pinto Serva, 184</t>
  </si>
  <si>
    <t>02555-090</t>
  </si>
  <si>
    <t>(11) 3938-4118</t>
  </si>
  <si>
    <t>alps.social2001@gmail.com</t>
  </si>
  <si>
    <t>6074.2020/0004978-5</t>
  </si>
  <si>
    <t>1059/25</t>
  </si>
  <si>
    <t>CASA DE REPOPUSO E TREINAMENTO PARA CUIDADORES CAFARNAUM LTDA</t>
  </si>
  <si>
    <t>36.639.496/0001-95</t>
  </si>
  <si>
    <t>Rua Harmonia, 626</t>
  </si>
  <si>
    <t>05435-000</t>
  </si>
  <si>
    <t>(11) 4883-1297</t>
  </si>
  <si>
    <t>casacafarnaum@gmail.com</t>
  </si>
  <si>
    <t>www.casacafarnaum.com.br</t>
  </si>
  <si>
    <t>6074.2025/0008598-5</t>
  </si>
  <si>
    <t>CASA DE REPOUSO CAFARNAUM</t>
  </si>
  <si>
    <t>04343-040</t>
  </si>
  <si>
    <t>60.766.060/0001-41</t>
  </si>
  <si>
    <t>CURSO DE FORMAÇÃO PARA CUIDADOS E ATENÇÃO INTEGRAL À POPULAÇÃO IDOSA</t>
  </si>
  <si>
    <t>656.7/22</t>
  </si>
  <si>
    <t>INSTITUTO DE ASSISTÊNCIA SOCIAL, SAÚDE, EDUCAÇÃO, TURISMO E LAZER - GERA - INTERGERAÇÕES</t>
  </si>
  <si>
    <t>1060/25</t>
  </si>
  <si>
    <t>RESIDENCIAL NITA NAIR LTDA</t>
  </si>
  <si>
    <t>RESIDENCIAL NITA NAIR</t>
  </si>
  <si>
    <t>51.457.856/0001-21</t>
  </si>
  <si>
    <t>05469-000</t>
  </si>
  <si>
    <t>(11) 4934-2661</t>
  </si>
  <si>
    <t>residencialnitanair@madanisaude.com.br</t>
  </si>
  <si>
    <t>www.madanisaude.com.br/serviço/residencialnitanair</t>
  </si>
  <si>
    <t>6074.2025/0008676-0</t>
  </si>
  <si>
    <t>Avenida Padre Pereira de Andrade, 176</t>
  </si>
  <si>
    <t>1061/25</t>
  </si>
  <si>
    <t>INSTITUTO NACIONAL DE TECNOLOGIA, EDUCAÇÃO, CULTURA E SAÚDE</t>
  </si>
  <si>
    <t>NUTRIR 60+: EDUCAÇÃO ALIMENTAR, AUTONOMIA E BEM-VIVER PARA PESSOAS IDOSAS</t>
  </si>
  <si>
    <t>17.215.491/0002-71</t>
  </si>
  <si>
    <t>(11) 5502-6500</t>
  </si>
  <si>
    <t>fran.carvalho@scritacontabil.com.br</t>
  </si>
  <si>
    <t>6074.2025/0008677-9</t>
  </si>
  <si>
    <t>https://intecsbr.org/</t>
  </si>
  <si>
    <t>(11) 2943-2277</t>
  </si>
  <si>
    <t>6074.2021/0000633-6</t>
  </si>
  <si>
    <t>Total Geral</t>
  </si>
  <si>
    <t>1062/25</t>
  </si>
  <si>
    <t>CASA DE REPOUSO SÃO DOMINGOS LTDA</t>
  </si>
  <si>
    <t>RESIDENCIAL SÃO DOMINGOS</t>
  </si>
  <si>
    <t>18.201.942/0001-01</t>
  </si>
  <si>
    <t>02409-010</t>
  </si>
  <si>
    <t>Vila Vitorio Mazzei</t>
  </si>
  <si>
    <t>6074.2025/0008753-8</t>
  </si>
  <si>
    <t>(11) 2306-6585</t>
  </si>
  <si>
    <t>residencialsaodomingos@outlook.com</t>
  </si>
  <si>
    <t>Rua Dutra e Melo, 25/37</t>
  </si>
  <si>
    <t>www.residencialsaodomingos.com.br</t>
  </si>
  <si>
    <t>(11) 2074-5737</t>
  </si>
  <si>
    <t>1063/25</t>
  </si>
  <si>
    <t>ASSOCIAÇÃO COMUNITÁRIA E BENEFICENTE SÃO VICENTE PALLOTTI</t>
  </si>
  <si>
    <t>6074.2025/0008784-8</t>
  </si>
  <si>
    <t>CENTRO DE CONVIVÊNCIA PARA A TERCEIRA IDADE</t>
  </si>
  <si>
    <t>17.215.846/0001-41</t>
  </si>
  <si>
    <t>Rua Evangelina, 229</t>
  </si>
  <si>
    <t>03421-000</t>
  </si>
  <si>
    <t>(11) 99970-7130</t>
  </si>
  <si>
    <t>v-vicentepallotti@bol.com.br</t>
  </si>
  <si>
    <t>NCI SANTO EXPEDITO</t>
  </si>
  <si>
    <t>02551-000</t>
  </si>
  <si>
    <t>(11) 3857-5474</t>
  </si>
  <si>
    <t>luciana@maranata.org.br</t>
  </si>
  <si>
    <t>996.5/25</t>
  </si>
  <si>
    <t>PALESTRAS DE NUTRIÇÃO E DE SAÚDE</t>
  </si>
  <si>
    <t>MARPE CASA DE REPOUSO</t>
  </si>
  <si>
    <t>(11) 5565-4943</t>
  </si>
  <si>
    <t>INSTITUTO BRANDÃO CULTURA, ESPORTE E ASSISTÊNCIA SOCIAL</t>
  </si>
  <si>
    <t>www.institutobrandao.org.br</t>
  </si>
  <si>
    <t>NOVA ALIANÇA REPOUSO</t>
  </si>
  <si>
    <t>(11) 2941-7708</t>
  </si>
  <si>
    <t>ilpisdamanu@gmail.com</t>
  </si>
  <si>
    <t>1064/25</t>
  </si>
  <si>
    <t>RESIDENCIAL FAMÍLIA MODESTO LTDA</t>
  </si>
  <si>
    <t>RESIDENCIAL FAMÍLIA MODESTO</t>
  </si>
  <si>
    <t>52.651.883/0001-01</t>
  </si>
  <si>
    <t>Av. Diógenes Ribeiro de Lima, 517</t>
  </si>
  <si>
    <t>05458-000</t>
  </si>
  <si>
    <t>(11) 98200-2038</t>
  </si>
  <si>
    <t>villafioriresidencial2@gmail.com</t>
  </si>
  <si>
    <t>www.villafioriresidencial.com.br</t>
  </si>
  <si>
    <t>6074.2025/0009035-0</t>
  </si>
  <si>
    <t>ENVELHEÇO NA CIDADE: EXPERIÊNCIAS DE ENVELHECIMENTO NAS REGIÕES DE SÃO PAULO</t>
  </si>
  <si>
    <t>RESIDENCIAL VIDA PLENA</t>
  </si>
  <si>
    <t>Avenida Edu Chaves, 1132</t>
  </si>
  <si>
    <t>02229-001</t>
  </si>
  <si>
    <t>(11) 2476-9562</t>
  </si>
  <si>
    <t>nutricamila@hotmail.com</t>
  </si>
  <si>
    <t>6074.2025/0009134-9</t>
  </si>
  <si>
    <t>1065/25</t>
  </si>
  <si>
    <t>ASSOCIAÇÃO NACIONAL DE ASSISTÊNCIA AO CARDÍACO - ANAC</t>
  </si>
  <si>
    <t>ACOLHIMENTO SOCIAL</t>
  </si>
  <si>
    <t>62.569.835/0001-14</t>
  </si>
  <si>
    <t>Rua Caravelas, 527</t>
  </si>
  <si>
    <t>04012-060</t>
  </si>
  <si>
    <t>(11) 5044-1205</t>
  </si>
  <si>
    <t>anacar.org.br</t>
  </si>
  <si>
    <t>6074.2025/0009159-4</t>
  </si>
  <si>
    <t>HOMER SAÚDE</t>
  </si>
  <si>
    <t>12.643.773/0001-75</t>
  </si>
  <si>
    <t>(11) 2507-6422</t>
  </si>
  <si>
    <t>6074.2025/0009162-4</t>
  </si>
  <si>
    <t>(11) 3805-4710</t>
  </si>
  <si>
    <t>lightlifecasaderepouso.com.br</t>
  </si>
  <si>
    <t>1066/25</t>
  </si>
  <si>
    <t>INOVA RESIDENCIAL PARA IDOSOS LTDA</t>
  </si>
  <si>
    <t>INOVA RESIDENCIAL</t>
  </si>
  <si>
    <t>41.850.545/0001-74</t>
  </si>
  <si>
    <t>Rua Visconde de Castro, 185</t>
  </si>
  <si>
    <t>04611-050</t>
  </si>
  <si>
    <t>(11) 3384-7046</t>
  </si>
  <si>
    <t>inovaresidencial@outlook.com</t>
  </si>
  <si>
    <t>6074.2025/0009204-3</t>
  </si>
  <si>
    <t>ASSOCIAÇÃO ESPÍRITA BENEFICENTE DR. ADOLFO BEZERRA DE MENEZES</t>
  </si>
  <si>
    <t>(11) 2164-1821</t>
  </si>
  <si>
    <t>CONECTANDO 60+</t>
  </si>
  <si>
    <t>0371-050</t>
  </si>
  <si>
    <t>FAMÍLIA RESIDENCIAL SÊNIOR</t>
  </si>
  <si>
    <t>04017-050</t>
  </si>
  <si>
    <t>(11) 5549-5266</t>
  </si>
  <si>
    <t>NCI VIVER BEM</t>
  </si>
  <si>
    <t>Travessa Dom José de Cairu, 300</t>
  </si>
  <si>
    <t>(11) 3931-2614</t>
  </si>
  <si>
    <t>6074.2021/0001378-2</t>
  </si>
  <si>
    <t>1067/25</t>
  </si>
  <si>
    <t>FATIMA ANGELIM DA SILVA CASA DE REPOUSO</t>
  </si>
  <si>
    <t>RESIDENCIAL VIVER COM AMOR</t>
  </si>
  <si>
    <t>62.359.348/0001-27</t>
  </si>
  <si>
    <t>Rua Honorio Maia, 546</t>
  </si>
  <si>
    <t>03072-000</t>
  </si>
  <si>
    <t>Maranhão</t>
  </si>
  <si>
    <t>(11) 94391-2665</t>
  </si>
  <si>
    <t>residencialvivercomamor@gmail.com</t>
  </si>
  <si>
    <t>6074.2025/0009263-9</t>
  </si>
  <si>
    <t>1068/25</t>
  </si>
  <si>
    <t>LAR DE AMOR RESIDENCIAL VOVÓ CECÍLIA LTDA</t>
  </si>
  <si>
    <t>LAR DE AMOR RESIDENCIAL VOVÓ CECÍLIA</t>
  </si>
  <si>
    <t>48.822.015/0001-61</t>
  </si>
  <si>
    <t>Rua Gonçalo Soares de França, 295</t>
  </si>
  <si>
    <t>04836-030</t>
  </si>
  <si>
    <t>Jardim Floresta</t>
  </si>
  <si>
    <t>(11) 5971-2929</t>
  </si>
  <si>
    <t>enfermagemvovocecilia@gmail.com</t>
  </si>
  <si>
    <t>6074.2025/0009296-5</t>
  </si>
  <si>
    <t xml:space="preserve">RESIDENCIAL GERIÁTRICO ANAPURUS LTDA </t>
  </si>
  <si>
    <t>RESIDENCIAL GERIÁTRICO ANAPURUS</t>
  </si>
  <si>
    <t>Alameda dos Anapurus, 1767</t>
  </si>
  <si>
    <t>04087-007</t>
  </si>
  <si>
    <t>(11) 5096-3494</t>
  </si>
  <si>
    <t>residencialanapurus@uol.com.br</t>
  </si>
  <si>
    <t>residencialanapurus.com.br</t>
  </si>
  <si>
    <t>6074.2025/0009297-3</t>
  </si>
  <si>
    <t>(11) 2691-5518</t>
  </si>
  <si>
    <t>INSTITUTO NOVOS HORIZONTES</t>
  </si>
  <si>
    <t>CDI CASA SÃO PEDRO</t>
  </si>
  <si>
    <t>(11) 2619-2662</t>
  </si>
  <si>
    <t>1069/25</t>
  </si>
  <si>
    <t>INSTITUTO VIVA MELHOR</t>
  </si>
  <si>
    <t>ATIVIDADE INTERGERACIONAL E FORMAÇÃO CIDADÃ</t>
  </si>
  <si>
    <t>08.002.631/0001-51</t>
  </si>
  <si>
    <t>Av. Coronel Octaviano de Freitas Costa, 108</t>
  </si>
  <si>
    <t>(11) 5893-2974</t>
  </si>
  <si>
    <t>ivm@ivm.org.br</t>
  </si>
  <si>
    <t>www.ivm.org.br</t>
  </si>
  <si>
    <t>6074.2025/0009391-0</t>
  </si>
  <si>
    <t>CASA CLAMOR CAVANIS "IRMÃO ALDO MENGHI"</t>
  </si>
  <si>
    <t>02729-040</t>
  </si>
  <si>
    <t>casaclamor@cavanis.org.br</t>
  </si>
  <si>
    <t>cavanis.org.br</t>
  </si>
  <si>
    <t>75.637.256/0001-03</t>
  </si>
  <si>
    <t>EM FAMÍLA CASA DE REPOUSO</t>
  </si>
  <si>
    <t xml:space="preserve">EM FAMÍLIA CASA DE REPOUSO LTDA </t>
  </si>
  <si>
    <t>Av. Brigadeiro Luís Antônio, N° 3.840</t>
  </si>
  <si>
    <t>01402-001</t>
  </si>
  <si>
    <t>(11) 2539-9100</t>
  </si>
  <si>
    <t>6074.2025/0009484-4</t>
  </si>
  <si>
    <t>CASA DE REPOUSO CAMINHO DA LUZ</t>
  </si>
  <si>
    <t>(11) 3641-1009</t>
  </si>
  <si>
    <t>6074.2025/0009493-3</t>
  </si>
  <si>
    <t>NCI CAMPO LIMPO</t>
  </si>
  <si>
    <t>05786-150</t>
  </si>
  <si>
    <t>www.uniaopopmulheres.wordpress.com</t>
  </si>
  <si>
    <t xml:space="preserve">HOSPEDARIA AMOR FRATERNAL LTDA </t>
  </si>
  <si>
    <t>05122-000</t>
  </si>
  <si>
    <t>1070/25</t>
  </si>
  <si>
    <t>ASSOCIAÇÃO DIVINA MISERCÓRDIA</t>
  </si>
  <si>
    <t>LAR DIVINA MISERICÓRDIA</t>
  </si>
  <si>
    <t>15.161.567/0001-17</t>
  </si>
  <si>
    <t>Rua Fonte Nova, 23</t>
  </si>
  <si>
    <t>04894-470</t>
  </si>
  <si>
    <t>6074.2025/0009525-5</t>
  </si>
  <si>
    <t>NCI JARDIM REBOUÇAS</t>
  </si>
  <si>
    <t>05785-190</t>
  </si>
  <si>
    <t>NCI GRUPO VIDA ATIVA</t>
  </si>
  <si>
    <t>05859-120</t>
  </si>
  <si>
    <t>Jardim Maracá</t>
  </si>
  <si>
    <t>ILPI VILA ARCO ÍRIS IV</t>
  </si>
  <si>
    <t>56.098.460/0001-59</t>
  </si>
  <si>
    <t>1071/25</t>
  </si>
  <si>
    <t>(11) 5931-9325</t>
  </si>
  <si>
    <t>amaiarcoiris@yahoo.com.br</t>
  </si>
  <si>
    <t xml:space="preserve">ASSOCIAÇÃO DOS MORADORES DA VILA ARCO ÍRIS </t>
  </si>
  <si>
    <t>Rua Ventos do Amor, 114</t>
  </si>
  <si>
    <t>04894-200</t>
  </si>
  <si>
    <t>56.098.460/0005-82</t>
  </si>
  <si>
    <t>(11) 2615-0328</t>
  </si>
  <si>
    <t>EDUCAÇÃO FINANCEIRA PARA PESSOAS IDOSAS</t>
  </si>
  <si>
    <t>01011-903</t>
  </si>
  <si>
    <t>1072/25</t>
  </si>
  <si>
    <t>INSTITUTO JOCA</t>
  </si>
  <si>
    <t>3ª IDADE GRANA PROTEGIDA</t>
  </si>
  <si>
    <t>43.706.082/0001-05</t>
  </si>
  <si>
    <t>contato@institutojoca.org.br</t>
  </si>
  <si>
    <t>institutojoca.org.br</t>
  </si>
  <si>
    <t>6074.2025/0009751-7</t>
  </si>
  <si>
    <t>04020-040</t>
  </si>
  <si>
    <t>1073/25</t>
  </si>
  <si>
    <t xml:space="preserve">INSTITUTO PAESE ESPORTE E CULTURA </t>
  </si>
  <si>
    <t xml:space="preserve">JANELAS PARA O MUNDO - ARTE ITINERANTE PARA IDOSOS </t>
  </si>
  <si>
    <t>07.780.671/0001-61</t>
  </si>
  <si>
    <t>Rua Cel. José Eusébio, 95, casa 13</t>
  </si>
  <si>
    <t>01239-030</t>
  </si>
  <si>
    <t>Higienópolis</t>
  </si>
  <si>
    <t>(11) 98435-0642</t>
  </si>
  <si>
    <t xml:space="preserve">carla@paese.org.br </t>
  </si>
  <si>
    <t>www.paese.org.br</t>
  </si>
  <si>
    <t>6074.2025/0009767-3</t>
  </si>
  <si>
    <t>1074/25</t>
  </si>
  <si>
    <t>RESIDENCIAL RECANTO DA VILA LTDA</t>
  </si>
  <si>
    <t xml:space="preserve">RESIDENCIAL RECANTO DA VILA </t>
  </si>
  <si>
    <t>57.848.217/0001-73</t>
  </si>
  <si>
    <t>Rua Tomé de Souza, 844</t>
  </si>
  <si>
    <t xml:space="preserve">Alto da Lapa </t>
  </si>
  <si>
    <t>(11) 98931-1811</t>
  </si>
  <si>
    <t>simone.sa1@hotmail.com</t>
  </si>
  <si>
    <t>6074.2025/0009769-0</t>
  </si>
  <si>
    <t>(11) 96763-9695</t>
  </si>
  <si>
    <t>LV RESIDENCIAL SENIOR</t>
  </si>
  <si>
    <t>03430-003</t>
  </si>
  <si>
    <t>(11) 5584-5521</t>
  </si>
  <si>
    <t>1075/26</t>
  </si>
  <si>
    <t>ASSOCIAÇÃO DE ASSISTÊNCIA SOCIAL ENY VIEIRA MACHADO</t>
  </si>
  <si>
    <t>ATELIÊ SANTA COSTURA</t>
  </si>
  <si>
    <t>15.308.663/0001-45</t>
  </si>
  <si>
    <t>Rua Luís de Toledo, 640</t>
  </si>
  <si>
    <t>Parque do Carmo</t>
  </si>
  <si>
    <t>(11) 2524-2013</t>
  </si>
  <si>
    <t>aevm@enyvieira.com.br</t>
  </si>
  <si>
    <t>www.enyvieira.com.br</t>
  </si>
  <si>
    <t>6074.2025/0009840-8</t>
  </si>
  <si>
    <t>1076/26</t>
  </si>
  <si>
    <t>JHENIFFER CB GUERRA ASILO</t>
  </si>
  <si>
    <t>HOSPEDARIA VÓ TATA</t>
  </si>
  <si>
    <t>47.258.716/0001-57</t>
  </si>
  <si>
    <t>05110-000</t>
  </si>
  <si>
    <t>(11) 3622-6466</t>
  </si>
  <si>
    <t>hospedariavotata@hotmail.com</t>
  </si>
  <si>
    <t>6074.2025/0009870-0</t>
  </si>
  <si>
    <t>Avenida Mutinga, 5484</t>
  </si>
  <si>
    <t>1077/26</t>
  </si>
  <si>
    <t>RESIDENCIAL PARA IDOSOS BELLA VARGAS LTDA</t>
  </si>
  <si>
    <t>RESIDENCIAL BELLA VARGAS</t>
  </si>
  <si>
    <t>42.278.334/0001-71</t>
  </si>
  <si>
    <t>Rua Amborés, 64</t>
  </si>
  <si>
    <t>04319-110</t>
  </si>
  <si>
    <t>(11) 94041-0612</t>
  </si>
  <si>
    <t>henriquelimaadonai@gmail.com</t>
  </si>
  <si>
    <t>6074.2025/0009942-0</t>
  </si>
  <si>
    <t>633.3/22</t>
  </si>
  <si>
    <t>CDI ACONCHEGO</t>
  </si>
  <si>
    <t>(11) 2368-6427</t>
  </si>
  <si>
    <t>1078/26</t>
  </si>
  <si>
    <t xml:space="preserve"> OÁSIS DO ANÁLIA RESIDENCIAL PARA IDOSOS LTDA</t>
  </si>
  <si>
    <t>OÁSIS DO ANÁLIA - RESIDENCIAL PARA IDOSOS</t>
  </si>
  <si>
    <t>57.646.586/0001-83</t>
  </si>
  <si>
    <t>Rua Joaquina Augusta Sá dos Anjos, 5</t>
  </si>
  <si>
    <t>03336-006</t>
  </si>
  <si>
    <t>(11) 99185-8553</t>
  </si>
  <si>
    <t xml:space="preserve">oasisdonaliailp@hotmail.com </t>
  </si>
  <si>
    <t>6074.2025/0009992-7</t>
  </si>
  <si>
    <t>1079/26</t>
  </si>
  <si>
    <t>INSTITUIÇÃO BENEFICENTE ISRAELITA TEN YAD</t>
  </si>
  <si>
    <t>ESPAÇO DE CONVIVÊNCIA E REFEITÓRIO COMUNITÁRIO</t>
  </si>
  <si>
    <t>69.127.793/0001-00</t>
  </si>
  <si>
    <t>Rua Newton Prado, 76</t>
  </si>
  <si>
    <t>01127-000</t>
  </si>
  <si>
    <t>(11) 3334-2977</t>
  </si>
  <si>
    <t>tenyad@tenyad.org.br</t>
  </si>
  <si>
    <t>tenyad.org.br</t>
  </si>
  <si>
    <t>6074.2025/0010081-0</t>
  </si>
  <si>
    <t>CASA VIDA</t>
  </si>
  <si>
    <t>(11) 3714-4298</t>
  </si>
  <si>
    <t>1080/26</t>
  </si>
  <si>
    <t>HOSPEDARIA DOS FRATELLO'S LTDA</t>
  </si>
  <si>
    <t>FRATELLO'S</t>
  </si>
  <si>
    <t>13.323.082/0001-57</t>
  </si>
  <si>
    <t>Rua José Tomas de Souza, 59</t>
  </si>
  <si>
    <t>05177-210</t>
  </si>
  <si>
    <t>Vila Clarice</t>
  </si>
  <si>
    <t>(11) 2738-4943</t>
  </si>
  <si>
    <t>hospedariafratellos@gmail.com</t>
  </si>
  <si>
    <t>6074.2025/0010092-5</t>
  </si>
  <si>
    <t>PENSIONATO RESIDENCIAL PIRES DE PAULA LTDA</t>
  </si>
  <si>
    <t>03520-020</t>
  </si>
  <si>
    <t>1081/26</t>
  </si>
  <si>
    <t>ASSOCIAÇÃO ROSA D'OURO</t>
  </si>
  <si>
    <t>CANTINHO DAS ROSAS</t>
  </si>
  <si>
    <t>73.267.908/0001-30</t>
  </si>
  <si>
    <t>Rua Tapaiuna, 232</t>
  </si>
  <si>
    <t>(11) 94948-3617</t>
  </si>
  <si>
    <t>associacaorosadeouro2023@gmail.com</t>
  </si>
  <si>
    <t>6074.2026/0000052-3</t>
  </si>
  <si>
    <t>RESIDENCIAL GERIÁTRICO MELHOR IDADE LTDA</t>
  </si>
  <si>
    <t>09.470.459/0001-23</t>
  </si>
  <si>
    <t>04604-000</t>
  </si>
  <si>
    <t>(11) 2533-3949</t>
  </si>
  <si>
    <t>RESIDENCIAL QUALITÁ</t>
  </si>
  <si>
    <t>(11) 3744-4747 / 5184-1106</t>
  </si>
  <si>
    <t>6074.2023/0001534-7</t>
  </si>
  <si>
    <t>1082/26</t>
  </si>
  <si>
    <t>ASSOCIAÇÃO EDUCACIONAL COMUNITÁRIA VALE VERDE</t>
  </si>
  <si>
    <t>MELHOR IDADE</t>
  </si>
  <si>
    <t>04.044.132/0001-76</t>
  </si>
  <si>
    <t>Rua Jaciara, 19</t>
  </si>
  <si>
    <t>02879-020</t>
  </si>
  <si>
    <t>Jardim Damasceno</t>
  </si>
  <si>
    <t>(11) 99163-5792</t>
  </si>
  <si>
    <t>oscvaleverde@gmail.com</t>
  </si>
  <si>
    <t>6074.2026/0000186-4</t>
  </si>
  <si>
    <t>CASA DE REPOUSO FILHO GABRIEL</t>
  </si>
  <si>
    <t>(11) 5041-6882</t>
  </si>
  <si>
    <t>casa-repouso-filho-gabriel.negocio.site</t>
  </si>
  <si>
    <t>VILLA DEI FIOIR ÁGUA RASA</t>
  </si>
  <si>
    <t>(11) 2691-2892</t>
  </si>
  <si>
    <t>6074.2021/0000630-1</t>
  </si>
  <si>
    <t>1083/26</t>
  </si>
  <si>
    <t>PALMEIRA AZUL RESIDENCIAL PARA MELHOR IDADE CASA 2 LTDA</t>
  </si>
  <si>
    <t>PALMEIRA AZUL CASA 2</t>
  </si>
  <si>
    <t>35.788.881/0001-31</t>
  </si>
  <si>
    <t>03734-090</t>
  </si>
  <si>
    <t>Vila Rui Barbosa</t>
  </si>
  <si>
    <t>(11) 2082-0758</t>
  </si>
  <si>
    <t>palmeiraazull@gmail.com</t>
  </si>
  <si>
    <t>6074.2026/0000323-9</t>
  </si>
  <si>
    <t>Av. Vinte e Quatro de Fevereiro, 151</t>
  </si>
  <si>
    <t>VILLA DEI FIORI BONFIGLIOLI - CENTRO DE CONVIVENCIA PARA A TERCEIRA IDADE LTDA</t>
  </si>
  <si>
    <t xml:space="preserve">VILLA DEI FIORI BONFIGLIOLI - CENTRO DE CONVIVENCIA PARA A TERCEIRA IDADE </t>
  </si>
  <si>
    <t>21.277.187/0001-45</t>
  </si>
  <si>
    <t>Rua professor Alfredo Aschar, 199</t>
  </si>
  <si>
    <t>05621-010</t>
  </si>
  <si>
    <t>Jardim Leonor</t>
  </si>
  <si>
    <t>(11) 98559-0895</t>
  </si>
  <si>
    <t>villadeifiorimorumbi@gmail.com</t>
  </si>
  <si>
    <t>6074.2026/0000369-7</t>
  </si>
  <si>
    <t>1084/26</t>
  </si>
  <si>
    <t>1085/26</t>
  </si>
  <si>
    <t xml:space="preserve">RESIDENCIAL CRISTO VIVE EM NÓS LTDA </t>
  </si>
  <si>
    <t xml:space="preserve">RESIDENCIAL CRISTO VIVE EM NÓS </t>
  </si>
  <si>
    <t>47.996.042/0001-98</t>
  </si>
  <si>
    <t>Rua Rosario do Sul, 544</t>
  </si>
  <si>
    <t>03.523-030</t>
  </si>
  <si>
    <t>Jardim Maringa</t>
  </si>
  <si>
    <t>6074.2026/0000404-9</t>
  </si>
  <si>
    <t>1086/26</t>
  </si>
  <si>
    <t>INSTITUTO BRASILEIRO DE INCLUSÃO SOCIOCULTURAL</t>
  </si>
  <si>
    <t>IDADE FELIZ</t>
  </si>
  <si>
    <t>09.426.084/0001-02</t>
  </si>
  <si>
    <t>Av. Paulista, 2028 conj. 111</t>
  </si>
  <si>
    <t>01310-200</t>
  </si>
  <si>
    <t>(11) 9741-7701</t>
  </si>
  <si>
    <t>contato@ibisc.org.br</t>
  </si>
  <si>
    <t>www.ibisc.org.br</t>
  </si>
  <si>
    <t>6074.2026/0000487-1</t>
  </si>
  <si>
    <t>1087/26</t>
  </si>
  <si>
    <t>CASA VÓ MARIA</t>
  </si>
  <si>
    <t>01.746.076/0001-23</t>
  </si>
  <si>
    <t>Rua Pedro Bellegarde, 159</t>
  </si>
  <si>
    <t>03317-080</t>
  </si>
  <si>
    <t>casavomaria7@gmail.com</t>
  </si>
  <si>
    <t>6074.2026/0000488-0</t>
  </si>
  <si>
    <t>CVM</t>
  </si>
  <si>
    <t>(11) 95287-5824</t>
  </si>
  <si>
    <t>(11)94007-0554</t>
  </si>
  <si>
    <t>dadinhalimaalves35@gmail.com</t>
  </si>
  <si>
    <t>(11) 2574-8885</t>
  </si>
  <si>
    <t>(11) 4116-5522</t>
  </si>
  <si>
    <t>622.5/22</t>
  </si>
  <si>
    <t xml:space="preserve"> Rua João Ramalho, 182</t>
  </si>
  <si>
    <t>05008-000</t>
  </si>
  <si>
    <t xml:space="preserve"> Perdizes</t>
  </si>
  <si>
    <t>(11) 3670-3315</t>
  </si>
  <si>
    <t xml:space="preserve">FUNDAÇÃO SÃO PAULO </t>
  </si>
  <si>
    <t>APP EU AOS 80 - AÇÃO INTERGERACIONAL PARA REDUÇÃO DE DISCRIMINAÇÃO ETÁRIA E DISSEMINAÇÃO DE DIREITOS DA PESSOA IDOSA</t>
  </si>
  <si>
    <t>RESIDENCIAL VIVA MELHOR CASA DE REPOUSO</t>
  </si>
  <si>
    <t>(11) 2609-4738</t>
  </si>
  <si>
    <t>1088/26</t>
  </si>
  <si>
    <t>TEMPO DE AMAR NA MELHOR IDADE UNI. III LTDA</t>
  </si>
  <si>
    <t>TEMPO DE AMAR</t>
  </si>
  <si>
    <t>58.364.490/0001-95</t>
  </si>
  <si>
    <t>Rua Pautinga, 104</t>
  </si>
  <si>
    <t>08120-360</t>
  </si>
  <si>
    <t>(11) 4283-7980</t>
  </si>
  <si>
    <t>6074.2026/0000523-1</t>
  </si>
  <si>
    <t>653.2/22</t>
  </si>
  <si>
    <t>RESIDENCIAL PARA IDOSO ARCO-ÍRIS (FILIAL)</t>
  </si>
  <si>
    <t>21.802.557/0002-05</t>
  </si>
  <si>
    <t>Avenida Cândido Portinari, 750</t>
  </si>
  <si>
    <t>05114-001</t>
  </si>
  <si>
    <t>6074.2022/0007434-1</t>
  </si>
  <si>
    <t>05004-000</t>
  </si>
  <si>
    <t>(11) 3862-4605</t>
  </si>
  <si>
    <t>Rua Coremu, nº175</t>
  </si>
  <si>
    <t>CAEI CORREIA CRDC</t>
  </si>
  <si>
    <t>(11) 2359-7638</t>
  </si>
  <si>
    <t>6074.2021/0000399-0</t>
  </si>
  <si>
    <t>1089/26</t>
  </si>
  <si>
    <t xml:space="preserve">SOCIEDADE DE CONCERTOS DE SÃO PAULO (INSTITUTO BACARELLI) </t>
  </si>
  <si>
    <t>55.446.132/0001-33</t>
  </si>
  <si>
    <t>Estrada das Lágrimas, 2317</t>
  </si>
  <si>
    <t>04232-000</t>
  </si>
  <si>
    <t>São João Clímaco</t>
  </si>
  <si>
    <t>(11) 99918-1774</t>
  </si>
  <si>
    <t>ceo@baccarelli.org.br</t>
  </si>
  <si>
    <t>https://baccarelli.org.br/</t>
  </si>
  <si>
    <t>6074.2026/0000638-6</t>
  </si>
  <si>
    <t>364.2/20</t>
  </si>
  <si>
    <t>24.701.624/0003-66</t>
  </si>
  <si>
    <t>Rua Almeida Mercês, 154</t>
  </si>
  <si>
    <t>02372-010</t>
  </si>
  <si>
    <t>(11) 97106-0189</t>
  </si>
  <si>
    <t>www.amoradadospassaros.com</t>
  </si>
  <si>
    <t>MORADA DOS PÁSSAROS (FILIAL)</t>
  </si>
  <si>
    <t>1090/26</t>
  </si>
  <si>
    <t>RESIDENCIAL GARDENS FLORIDA LTDA</t>
  </si>
  <si>
    <t>57.491.385/0001-54</t>
  </si>
  <si>
    <t>Rua Ouvidor Portugal, 131</t>
  </si>
  <si>
    <t>01551-000</t>
  </si>
  <si>
    <t>(11) 2068-2855</t>
  </si>
  <si>
    <t>residencialharmony@outlook.com</t>
  </si>
  <si>
    <t>6074.2026/0000639-4</t>
  </si>
  <si>
    <t>GARDENS FLORIDA</t>
  </si>
  <si>
    <t>CCINTER - GUARANI</t>
  </si>
  <si>
    <t>02.620.604/0004-09</t>
  </si>
  <si>
    <t>(11)  3984-5572</t>
  </si>
  <si>
    <t>ascom.prestacao@gmail.com</t>
  </si>
  <si>
    <t>INCLUSÃO NA MELHOR IDADE</t>
  </si>
  <si>
    <t xml:space="preserve">ANGELS4U SERVIÇOS DE APOIO E ASSISTÊNCIA DOMICILIAR LTDA </t>
  </si>
  <si>
    <t>ANGELS4U CUIDANDO DE QUEM VOCÊ AMA</t>
  </si>
  <si>
    <t>04132-000</t>
  </si>
  <si>
    <t xml:space="preserve">RESIDENCIAL RECANTO DAS FLORES CENTRO DE CONVIVÊNCIA DA TERCEIRA IDADE LTDA </t>
  </si>
  <si>
    <t>05516-070</t>
  </si>
  <si>
    <t>(11) 3722-0632</t>
  </si>
  <si>
    <t>recanto.adm.sp@gmail.com</t>
  </si>
  <si>
    <t xml:space="preserve">CASA DE REPOUSO PÔR DO SOL </t>
  </si>
  <si>
    <t>05446-010</t>
  </si>
  <si>
    <t>contato@casaderepousopordosol.com.br</t>
  </si>
  <si>
    <t>CENTRO DIA PARA IDOSOS ARICANDUVA/FORMOSA/CARRÃO - AMAP</t>
  </si>
  <si>
    <t>04.658.344/0003-05</t>
  </si>
  <si>
    <t>(11) 2676-4080</t>
  </si>
  <si>
    <t>presidente@amapsocial.org.br</t>
  </si>
  <si>
    <t>QUALITY QUALIDADE DE VIVER CASA DE REPOUSO LTDA</t>
  </si>
  <si>
    <t>RESIDENCIAL SÊNIOR QUALIDADE DE VIVER</t>
  </si>
  <si>
    <t>03359-110</t>
  </si>
  <si>
    <t>(11) 2738-0631</t>
  </si>
  <si>
    <t>TERÇA DA SERRA PINHEIROS</t>
  </si>
  <si>
    <t>05469-050</t>
  </si>
  <si>
    <t>(11) 97370-7923</t>
  </si>
  <si>
    <t>pinheiros@tercadaserra.com.br</t>
  </si>
  <si>
    <t>MORADA DOS PÁSSAROS (MATRIZ)</t>
  </si>
  <si>
    <t>02342-080</t>
  </si>
  <si>
    <t>(11) 2952-4401</t>
  </si>
  <si>
    <t>364.1/20</t>
  </si>
  <si>
    <t xml:space="preserve">LAREIRA LAR IDEAL PARA SENHORAS PENSIONATO LTDA </t>
  </si>
  <si>
    <t>05444-000</t>
  </si>
  <si>
    <t>www.lareirapensionato.com.br</t>
  </si>
  <si>
    <t>1091/26</t>
  </si>
  <si>
    <t>INSTITUTO CLUBE DE MÃES MÃO AMIGA</t>
  </si>
  <si>
    <t>73.002.313/0001-52</t>
  </si>
  <si>
    <t>Rua Ylidio Figueiredo, 157</t>
  </si>
  <si>
    <t>05204-020</t>
  </si>
  <si>
    <t>(11) 3854-8568</t>
  </si>
  <si>
    <t>iyaogunte10@yahoo.com</t>
  </si>
  <si>
    <t>6074.2026/0001125-8</t>
  </si>
  <si>
    <t>VIVER BEM NA TERCEIRA IDADE</t>
  </si>
  <si>
    <t>1092/26</t>
  </si>
  <si>
    <t>R&amp;F RESIDENCIAL SÊNIOR LTDA</t>
  </si>
  <si>
    <t>3I BEM ESTAR</t>
  </si>
  <si>
    <t>54.467.520/0001-38</t>
  </si>
  <si>
    <t>Av. Giovanni Gronchi, 2099</t>
  </si>
  <si>
    <t>05651-002</t>
  </si>
  <si>
    <t xml:space="preserve">Morumbi </t>
  </si>
  <si>
    <t>(11) 9185-4595</t>
  </si>
  <si>
    <t>6074.2026/0001163-0</t>
  </si>
  <si>
    <t>1093/26</t>
  </si>
  <si>
    <t>FUNDAÇÃO COMUNIDADE DA GRAÇA</t>
  </si>
  <si>
    <t>REDE COMUNITÁRIA VIDA ATIVA 60+</t>
  </si>
  <si>
    <t>01.501.866/0001-49</t>
  </si>
  <si>
    <t>Rua Salvador do Vale, 09</t>
  </si>
  <si>
    <t>03362-015</t>
  </si>
  <si>
    <t>(11) 2941-6759</t>
  </si>
  <si>
    <t>contato@redecomunita.org.br</t>
  </si>
  <si>
    <t>redecomunita.org.br</t>
  </si>
  <si>
    <t>6074.2026/0001178-9</t>
  </si>
  <si>
    <t>CENTRO GERIÁTRICO PAULISTA</t>
  </si>
  <si>
    <t>02201-000</t>
  </si>
  <si>
    <t>RESIDENCIAL DE IDOSOS CAMPO BELO LTDA</t>
  </si>
  <si>
    <t>RESIDENCIAL DE IDOSOS CAMPO BELO</t>
  </si>
  <si>
    <t>Rua Barão de Aguiar, 123</t>
  </si>
  <si>
    <t>04611-040</t>
  </si>
  <si>
    <t>(11) 96735-4151</t>
  </si>
  <si>
    <t>residencialdeidosos@outlook.com</t>
  </si>
  <si>
    <t>POUSADA FLOR DE LÓTUS LTDA</t>
  </si>
  <si>
    <t>(11) 2239-1909</t>
  </si>
  <si>
    <t>1094/26</t>
  </si>
  <si>
    <t>RESIDENCIAL CORAÇÃO DE JESUS LTDA</t>
  </si>
  <si>
    <t>62.721.994/0001-92</t>
  </si>
  <si>
    <t>Rua Dr. José Elias, 83</t>
  </si>
  <si>
    <t>(11) 98170-7972</t>
  </si>
  <si>
    <t>6074.2026/0001282-3</t>
  </si>
  <si>
    <t xml:space="preserve">CVN - SERVIÇOS E HOSPEDAGEM PARA IDOSOS LTDA </t>
  </si>
  <si>
    <t>RESIDENCIAL SÃO BENTO</t>
  </si>
  <si>
    <t>03131-050</t>
  </si>
  <si>
    <t>713.6/23</t>
  </si>
  <si>
    <t>NCI SAGRADA FAMÍLIA</t>
  </si>
  <si>
    <t>Rua Miguel Dionísio Valle, s/nº</t>
  </si>
  <si>
    <t>04942-040</t>
  </si>
  <si>
    <t>Jardim Nakamura</t>
  </si>
  <si>
    <t>(11) 5831-9455</t>
  </si>
  <si>
    <t>SAMARIAS RESIDENCIAL PARA IDOSOS</t>
  </si>
  <si>
    <t>04757-005</t>
  </si>
  <si>
    <t>(11) 9788-6069</t>
  </si>
  <si>
    <t>llvresidencialparaidosos@gmail.com</t>
  </si>
  <si>
    <t>6074.2026/0001372-2</t>
  </si>
  <si>
    <t>11.515.207/0001-15</t>
  </si>
  <si>
    <t>(11) 99654-7229</t>
  </si>
  <si>
    <t xml:space="preserve">LAR E VIDA BUENO  </t>
  </si>
  <si>
    <t>02042-020</t>
  </si>
  <si>
    <t>MOVIMENTO ZUMBA</t>
  </si>
  <si>
    <t xml:space="preserve">R. Santa Rosa de Lima, 822 </t>
  </si>
  <si>
    <t>contato@icansp.com.br</t>
  </si>
  <si>
    <t>INSTITUTO CULTURAL ATITUDE NOBRE</t>
  </si>
  <si>
    <t>1095/26</t>
  </si>
  <si>
    <t>INSTITUTO D.I.P.I.</t>
  </si>
  <si>
    <t>VIVER EM MOVIMENTO</t>
  </si>
  <si>
    <t>27.532.496/0001-09</t>
  </si>
  <si>
    <t>Rua Silveirânia, 283</t>
  </si>
  <si>
    <t>05211-060</t>
  </si>
  <si>
    <t>Jardim Russo</t>
  </si>
  <si>
    <t>(11) 99782-1384</t>
  </si>
  <si>
    <t>institutodipi@gmail.com</t>
  </si>
  <si>
    <t>www.institutodipi.com</t>
  </si>
  <si>
    <t>6074.2026/0001449-4</t>
  </si>
  <si>
    <t>NCI - REGINA COSTA</t>
  </si>
  <si>
    <t>Largo Leon Tolstoi, 42</t>
  </si>
  <si>
    <t>04241-010</t>
  </si>
  <si>
    <t>452.1/21</t>
  </si>
  <si>
    <t xml:space="preserve">Jd. São João Clímaco </t>
  </si>
  <si>
    <t>(11) 2642-0072</t>
  </si>
  <si>
    <t>EC DO CARMO FERNANDES CASA DE REPOUSO</t>
  </si>
  <si>
    <t>CASA DE REPOUSO JARDIM FRANÇA</t>
  </si>
  <si>
    <t>25.061.750/0001-02</t>
  </si>
  <si>
    <t>Av. Francisco Machado da Silva, 1415</t>
  </si>
  <si>
    <t>02678-000</t>
  </si>
  <si>
    <t>admccnsa@yahoo.com.br</t>
  </si>
  <si>
    <t>ccnsaparecida.com</t>
  </si>
  <si>
    <t>VISA RESIDENCIAL PARA IDOSOS</t>
  </si>
  <si>
    <t>04741-001</t>
  </si>
  <si>
    <t>NCI - EDITH DE AZEVEDO MARQUES</t>
  </si>
  <si>
    <t>60.980.364/0001-07</t>
  </si>
  <si>
    <t>camila@csleao13.org.br</t>
  </si>
  <si>
    <t>6074.2026/0001739-6</t>
  </si>
  <si>
    <t>1096/26</t>
  </si>
  <si>
    <t>RESIDENCIAL PARA IDOSOS AMOR EM FAMÍLIA LTDA</t>
  </si>
  <si>
    <t>RESIDENCIAL PARA IDOSOS AMOR EM FAMÍLIA</t>
  </si>
  <si>
    <t>48.476.728/0001-10</t>
  </si>
  <si>
    <t>Rua São Benedito, 518</t>
  </si>
  <si>
    <t>04735-000</t>
  </si>
  <si>
    <t>(11) 5524-7777</t>
  </si>
  <si>
    <t>residencialamoremfamilia.com.br</t>
  </si>
  <si>
    <t>residamoremfamilia@gmail.com</t>
  </si>
  <si>
    <t>6074.2026/0001798-1</t>
  </si>
  <si>
    <t>1097/26</t>
  </si>
  <si>
    <t>DIVINA PROVIDÊNCIA SÊNIOR RESIDENCE LTDA</t>
  </si>
  <si>
    <t>50.601.884/0001-08</t>
  </si>
  <si>
    <t>02556-180</t>
  </si>
  <si>
    <t>Vila Barbosa</t>
  </si>
  <si>
    <t>(11) 97288-4468</t>
  </si>
  <si>
    <t>6074.2026/0001814-7</t>
  </si>
  <si>
    <t>NASCIMENTO &amp; PRADO RESIDENCE</t>
  </si>
  <si>
    <t>Rua Prof.º João Leocádio, 85</t>
  </si>
  <si>
    <t>063.2/15</t>
  </si>
  <si>
    <t>CASA DE REPOUSO NEW LIFE LTDA</t>
  </si>
  <si>
    <t>NEW LIFE RESIDENCIAL SÊNIOR</t>
  </si>
  <si>
    <t>08.106.869/0002-08</t>
  </si>
  <si>
    <t>Rua Marquês de Valença, 442/444</t>
  </si>
  <si>
    <t>03182-040</t>
  </si>
  <si>
    <t>(11) 2605-2562</t>
  </si>
  <si>
    <t>PALMEIRA AZUL RESIDENCIAL PARA MELHOR IDADE</t>
  </si>
  <si>
    <t>03568-030</t>
  </si>
  <si>
    <t>(11) 2894-1207</t>
  </si>
  <si>
    <t>franciescaoliver2@gmail.com</t>
  </si>
  <si>
    <t>LUMINE VITA SÊNIOR LTDA</t>
  </si>
  <si>
    <t>CASA DE REPOUSO RECANTO DOS GIRASSÓIS</t>
  </si>
  <si>
    <t>02418-030</t>
  </si>
  <si>
    <t>(11) 2267-5125</t>
  </si>
  <si>
    <t>02340-050</t>
  </si>
  <si>
    <t>Rua Coronel Agostinho da Fonseca, 209/211</t>
  </si>
  <si>
    <t>CASA DE REPOUSO LONGEVIDADE LTDA</t>
  </si>
  <si>
    <t>CASA DE REPOUSO LONGEVIDADE</t>
  </si>
  <si>
    <t>(11) 2659-1711</t>
  </si>
  <si>
    <t>1098/26</t>
  </si>
  <si>
    <t>CASA DE REPOUSO OKINAWA 4 LTDA</t>
  </si>
  <si>
    <t>54.545.349/0001-38</t>
  </si>
  <si>
    <t>Rua Bacairis, 51</t>
  </si>
  <si>
    <t>03357-050</t>
  </si>
  <si>
    <t>casaokinawauni4@gmail.com</t>
  </si>
  <si>
    <t>6074.2026/0001914-3</t>
  </si>
  <si>
    <t>luzaoscegos.com.br</t>
  </si>
  <si>
    <t>725.2/23</t>
  </si>
  <si>
    <t>ACESSIBILIDADE ANDROID - SMARTPHONE ACESSÍVEL</t>
  </si>
  <si>
    <t>725.3/23</t>
  </si>
  <si>
    <t>ORIENTAÇÃO E MOBILIDADE</t>
  </si>
  <si>
    <t>725.4/23</t>
  </si>
  <si>
    <t>CULTURA CORPORAL ÀS CEGAS - O CORPO E A EXPRESSÃO CORPORAL COMO FERRAMENTAS PARA AUTONOMIA DA PESSOA COM DEFICÊNCIA VISUAL</t>
  </si>
  <si>
    <t>ALFABETIZAÇÃO EM BRAILLE</t>
  </si>
  <si>
    <t>CASA DE REPOUSO FAROL</t>
  </si>
  <si>
    <t>03685-030</t>
  </si>
  <si>
    <t>451.7/21</t>
  </si>
  <si>
    <t>CUIDADOR DE PESSOAS IDOSAS: AÇÃO, DESAFIO E TRANSFORMAÇÃO</t>
  </si>
  <si>
    <t>R. São Joaquim, n° 381</t>
  </si>
  <si>
    <t>Av. Nova Cantareira, 5476</t>
  </si>
  <si>
    <t>serenityresidencial@gmail.com</t>
  </si>
  <si>
    <t>RESIDÊNCIA MELHOR IDADE</t>
  </si>
  <si>
    <t>05594-020</t>
  </si>
  <si>
    <t>(11) 97830-0409</t>
  </si>
  <si>
    <t>jessica.residencialsenior@gmail.com</t>
  </si>
  <si>
    <t>1099/26</t>
  </si>
  <si>
    <t>INSTITUTO DE DESENVOLVIMENTO HUMANO RUAS</t>
  </si>
  <si>
    <t>CURSO DE CUIDADOR DE IDOSOS</t>
  </si>
  <si>
    <t>11.845.469/0001-48</t>
  </si>
  <si>
    <t>Rua Irmã Carolina, 399</t>
  </si>
  <si>
    <t>03058-040</t>
  </si>
  <si>
    <t>(11) 2605-1299</t>
  </si>
  <si>
    <t>diretoria@institutoruas.org</t>
  </si>
  <si>
    <t>6074.2026/0002090-7</t>
  </si>
  <si>
    <t>1100/26</t>
  </si>
  <si>
    <t>LAR PARA IDOSOS LUZ DO CAMPO LTDA</t>
  </si>
  <si>
    <t>LUZ DO CAMPO</t>
  </si>
  <si>
    <t>43.771.676/0001-91</t>
  </si>
  <si>
    <t>Estrada Ponte Seca, 25</t>
  </si>
  <si>
    <t>04891-360</t>
  </si>
  <si>
    <t>Engenheiro Marsilac</t>
  </si>
  <si>
    <t>(11) 97388-7904</t>
  </si>
  <si>
    <t>6074.2026/0002091-5</t>
  </si>
  <si>
    <t>luzdocampoadm@gmail.com</t>
  </si>
  <si>
    <t>RESIDENCIAL PARA IDOSOS CASA DE PAZ</t>
  </si>
  <si>
    <t>Rua Logina, 187</t>
  </si>
  <si>
    <t>08240-080</t>
  </si>
  <si>
    <t>(11) 98130-9141</t>
  </si>
  <si>
    <t>PROGRAMA BÁSICO DE ORIENTAÇÃO DE CUIDADORES DE PESSOA IDOSA</t>
  </si>
  <si>
    <t>6074.2023/0003440-6</t>
  </si>
  <si>
    <t>CUIDANDO DO CUIDADOR DE IDOSOS - GRUPO DE APOIO</t>
  </si>
  <si>
    <t>CASA DE REPOUSO MOOCA SANTA MADALENA LTDA (MATRIZ)</t>
  </si>
  <si>
    <t xml:space="preserve">CASA SANTA MADALENA </t>
  </si>
  <si>
    <t>(11) 3624-1137</t>
  </si>
  <si>
    <t>6074.2026/0002357-4</t>
  </si>
  <si>
    <t>CASA DE REPOUSO MOOCA SANTA MADALENA LTDA (FILIAL)</t>
  </si>
  <si>
    <t>CASA SANTA MADALENA UNIDADE II</t>
  </si>
  <si>
    <t>(11) 4323-7426</t>
  </si>
  <si>
    <t>1101/26</t>
  </si>
  <si>
    <t>CENTRO DE DIREITOS HUMANOS E EDUCAÇÃO POPULAR DE CAMPO LIMPO</t>
  </si>
  <si>
    <t>61.580.080/0001-96</t>
  </si>
  <si>
    <t>Rua Dr. Luís da Fonseca Galvão, 180</t>
  </si>
  <si>
    <t>05855-300</t>
  </si>
  <si>
    <t xml:space="preserve">Parque Maria Helena </t>
  </si>
  <si>
    <t>(11) 98147-2058</t>
  </si>
  <si>
    <t>adm.cdhep@cdhep.org.br</t>
  </si>
  <si>
    <t>www.cdhep.org.br</t>
  </si>
  <si>
    <t>6074.2026/0002371-0</t>
  </si>
  <si>
    <t>PROMOVENDO OS DIREITOS DA PESSOA IDOSA MORADORA DA PERIFERIA SUL DA CIDADE DE SÃO PAULO</t>
  </si>
  <si>
    <t>RESIDENCIAL DOCE LAR LTDA</t>
  </si>
  <si>
    <t>04652-228</t>
  </si>
  <si>
    <t>RESIDENCIAL AURORA</t>
  </si>
  <si>
    <t>04212-020</t>
  </si>
  <si>
    <t>1102/26</t>
  </si>
  <si>
    <t>INSTITUTO CUIDAR E ACOLHER</t>
  </si>
  <si>
    <t>ACOLHENDO EXPERIÊNCIAS - SAÚDE MENTAL, TRABALHO E ENVELHECIMENTO DIGNO</t>
  </si>
  <si>
    <t>62.558.423/0001-89</t>
  </si>
  <si>
    <t>Rua Cesar Vallejo, 239</t>
  </si>
  <si>
    <t>05685-000</t>
  </si>
  <si>
    <t>Real Parque</t>
  </si>
  <si>
    <t>contato@cuidareacolher.com.br</t>
  </si>
  <si>
    <t>6074.2026/0002519-4</t>
  </si>
  <si>
    <t>RESIDENCIAL VITALITA - CASA DE REPOUSO</t>
  </si>
  <si>
    <t>CASA DE REPOUSO PÔR DO SOL</t>
  </si>
  <si>
    <t>TEMPO DE AMAR NA MELHOR IDADE</t>
  </si>
  <si>
    <t>(11) 4663-3116</t>
  </si>
  <si>
    <t>i.canticodevitoria@gmail.com.br</t>
  </si>
  <si>
    <t>INSTITUTO CÂNTIO DE VITÓRIA</t>
  </si>
  <si>
    <t>Colônia</t>
  </si>
  <si>
    <t>163.7/17</t>
  </si>
  <si>
    <t>Rua Timoteo Correia Goés, 100</t>
  </si>
  <si>
    <t>08122-490</t>
  </si>
  <si>
    <t>Parque Santa Amélia</t>
  </si>
  <si>
    <t>RESIDENCIAL VIDA NOVA</t>
  </si>
  <si>
    <t>04610-004</t>
  </si>
  <si>
    <t>OBRAS SÃO FRANCISCO</t>
  </si>
  <si>
    <t>LAR DO IDOSO RECANTO SÃO FRANCISCO</t>
  </si>
  <si>
    <t>Jardim Sabiá</t>
  </si>
  <si>
    <t>ilpi.franciscanos@gmail.com</t>
  </si>
  <si>
    <t>1103/26</t>
  </si>
  <si>
    <t>RESIDENCIAL CASA SÊNIOR PACAEMBU LTDA</t>
  </si>
  <si>
    <t>RESIDENCIAL CASA SÊNIOR PACAEMBU</t>
  </si>
  <si>
    <t>55.172.378/0001-64</t>
  </si>
  <si>
    <t>Rua Atibaia, 386</t>
  </si>
  <si>
    <t>01235-010</t>
  </si>
  <si>
    <t>(11) 3672-4701</t>
  </si>
  <si>
    <t>r.casasenior.pacaembu@gmail.com</t>
  </si>
  <si>
    <t>6074.2026/0002780-4</t>
  </si>
  <si>
    <t>1104/26</t>
  </si>
  <si>
    <t>ASSOCIAÇÃO DESENVOLVE NO ESPECTRO</t>
  </si>
  <si>
    <t>DESENVOLVE MAIS.INC</t>
  </si>
  <si>
    <t>50.812.930/0001-18</t>
  </si>
  <si>
    <t>Rua Santo Antônio, 800</t>
  </si>
  <si>
    <t>01314-000</t>
  </si>
  <si>
    <t>(11) 98781-8196</t>
  </si>
  <si>
    <t>desenvolvenoespectro@gmail.com</t>
  </si>
  <si>
    <t>desenvolvenoespectro.com.br</t>
  </si>
  <si>
    <t>6074.2026/0002782-0</t>
  </si>
  <si>
    <t>CASA DE REPOUSO RESIDENCIAL VOVÓ MARGARIDA LTDA</t>
  </si>
  <si>
    <t>NCI LAGO AZUL</t>
  </si>
  <si>
    <t>04813-106</t>
  </si>
  <si>
    <t>(11) 5662-4697</t>
  </si>
  <si>
    <t>1105/26</t>
  </si>
  <si>
    <t>CASA DE REPOUSO PARA IDOSOS RESIDENCIAL MANANCIAL LTDA</t>
  </si>
  <si>
    <t>CASA DE REPOUSO PARA IDOSOS RESIDENCIAL MANANCIAL</t>
  </si>
  <si>
    <t>53.734.474/0001-23</t>
  </si>
  <si>
    <t>Rua Dr. Nelson da Veiga, 78</t>
  </si>
  <si>
    <t>02312-100</t>
  </si>
  <si>
    <t>Vila Nova Mazzei</t>
  </si>
  <si>
    <t>(11) 96326-4677</t>
  </si>
  <si>
    <t>muriloeacintia@gmail.com</t>
  </si>
  <si>
    <t>6074.2026/0002808-8</t>
  </si>
  <si>
    <t>RESIDENCIAL SALUTE</t>
  </si>
  <si>
    <t>160.2/17</t>
  </si>
  <si>
    <t xml:space="preserve">CASA DE REPOUSO NOSSA SENHORA DE FÁTIMA LTDA </t>
  </si>
  <si>
    <t>Rua Acuruí, 178</t>
  </si>
  <si>
    <t>(11) 2385-4608</t>
  </si>
  <si>
    <t>carlosmendes1404@hotmail.com</t>
  </si>
  <si>
    <t>6074.2026/0002845-2</t>
  </si>
  <si>
    <t>1106/26</t>
  </si>
  <si>
    <t>CASA DE REPOUSO CHEN DE CHRISTO LTDA</t>
  </si>
  <si>
    <t xml:space="preserve">CASA DE REPOUSO CHEN DE CHRISTO </t>
  </si>
  <si>
    <t>61.197.385/0001-13</t>
  </si>
  <si>
    <t>6074.2026/0002882-7</t>
  </si>
  <si>
    <t>ILPI CASA SANTA LUIZA</t>
  </si>
  <si>
    <t>04120-060</t>
  </si>
  <si>
    <t>1107/26</t>
  </si>
  <si>
    <t>L&amp;M ROSA DE SAROM</t>
  </si>
  <si>
    <t>L&amp;A CASA DE REPOUSO ROSA DE SAORON</t>
  </si>
  <si>
    <t>17.949.438/0001-13</t>
  </si>
  <si>
    <t>Av. Dona Belmira Marin, 4300 (travessa particular, 603)</t>
  </si>
  <si>
    <t>04846-000</t>
  </si>
  <si>
    <t>Grajáu</t>
  </si>
  <si>
    <t>(11) 95758-1836</t>
  </si>
  <si>
    <t>lucianadarning72@gmail.com</t>
  </si>
  <si>
    <t>6074.2026/0002891-6</t>
  </si>
  <si>
    <t>1108/26</t>
  </si>
  <si>
    <t>ROVIGO II RESIDENCIAL SÊNIOR LTDA</t>
  </si>
  <si>
    <t>CASA ROVIGO RESIDENCIAL SÊNIOR UNIDADE II</t>
  </si>
  <si>
    <t>46.281.138/0001-07</t>
  </si>
  <si>
    <t>Av. Mercedes, 388</t>
  </si>
  <si>
    <t>(11) 2364-2216</t>
  </si>
  <si>
    <t>6074.2026/0002926-2</t>
  </si>
  <si>
    <t>1109/26</t>
  </si>
  <si>
    <t>RESIDENCIAL MORADA DA PAZ LTDA</t>
  </si>
  <si>
    <t>RESIDENCIAL MORADA DA PAZ</t>
  </si>
  <si>
    <t>59.967.344/0001-17</t>
  </si>
  <si>
    <t>Rua Marciano, 58</t>
  </si>
  <si>
    <t>02355-160</t>
  </si>
  <si>
    <t>Jardim Virgínia Bianca</t>
  </si>
  <si>
    <t>(11) 94769-1658</t>
  </si>
  <si>
    <t>ilpi.rmp2025@gmail.com</t>
  </si>
  <si>
    <t>6074.2026/0003051-1</t>
  </si>
  <si>
    <t>www.ijc.org.br</t>
  </si>
  <si>
    <t>(11) 3275-0644</t>
  </si>
  <si>
    <t>servicosocial3coracoes@gmail.com</t>
  </si>
  <si>
    <t>www.exercitodesalvacao.org.br</t>
  </si>
  <si>
    <t>895.2/24</t>
  </si>
  <si>
    <t>Rua Norberto Martins Ribeiro, 152</t>
  </si>
  <si>
    <t>Vila do Castelo</t>
  </si>
  <si>
    <t>ASSOCIAÇÃO SANTO AGOSTINHO - ASA</t>
  </si>
  <si>
    <t>ASSOCIAÇÃO DOS FAMILIARES E AMIGOS DOS IDOSOS - AFAI</t>
  </si>
  <si>
    <t>ASSOCIAÇÃO FRANCISCANA DE SOLIDARIEDADE - SEFRAS</t>
  </si>
  <si>
    <t>INSTITUTO SOCIAL, EDUCATIVO E BENEFICENTE NOVO SIGNO</t>
  </si>
  <si>
    <t>SINDICATO NACIONAL DOS APOSENTADOS, PENSIONISTAS E IDOSOS DA FORÇA SINDICAL</t>
  </si>
  <si>
    <t xml:space="preserve">CASA DE REPOUSO PARA IDOSOS RESIDENCIAL HARMONIA LTDA. </t>
  </si>
  <si>
    <t>CASA DE REPOUSO PARA IDOSOS RESIDENCIAL HARMONIA LTDA. UNIDADE II (FILIAL)</t>
  </si>
  <si>
    <t>SOLAR PRIMAVERA S/S LTDA - ME</t>
  </si>
  <si>
    <t xml:space="preserve">MARLENE DE FÁTIMA MENDES - EPP </t>
  </si>
  <si>
    <t>RESIDENCIAL ALTO DA BOA VISTA PARA IDOSOS LTDA - ME</t>
  </si>
  <si>
    <t>UNIDADE GERONTOLÓGICA FERREIRA LTDA - ME - UNIDADE I</t>
  </si>
  <si>
    <t>UNIDADE GERONTOLÓGICA FERREIRA LTDA - ME - UNIDADE II (FILIAL)</t>
  </si>
  <si>
    <t>CROPH - COORDENAÇÃO REGIONAL DE OBRAS DE PROMOÇÃO HUMANA</t>
  </si>
  <si>
    <t>RELUZ HOSPEDAGEM PARA IDOSOS LTDA_x000D_
ANTIGO: RENATA LUCAS GIOSA HOSPEDAGEM PARA IDOSOS - ME</t>
  </si>
  <si>
    <t>ASSOCIAÇÃO BENEFICENTE MERCEDÁRIA SANTO ANTÔNIO</t>
  </si>
  <si>
    <t>BEM VIVER INSTITUIÇÃO DE LONGA PERMANÊNCIA PARA IDOSOS LTDA-EPP</t>
  </si>
  <si>
    <t>CASA DE REPOUSO VILA LOBOS LTDA-ME</t>
  </si>
  <si>
    <t>RESIDÊNCIA DE REPOUSO SAYED LTDA ME ANTIGA:CASA DE REPOUSO SAYED LTDA–ME</t>
  </si>
  <si>
    <t>LAR SANTA ISABEL DA HUNGRIA LTDA_x000D_
ANTIGO: ASSOCIAÇÃO BENEFICENTE 30 DE SETEMBRO</t>
  </si>
  <si>
    <t>VIDAMUT DESENVOLVIMENTO SOCIAL LTDA (ANTIGO: VANESSA IDARGO MUTCHNIK - ME)</t>
  </si>
  <si>
    <t>VALDECI DA SILVA CABRAL CASA DE REPOUSO LTDA</t>
  </si>
  <si>
    <t>MORADA DOS AVÓS CASA DE REPOUSO LTDA (ANTIGO WV CASA DE REPOUSO EIRELI)</t>
  </si>
  <si>
    <t>PATRICIA VITÓRIA VIEIRA DOS SANTOS (ANTIGO SIDNEY VIEIRA DOS SANTOS)</t>
  </si>
  <si>
    <t>DE NARDI &amp; PASSOS RESIDENCIAL E ESPAÇO DE CONVIVÊNCIA PARA IDOSOS _x000D_
LTDA</t>
  </si>
  <si>
    <t>FEITOSA &amp; DE NARDI - RESIDENCIAL E ESPAÇO DE CONVIVÊNCIA PARA _x000D_
IDOSOS LTDA</t>
  </si>
  <si>
    <t>R. E CASA DE REPOUSO LTDA (ANTIGO JENNIFER PAOLA DE LIMA BATISTA)</t>
  </si>
  <si>
    <t>CENTRO CULTURAL SÃO JOAQUIM  (CCSJ) (ANTIGO MOVIMENTO COMUNITÁRIO DO JARDIM SÃO JOAQUIM)</t>
  </si>
  <si>
    <t>LAR BELA VIDA ANTIGO RTI RESIDENCIAIS TERCEIRA IDADE</t>
  </si>
  <si>
    <t>CASA DE REPOUSO ESPAÇO VITALIS LTDA ANTIGA LAR PARA IDOSOS DOUTOR ALVES DE MORAIS LTDA</t>
  </si>
  <si>
    <t>ASSOCIAÇÃO BENEFICENTE OR AVROHOM - ORAM (ANTIGO ASSOCIAÇÃO DE INTERESSE PÚBLICO E ASSISTENCIA À SAÚDE ORAVROHOM)</t>
  </si>
  <si>
    <t>VEM SER - ASSOCIAÇÃO DE APOIO À INCLUSÃO SOCIAL E ASSISTÊNCIA AO INDIVÍDUO COM NECESSIDADES ESPECIAIS_x000D_
VEM SER - ASSOCIAÇÃO DE APOIO À INCLUSÃO SOCIAL E ASSISTÊNCIA AO INDIVÍDUO COM NECESSIDADES ESPECIAIS</t>
  </si>
  <si>
    <t>ASSOCIAÇÃO PRO FALCÊMICOS - APROFE</t>
  </si>
  <si>
    <t>CASA DE REPOUSO NEW HEAVEN</t>
  </si>
  <si>
    <t>RESIDENCIAL HARMONIA</t>
  </si>
  <si>
    <t>ILPI CANINDÉ</t>
  </si>
  <si>
    <t>ILPI SANTANA</t>
  </si>
  <si>
    <t>SÍTIO DAS ALAMEDAS</t>
  </si>
  <si>
    <t xml:space="preserve"> LAR RESIDENCIAL RELUZ</t>
  </si>
  <si>
    <t xml:space="preserve"> LAR NOSSA SENHORA DAS MERCÊS</t>
  </si>
  <si>
    <t>ILPI - A MÃO BRANCA</t>
  </si>
  <si>
    <t>NCI - BRÁS</t>
  </si>
  <si>
    <t>NCI - A MÃO BRANCA M' BOI MIRIM</t>
  </si>
  <si>
    <t>NCI - A MÃO BRANCA CAMPO LIMPO</t>
  </si>
  <si>
    <t>NCI - A MÃO BRANCA JARDIM ÂNGELA</t>
  </si>
  <si>
    <t>CASA DE REPOUSO ANJO GABRIEL</t>
  </si>
  <si>
    <t>CASA DO IDOSO FELIZ IDADE</t>
  </si>
  <si>
    <t>RESIDENCIAL VILA HARMONIA LTDA</t>
  </si>
  <si>
    <t>CENTRO DE CONVIVÊNCIA VIVAVIDA (UNIDADE VI)</t>
  </si>
  <si>
    <t>NOSSA CASA RESIDENCIAL PARA IDOSOS– _x000D_
UNIDADE II</t>
  </si>
  <si>
    <t>CASA GERIÁTRICA ROSA GOMES ZUAID</t>
  </si>
  <si>
    <t>CASA DE REPOUSO SÃO JOSÉ</t>
  </si>
  <si>
    <t>RESIDENCIAL ESPAÇO SAÚDE (MATRIZ)</t>
  </si>
  <si>
    <t>RESIDENCIAL ESPAÇO SAÚDE  (FILIAL 02)</t>
  </si>
  <si>
    <t>RESIDENCIAL ESPAÇO SAÚDE  (FILIAL 03)</t>
  </si>
  <si>
    <t xml:space="preserve">SEGUNDA FAMÍLIA </t>
  </si>
  <si>
    <t xml:space="preserve">CASA DE REPOUSO CONVIVÊNCIA </t>
  </si>
  <si>
    <t>CURSO: VIOLÊNCIA CONTRA O IDOSO: NECESSIDADES E POSSIBILIDADES</t>
  </si>
  <si>
    <t>PROJETO DE CONSULTORIA PARA ILPIS - OLHE</t>
  </si>
  <si>
    <t>PROJETO FORMALIZAÇÃO TÉCNICA DOS PROFISSIONAIS DO CENTRO DIA MÃE PEREGRINA</t>
  </si>
  <si>
    <t>PROJETO ENVELHECER: ATENÇÃO, CUIDADO E BEM ESTAR DA PESSOA IDOSA QUE VIVE SÓ</t>
  </si>
  <si>
    <t>RECANTO 3ª IDADE</t>
  </si>
  <si>
    <t>XODÓ DA VOVÓ</t>
  </si>
  <si>
    <t>RESIDENCIAL CANAÃ</t>
  </si>
  <si>
    <t>CENTRO DIA PASÁRGADA</t>
  </si>
  <si>
    <t>LAR IPIRANGA</t>
  </si>
  <si>
    <t>APLICAÇÃO E MULTIPLICAÇÃO DE METODOLOGIA PARA DIAGNÓSTICO E</t>
  </si>
  <si>
    <t>COGNITIVA EM PESSOAS IDOSAS INSTITUCIONALIZADAS</t>
  </si>
  <si>
    <t>PEDREIRA</t>
  </si>
  <si>
    <t xml:space="preserve">VILA PORTELA </t>
  </si>
  <si>
    <t>VILA IPÊ ESPAÇO DE VIVÊNCIA SENIOR</t>
  </si>
  <si>
    <t xml:space="preserve">CASA DE REPOUSO SANTA FÉ </t>
  </si>
  <si>
    <t>UNIDADE GERONTOLÓGICA VIDA</t>
  </si>
  <si>
    <t>VIVENDA SANTA FÉ</t>
  </si>
  <si>
    <t>CASA DE REPOUSO SOLAR</t>
  </si>
  <si>
    <t>CAEI IDOSOS SÉ</t>
  </si>
  <si>
    <t>CASA DE REPOUSO GIORNI FELICE</t>
  </si>
  <si>
    <t>CASA DE REPOUSO GUSMÃO &amp; CIA</t>
  </si>
  <si>
    <t>CASA DE REPOUSO BRILHO DE VIDA UNID 2</t>
  </si>
  <si>
    <t>CASA DE REPOUSO ESTRELA NASCENTE</t>
  </si>
  <si>
    <t>RESIDENCIAL ORQUÍDEA</t>
  </si>
  <si>
    <t>CASA DE REPOUSO ANJOS DE PLANTÃO</t>
  </si>
  <si>
    <t>EM FAMÍLIA VILLAGIO SENIOR</t>
  </si>
  <si>
    <t>NCI AKHANDA</t>
  </si>
  <si>
    <t>LAR SANT'ANA - PINHEIROS</t>
  </si>
  <si>
    <t>GEROS CENTER</t>
  </si>
  <si>
    <t>ELITE RESIDENCIAL K</t>
  </si>
  <si>
    <t>RESIDENCIAL PARQUE DAS FLORES</t>
  </si>
  <si>
    <t>CENTRO DIA VILA ANDRADE</t>
  </si>
  <si>
    <t>CASA DE REPOUSO VOVÓ ESPERANÇA</t>
  </si>
  <si>
    <t>SOLAR DA MOOCA</t>
  </si>
  <si>
    <t>CASA DE REPOUSO REISDENCIAL ÁGAPE</t>
  </si>
  <si>
    <t>PENSIONATO RESIDENCIAL DE PAULA II</t>
  </si>
  <si>
    <t>GOLDEN CARE</t>
  </si>
  <si>
    <t xml:space="preserve">RESIDENCIAL BEM CUIDAR </t>
  </si>
  <si>
    <t xml:space="preserve">CASA DE REPOUSO RECANTO VÓ ELPÍDIA </t>
  </si>
  <si>
    <t xml:space="preserve">INSTITUTO ROSALES </t>
  </si>
  <si>
    <t xml:space="preserve">RESIDECIAL M.S SÃO GABRIEL </t>
  </si>
  <si>
    <t xml:space="preserve">A VIDA É BELA RESIDENCIAL PREMIUM </t>
  </si>
  <si>
    <t>CASA DE REPOUSO LAR BENÇÃO</t>
  </si>
  <si>
    <t>CASA DE REPOUSO ELITE RESIDENCIAL</t>
  </si>
  <si>
    <t>ILPI UNIBES CASA DA VILA</t>
  </si>
  <si>
    <t>RECANTO VELHA GUARDA</t>
  </si>
  <si>
    <t>CASA DE REPOUSO SANT'ANNA</t>
  </si>
  <si>
    <t>CASA DE REPOUSO ANÁLIA FRANCO</t>
  </si>
  <si>
    <t>FILIAL 02</t>
  </si>
  <si>
    <t>NCI SEIVA DA VIDA</t>
  </si>
  <si>
    <t>RESIDENCIAL PARA IDOSOS VELEIROS</t>
  </si>
  <si>
    <t>ILPI MADRE TEREZA DE CALCUTÁ</t>
  </si>
  <si>
    <t>CASA DE REPOUSO D' VILLA MATHILDE</t>
  </si>
  <si>
    <t xml:space="preserve">CASA COMUNITÁRIA SÃO JOSÉ </t>
  </si>
  <si>
    <t xml:space="preserve">NCI - MARIA CÍCERA </t>
  </si>
  <si>
    <t xml:space="preserve">RESIDENCIAL VIDA PARA IDOSOS </t>
  </si>
  <si>
    <t xml:space="preserve">GRUPO VIVA VIDA DE VILA CURUÇÁ VELHA </t>
  </si>
  <si>
    <t xml:space="preserve">ILPI - DOCE LAR MARIANA </t>
  </si>
  <si>
    <t>CASA DE REPOUSO CRYSTAL</t>
  </si>
  <si>
    <t xml:space="preserve">RESIDENCIAL ESTRELA BRILHANTES </t>
  </si>
  <si>
    <t>CASA DE REPOUSO NOVO AMANHECER</t>
  </si>
  <si>
    <t xml:space="preserve">LAR BELLA BENTO </t>
  </si>
  <si>
    <t xml:space="preserve">REPOUSO HORTO FLORESTAL </t>
  </si>
  <si>
    <t>CLINICA GERIÁTRICA SAÚDE E BEM ESTAR</t>
  </si>
  <si>
    <t xml:space="preserve">PROGRAMA VIVER BEM </t>
  </si>
  <si>
    <t>RECANTO DA FELIZIDADE</t>
  </si>
  <si>
    <t>RESIDENCIAL PREMIUM SÊNIOR</t>
  </si>
  <si>
    <t>CASA DE REPOUSO DONA GRACINHA</t>
  </si>
  <si>
    <t>CASA DE REPOUSO PARAÍSO DOS PAIS - MATRIZ</t>
  </si>
  <si>
    <t>CASA DE REPOUSO PARAÍSO DOS PAIS - FILIAL</t>
  </si>
  <si>
    <t>PROJETO - A TERCEIRA IDADE FAZ, CONHECE, APRENDE E JOGA</t>
  </si>
  <si>
    <t xml:space="preserve">CENTRO DIA PARA IDOSOS SÃO FRANSCISCO DE ASSIS </t>
  </si>
  <si>
    <t>NCI SAMARITANO GUAIANASES</t>
  </si>
  <si>
    <t xml:space="preserve">RESIDENCIAL SÃO LUIS </t>
  </si>
  <si>
    <t xml:space="preserve">RESIDENCIAL VIVER BEM </t>
  </si>
  <si>
    <t xml:space="preserve">RESIDENCIAL VIVA BEM </t>
  </si>
  <si>
    <t xml:space="preserve">NEW CARE </t>
  </si>
  <si>
    <t xml:space="preserve">CASA DE REPOUSO RECANTO DA TERCEIRA IDADE </t>
  </si>
  <si>
    <t xml:space="preserve">PENSIONATO LAÇOS ETERNOS </t>
  </si>
  <si>
    <t>LAR MODERNO - VIVER A VIDA - UNIDADE 1</t>
  </si>
  <si>
    <t xml:space="preserve">RESIDENCIAL RAY OF LIGHT </t>
  </si>
  <si>
    <t>CASA DE REPOUSO FILÓ</t>
  </si>
  <si>
    <t xml:space="preserve">CASA DE REPOUSO MARANATA </t>
  </si>
  <si>
    <t xml:space="preserve">RECANTO DO ACONCHEGO </t>
  </si>
  <si>
    <t xml:space="preserve">RESIDENCIAL VILLA MANÁ </t>
  </si>
  <si>
    <t>TOP SENIOR</t>
  </si>
  <si>
    <t>LAR SÃO DOMINGOS</t>
  </si>
  <si>
    <t>OLHAR HOLÍSTICO</t>
  </si>
  <si>
    <t xml:space="preserve">CLÍNICA GERIÁTRICA SAÚDE E BEM ESTAR </t>
  </si>
  <si>
    <t>4EVER CASA DE REPOUSO</t>
  </si>
  <si>
    <t xml:space="preserve">CASA DE REPOUSO NOSSA SENHORA APARECIDA </t>
  </si>
  <si>
    <t>RECANTO DA VOVÓ</t>
  </si>
  <si>
    <t>PROJETO: GUARDIÕES DO BRINCAR</t>
  </si>
  <si>
    <t>CASA ROSADA</t>
  </si>
  <si>
    <t>GUARDIÃ DA MELHOR</t>
  </si>
  <si>
    <t>RESIDENCIAL PEDRA BRANCA</t>
  </si>
  <si>
    <t>CASA DE REPOUSO VILA MARIANA - MATRIZ</t>
  </si>
  <si>
    <t>CASA DE REPOUSO VILA MARIANA - FILIAL 02</t>
  </si>
  <si>
    <t>CASA DE REPOUSO VILA MARIANA - FILIAL 03</t>
  </si>
  <si>
    <t>CAPACITAÇÃO DO FÓRUM DO CIDADÃO IDOSO: PROMOVENDO O  PROTAGONISMO DA PESSOA IDOSA EM RELAÇÃO ÀS POLÍTICAS PÚBLICAS</t>
  </si>
  <si>
    <t>ALIMENTAÇÃO CARDIOPROTETORA COMO ESTRATÉGIA DE EDUCAÇÃO ALIMENTAR E NUTRICIONAL PARA IDOSOS COM FATORES DE RISCO CARDIOVASCULAR</t>
  </si>
  <si>
    <t>ARTE DE CUIDAR-SE: A IMPORTÂNCIA DO AUTOCUIDADO DE CUIDADORES DE IDOSOS</t>
  </si>
  <si>
    <t>VIDA ATIVA - INCLUSÃO DIGITAL</t>
  </si>
  <si>
    <t>ADUM DALVA PAIXÃO</t>
  </si>
  <si>
    <t>RECANTO VIVER A VIDA</t>
  </si>
  <si>
    <t>CASA DE REPOUSO AMPARO</t>
  </si>
  <si>
    <t xml:space="preserve">NCI SILVA TELES - FONTE DA AMIZADE </t>
  </si>
  <si>
    <t>NCI CANTO DA MELHOR IDADE</t>
  </si>
  <si>
    <t>NCI UNIÃO DA MELHOR IDADE</t>
  </si>
  <si>
    <t>CDI KIMANI MARUGE</t>
  </si>
  <si>
    <t>RESIDENCIAL SÊNIOR VIDA</t>
  </si>
  <si>
    <t xml:space="preserve">VILLA PRIMAVERA SENIOR </t>
  </si>
  <si>
    <t>CENTRO DIA PARA IDOSOS PROCEDU</t>
  </si>
  <si>
    <t>NCI VOVÓ NETA</t>
  </si>
  <si>
    <t>RESGATE DA MEMÓRIA</t>
  </si>
  <si>
    <t>NCI FUNDAÇÃO JULITA</t>
  </si>
  <si>
    <t>PROJETO INTERGERACIONAL COLO DE VÓ</t>
  </si>
  <si>
    <t>MORADA DOS LÍRIOS</t>
  </si>
  <si>
    <t>CASA DE REPOUSO NOVA PETROPÓLES</t>
  </si>
  <si>
    <t>BELLA MOOCA</t>
  </si>
  <si>
    <t>RESIDENCIAL RECANTO</t>
  </si>
  <si>
    <t>POUSADA LUA NOVA</t>
  </si>
  <si>
    <t>RESIDENCIAL CASA NOVA PARA IDOSOS</t>
  </si>
  <si>
    <t>ALL TIME SAÚDE</t>
  </si>
  <si>
    <t>CASA DE REPOUSO AZALEIA</t>
  </si>
  <si>
    <t>CASA DE REPOUSO CAMPO BELO</t>
  </si>
  <si>
    <t>LAR DA MELHOR IDADE</t>
  </si>
  <si>
    <t>CASA DE REPOUSO MONTE HOREBE</t>
  </si>
  <si>
    <t>QUALITY LIVE</t>
  </si>
  <si>
    <t>CASA DE REPOUSO RITA DE CÁSSIA</t>
  </si>
  <si>
    <t>CASA DE REPOUSO SAN THIAGO</t>
  </si>
  <si>
    <t>CASA DE REPOUSO VILA VERDE</t>
  </si>
  <si>
    <t>CASA DE REPOUSO CARINHOSO</t>
  </si>
  <si>
    <t>DE NARDI &amp; PASSOS RESIDENCIAL E ESPAÇO DE CONVIVÊNCIA PARA IDOSOS</t>
  </si>
  <si>
    <t>RESIDENCIAL CORA CORALINA</t>
  </si>
  <si>
    <t>RESIDENCIAL MARIA FIGUEIREDO</t>
  </si>
  <si>
    <t>RESIDENCIAL VILA CITY AMÉRICA M&amp;A</t>
  </si>
  <si>
    <t>DANÇA SÊNIOR</t>
  </si>
  <si>
    <t>GINÁSTICA PARA TERCEIRA IDADE</t>
  </si>
  <si>
    <t>NCI - BUNKYO</t>
  </si>
  <si>
    <t>CÉREBRO ATIVO-BUNKYO</t>
  </si>
  <si>
    <t>BETEL LAR DOS IDOSOS</t>
  </si>
  <si>
    <t>RUIVA INSTITUTO DE LONGA PERMANÊNCIA</t>
  </si>
  <si>
    <t>LAR DE ALICE</t>
  </si>
  <si>
    <t>RECANTO DOS AVÓS - MATRIZ</t>
  </si>
  <si>
    <t>RECANTO DOS AVÓS - FILIAL</t>
  </si>
  <si>
    <t>CASA DE REPOUSO RESIDENCIAL VILA DOS SONHOS</t>
  </si>
  <si>
    <t>RESIDENCIAL SÊNIOR 60+ PARQUE DO IBIRAPUERA</t>
  </si>
  <si>
    <t>CASA DE REPOUSO LAR DA DONA CIDA</t>
  </si>
  <si>
    <t>RESIDENCIAL NOVA VIDA</t>
  </si>
  <si>
    <t>CASA DE REPOUSO D’HERMON</t>
  </si>
  <si>
    <t>LÍRIO DOS VALES</t>
  </si>
  <si>
    <t>SENIOR ANGIL - LAR PARA IDOSOS</t>
  </si>
  <si>
    <t>MORADA PRIMAVERA</t>
  </si>
  <si>
    <t>STYLLO</t>
  </si>
  <si>
    <t>CASA DE REPOUSO REVIVER</t>
  </si>
  <si>
    <t>CASA SANTA EDWIRGENS</t>
  </si>
  <si>
    <t>NOSSA CASA - FILIAL</t>
  </si>
  <si>
    <t>NCI CORAÇÃO MATERNO</t>
  </si>
  <si>
    <t>NCI SÃO PATRÍCIO</t>
  </si>
  <si>
    <t>CASA DE REPOUSO RESIDENCIAL LUISA</t>
  </si>
  <si>
    <t>CDI CASA SÃO PAULO</t>
  </si>
  <si>
    <t>RESIDENCE LONG LIFE</t>
  </si>
  <si>
    <t>NCI ESPERANÇA</t>
  </si>
  <si>
    <t>NCI VOVÓ MARIA JOSÉ</t>
  </si>
  <si>
    <t>DOM HÉLDER CÂMARA</t>
  </si>
  <si>
    <t>LAR DI MARIA</t>
  </si>
  <si>
    <t>INCLUSÃO DA PESSOA IDOSA COM DEFICIÊNCIA INTELECTUAL</t>
  </si>
  <si>
    <t>PROGRAMA FORTALECIMENTO DA TEIA SOCIAL</t>
  </si>
  <si>
    <t xml:space="preserve">DIGIDOSO - PROGRAMA DE INCLUSÃO DIGITAL ETÁRIA PARA O DESENVOLVIMENTO TERRITORIAL </t>
  </si>
  <si>
    <t>CASA DE REPOUSO BRIGADEIRO</t>
  </si>
  <si>
    <t>NCI BOM JESUS</t>
  </si>
  <si>
    <t>NCI AMIGOS DA MELHOR IDADE</t>
  </si>
  <si>
    <t>NCI GIRASSOL</t>
  </si>
  <si>
    <t>NCI DIVINO</t>
  </si>
  <si>
    <t>NCI BEM VIVER</t>
  </si>
  <si>
    <t>NCI ENTRA QUE A CASA É SUA</t>
  </si>
  <si>
    <t>FLORESCER ESPAÇO SÊNIOR</t>
  </si>
  <si>
    <t>CASA DE REPOUSO VÓ MINDA</t>
  </si>
  <si>
    <t>RESIDENCIAL ALLEGRO</t>
  </si>
  <si>
    <t>RESIDENCIAL EMANUEL</t>
  </si>
  <si>
    <t>HOTELZINHO DE IDOSOS SANTO ANTÔNIO DE PÁDUA</t>
  </si>
  <si>
    <t>RESIDENCIAL REVIVER</t>
  </si>
  <si>
    <t>RESIDENCIAL PARA IDOSOS, SAÚDE E BEM ESTAR</t>
  </si>
  <si>
    <t>RESIDENCIAL VOVÓ ANA</t>
  </si>
  <si>
    <t>MÓDULO LIVRE - OFICINAS DE ARTE</t>
  </si>
  <si>
    <t>LONGEVIDADE</t>
  </si>
  <si>
    <t>PÁGINAS DA VIDA</t>
  </si>
  <si>
    <t>VOZES EM MOVIMENTO</t>
  </si>
  <si>
    <t>GERAÇÃO 60+</t>
  </si>
  <si>
    <t>CASA DE REPOUSO VÓ CORÁLIA</t>
  </si>
  <si>
    <t>HORIZONTE RESIDENCIAL PARA IDOSOS</t>
  </si>
  <si>
    <t>CASA DE REPOUSO IRMÃS SILVA</t>
  </si>
  <si>
    <t>CAEI CASA VERDE</t>
  </si>
  <si>
    <t>NCI PERUS</t>
  </si>
  <si>
    <t>CCINTER - PERUS</t>
  </si>
  <si>
    <t>CDI PERUS</t>
  </si>
  <si>
    <t>JARDINS DE HERMOM RESIDENCIAL SÊNIOR</t>
  </si>
  <si>
    <t>CASA DE REPOUSO RESIDENCIAL GERIÁTRICO ÁRVORES DA VIDA</t>
  </si>
  <si>
    <t>SÃO JORGE CASA DE REPOUSO</t>
  </si>
  <si>
    <t>CASA ROVIGO RESIDENCIAL SÊNIOR</t>
  </si>
  <si>
    <t>RESIDENCIAL CASA DO IDOSO</t>
  </si>
  <si>
    <t>CASA DE REPOUSO SOUZA LIMA</t>
  </si>
  <si>
    <t>INSTITUTO VIVER BEM</t>
  </si>
  <si>
    <t>CASA DE REPOUSO MUNDO MAIOR</t>
  </si>
  <si>
    <t>RECANTO VOMIMAR</t>
  </si>
  <si>
    <t>VIDAS ATIVAS</t>
  </si>
  <si>
    <t>LAR DE IDOSOS FLOR DE IPANEMA</t>
  </si>
  <si>
    <t>RESIDENCIAL VILLA FIORI</t>
  </si>
  <si>
    <t>RESIDENCIAL VIDA SAUDÁVEL</t>
  </si>
  <si>
    <t>CASTELINHO RESIDENCIAL SÊNIOR</t>
  </si>
  <si>
    <t>S C O MASTER PROTEGENDO A VIDA</t>
  </si>
  <si>
    <t>VILLA DEI FIORI POMPEIA</t>
  </si>
  <si>
    <t>ESPAÇO VITALIS ANTIGO LAR PARA IDOSOS FREGUESIA DO Ó</t>
  </si>
  <si>
    <t>RESIDENCIAL PARA IDOSOS QUATRO ESTAÇÕES</t>
  </si>
  <si>
    <t>MONTE SINAI</t>
  </si>
  <si>
    <t>RESIDENCIAL VOVÓ LOURDES</t>
  </si>
  <si>
    <t>CASA DE REPOUSO ALVES COSTA</t>
  </si>
  <si>
    <t>LAR LUZIA</t>
  </si>
  <si>
    <t>LA VIE RESIDENCE SÊNIOR</t>
  </si>
  <si>
    <t>PROJETO CHAZAK</t>
  </si>
  <si>
    <t>RESIDENCIAL FLORE D’ALLIANCE</t>
  </si>
  <si>
    <t xml:space="preserve"> NCI PROJETO SAMUEL RANGEL</t>
  </si>
  <si>
    <t>CURSO DE EDUCAÇÃO FINANCEIRA E PREVIDENCIÁRIA PARA IDOSOS</t>
  </si>
  <si>
    <t>CURSO DE FORMAÇÃO BÁSICA DO PROFISSIONAL CUIDADOR DE IDOSOS</t>
  </si>
  <si>
    <t>PROJETO INCLUSÃO DIGITAL PARA A TERCEIRA IDADE</t>
  </si>
  <si>
    <t>DIAGNÓSTICO SOCIOTERRITORIAL PARA A PESSOA IDOSA NA CIDADE DE SÃO PAULO: CONSTRUÇÃO DE SUBSÍDIOS PARA_x000D_
A DEFESA DE DIREITOS E PARA A CAPACITAÇÃO DE CONSELHEIROS</t>
  </si>
  <si>
    <t>PRÁTICAS INTEGRATIVAS E COMPLEMENTARES NO ATENDIMENTO A IDOSOS COM DIFICULDADES DE COMUNICAÇÃO</t>
  </si>
  <si>
    <t>INCLUSÃO DIGITAL DE IDOSOS COMO FATOR DE FORTALECIMENTO DE VÍNCULOS INTERGERACIONAIS</t>
  </si>
  <si>
    <t>RESIDENCIAL GOLD SENIOR - UNIDADE II</t>
  </si>
  <si>
    <t>NCI RESPEITO E DIGNIDADE CIAP SÃO PATRÍCIO</t>
  </si>
  <si>
    <t>ILPI particular</t>
  </si>
  <si>
    <t>ILPI conveniada</t>
  </si>
  <si>
    <t>ILPI não conveniada</t>
  </si>
  <si>
    <t>CDI particular</t>
  </si>
  <si>
    <t>CDI conveniado</t>
  </si>
  <si>
    <t>NCI conveniado</t>
  </si>
  <si>
    <t>NCI não conveniado</t>
  </si>
  <si>
    <t>TOTAL POR SUBPREF</t>
  </si>
  <si>
    <t>Casa Verde/Cachoeirinha/Limão</t>
  </si>
  <si>
    <t>Freguesia do Ó/Brasilândia</t>
  </si>
  <si>
    <t>08142-410</t>
  </si>
  <si>
    <t>Av. Eng Heitor Antonio Eiras Garcia, n° 5985</t>
  </si>
  <si>
    <t>Vila Reg. Feijó</t>
  </si>
  <si>
    <t>TOTAL</t>
  </si>
  <si>
    <r>
      <t>• ILPI</t>
    </r>
    <r>
      <rPr>
        <b/>
        <sz val="11"/>
        <color rgb="FF000000"/>
        <rFont val="Arial"/>
        <family val="2"/>
      </rPr>
      <t xml:space="preserve"> - Instituição de Longa Permanência para Idosos</t>
    </r>
  </si>
  <si>
    <r>
      <t xml:space="preserve">• </t>
    </r>
    <r>
      <rPr>
        <b/>
        <sz val="10"/>
        <color rgb="FF000000"/>
        <rFont val="Arial"/>
        <family val="2"/>
      </rPr>
      <t>NCI</t>
    </r>
    <r>
      <rPr>
        <b/>
        <sz val="11"/>
        <color rgb="FF000000"/>
        <rFont val="Arial"/>
        <family val="2"/>
      </rPr>
      <t xml:space="preserve"> - Núcleo de Convivência para Idosos</t>
    </r>
  </si>
  <si>
    <r>
      <t xml:space="preserve">• </t>
    </r>
    <r>
      <rPr>
        <b/>
        <sz val="10"/>
        <color rgb="FF000000"/>
        <rFont val="Arial"/>
        <family val="2"/>
      </rPr>
      <t>CDI</t>
    </r>
    <r>
      <rPr>
        <b/>
        <sz val="11"/>
        <color rgb="FF000000"/>
        <rFont val="Arial"/>
        <family val="2"/>
      </rPr>
      <t xml:space="preserve"> - Centro Dia para o Idoso</t>
    </r>
  </si>
  <si>
    <r>
      <t xml:space="preserve">• </t>
    </r>
    <r>
      <rPr>
        <b/>
        <sz val="10"/>
        <color rgb="FF000000"/>
        <rFont val="Arial"/>
        <family val="2"/>
      </rPr>
      <t>CAEI</t>
    </r>
    <r>
      <rPr>
        <b/>
        <sz val="11"/>
        <color rgb="FF000000"/>
        <rFont val="Arial"/>
        <family val="2"/>
      </rPr>
      <t xml:space="preserve"> - Centro de Acolhida Especial para Idosos</t>
    </r>
  </si>
  <si>
    <r>
      <t xml:space="preserve">• </t>
    </r>
    <r>
      <rPr>
        <b/>
        <sz val="10"/>
        <color rgb="FF000000"/>
        <rFont val="Arial"/>
        <family val="2"/>
      </rPr>
      <t>CCINTER</t>
    </r>
    <r>
      <rPr>
        <b/>
        <sz val="11"/>
        <color rgb="FF000000"/>
        <rFont val="Arial"/>
        <family val="2"/>
      </rPr>
      <t xml:space="preserve"> - Centro de Convivência Intergeracional</t>
    </r>
  </si>
  <si>
    <t>Atualização: 06/05/2026. Base de dados dos registros do Conselho Municipal de Direitos do Idoso da Cidade de São Paulo (CMI/SP). Larissa Rocha</t>
  </si>
  <si>
    <t>ID</t>
  </si>
  <si>
    <t>Nº REGISTRO</t>
  </si>
  <si>
    <t xml:space="preserve">                                    TABELA GERAL DE REGISTROS</t>
  </si>
  <si>
    <t>assessoria@ondinalobo.org.br</t>
  </si>
  <si>
    <t>raffaelalep@yahoo.com.br</t>
  </si>
  <si>
    <t>residencialsaudeebemestar.com.br</t>
  </si>
  <si>
    <t>CDI SOLIDARIEDADE ABECAL</t>
  </si>
  <si>
    <t>CASA DOS VELHINHOS DE ONDINA LOBO - CVOL</t>
  </si>
  <si>
    <t>1110/26</t>
  </si>
  <si>
    <t>VIVEN - CIDADÃOS PARA UM AMANHÃ MELHOR</t>
  </si>
  <si>
    <t>CIDADANIA ENTRE GERAÇÕES POR MEIO DE VIVÊNCIAS</t>
  </si>
  <si>
    <t>34.996.152/0001-08</t>
  </si>
  <si>
    <t>Rua Fradique Coutinho, 30, conj. 93</t>
  </si>
  <si>
    <t>05416-000</t>
  </si>
  <si>
    <t>(11) 98254-1918</t>
  </si>
  <si>
    <t>contato@viven.org.br</t>
  </si>
  <si>
    <t>viven.org.br</t>
  </si>
  <si>
    <t>6074.2026/0003280-8</t>
  </si>
  <si>
    <t>RESIDENCIAL GERIÁTRICA ITACOLOMY LTDA</t>
  </si>
  <si>
    <t>RESIDENCIAL GERIÁTRICA ITACOLOMY</t>
  </si>
  <si>
    <t>04267-010</t>
  </si>
  <si>
    <t>725.1/23</t>
  </si>
  <si>
    <t>CASA DO IDOSO ANÁLIA FRANCO LTDA</t>
  </si>
  <si>
    <t>(11) 2673-2233</t>
  </si>
  <si>
    <t>01.314.935/0007-09</t>
  </si>
  <si>
    <t>05208-110</t>
  </si>
  <si>
    <t>05208-220</t>
  </si>
  <si>
    <t>(11) 3917-7526</t>
  </si>
  <si>
    <t>898.2/24</t>
  </si>
  <si>
    <t>HIDROTERAPIA AQUÁTICA INTEGRADA À PESSOA IDOSA</t>
  </si>
  <si>
    <t>Rua José Ferreira Crespo, 674</t>
  </si>
  <si>
    <t>institutohandmaria.org</t>
  </si>
  <si>
    <t>nossocantinholapa.com.br</t>
  </si>
  <si>
    <t>1111/26</t>
  </si>
  <si>
    <t>DPADUA RESIDENCIAL LTDA</t>
  </si>
  <si>
    <t>51.936.898/0001-45</t>
  </si>
  <si>
    <t>Av. Diógenes Ribeiro de Lima, 1268</t>
  </si>
  <si>
    <t>dpaduaresidencial.com.br</t>
  </si>
  <si>
    <t>6074.2026/0003652-8</t>
  </si>
  <si>
    <t>ANA PAULA TURBIAN - ME</t>
  </si>
  <si>
    <t>02436-010</t>
  </si>
  <si>
    <t>(11) 3624-4171</t>
  </si>
  <si>
    <t>215.2/18</t>
  </si>
  <si>
    <t>CCINTER CLUBE DA TURMA SANTA TEREZINHA</t>
  </si>
  <si>
    <t>62.915.459/0003-34</t>
  </si>
  <si>
    <t>Av. Prof. Cardozo de Mello Neto, 1000</t>
  </si>
  <si>
    <t>04474-180</t>
  </si>
  <si>
    <t>Jardim Santa Terezinha</t>
  </si>
  <si>
    <t>(11) 5676-2891</t>
  </si>
  <si>
    <t>ccinter@mamae.org.br</t>
  </si>
  <si>
    <t>1112/26</t>
  </si>
  <si>
    <t>GRÊMIO RECREATIVO CULTURAL SOCIAL ESCOLA DE SAMBA TRADIÇÃO</t>
  </si>
  <si>
    <t>TRADIÇÃO E CONVIVÊNCIA HARMONIOSA</t>
  </si>
  <si>
    <t>52.831.693/0001-68</t>
  </si>
  <si>
    <t>Av. Marechal Eurico Gaspar Dutra, 913</t>
  </si>
  <si>
    <t>02239-010</t>
  </si>
  <si>
    <t>(11) 94028-6119</t>
  </si>
  <si>
    <t>6074.2026/0003700-1</t>
  </si>
  <si>
    <t>1113/26</t>
  </si>
  <si>
    <t>CASA DE REPOUSO RESIDENCIAL SÁ LTDA</t>
  </si>
  <si>
    <t>CASA DE REPOUSO MENDES SÁ</t>
  </si>
  <si>
    <t>51.988.542/0001-43</t>
  </si>
  <si>
    <t>Rua Felício Tarabai, 88</t>
  </si>
  <si>
    <t>02344-060</t>
  </si>
  <si>
    <t>Barro Branco</t>
  </si>
  <si>
    <t>(11) 2953-5339</t>
  </si>
  <si>
    <t>contato.casaderepousomedessa@gmail.com</t>
  </si>
  <si>
    <t>6074.2026/0003720-6</t>
  </si>
  <si>
    <t>recantodosavoscasaderepouso@gmail.com</t>
  </si>
  <si>
    <t>CASA DE REPOUSO SÁ &amp; SACALINA</t>
  </si>
  <si>
    <t>Rua dos Mártires Armênios, n° 1.185, Lote 3, Quadra 8</t>
  </si>
  <si>
    <t>(11) 2991-4409</t>
  </si>
  <si>
    <t>roseli@sasacalina.com.br</t>
  </si>
  <si>
    <t>41.522.136/0001-11</t>
  </si>
  <si>
    <t>08450-450</t>
  </si>
  <si>
    <t>(11) 98490-3249</t>
  </si>
  <si>
    <t>1114/26</t>
  </si>
  <si>
    <t>RESIDENCIAL ELOHIM LTDA</t>
  </si>
  <si>
    <t>LAR MOREIRA 2</t>
  </si>
  <si>
    <t>57.581.164/0001-77</t>
  </si>
  <si>
    <t>Rua Campo Bom, 116</t>
  </si>
  <si>
    <t>04319-030</t>
  </si>
  <si>
    <t>(11) 95877-7640</t>
  </si>
  <si>
    <t>enf.ronaldomoreira@gmail.com</t>
  </si>
  <si>
    <t>6074.2026/0003760-5</t>
  </si>
  <si>
    <t>Rua Porto Xavier, 13</t>
  </si>
  <si>
    <t>08210-170</t>
  </si>
  <si>
    <t>CASA DE REPOUSO FERNANDA LTDA</t>
  </si>
  <si>
    <t>01251-001</t>
  </si>
  <si>
    <t>GERDIELLE TAMIRES DA CONCEIÇÃO SILVA - ME</t>
  </si>
  <si>
    <t>(11) 98868-3584</t>
  </si>
  <si>
    <t>1115/26</t>
  </si>
  <si>
    <t>CENTRO SOCIAL DE PARELHEIROS</t>
  </si>
  <si>
    <t>54.239.041/0001-64</t>
  </si>
  <si>
    <t>Rua Paulino Nunes Esposo, 208</t>
  </si>
  <si>
    <t>04865-012</t>
  </si>
  <si>
    <t>Jardim Casa Grande</t>
  </si>
  <si>
    <t>(11) 99658-3544</t>
  </si>
  <si>
    <t>contato@parelheiros.org.br</t>
  </si>
  <si>
    <t>6074.2026/0003841-5</t>
  </si>
  <si>
    <t>1116/26</t>
  </si>
  <si>
    <t>INSTITUTO AMOR DE ISIS</t>
  </si>
  <si>
    <t>MOVIMENTO 60+ ATIVO</t>
  </si>
  <si>
    <t>59.576.116/0001-16</t>
  </si>
  <si>
    <t>Rua Giovanni Dósio, 111</t>
  </si>
  <si>
    <t>02846-180</t>
  </si>
  <si>
    <t>Vila Teresinha</t>
  </si>
  <si>
    <t>(11) 96599-3277</t>
  </si>
  <si>
    <t>institutoamordeisis@gmail.com</t>
  </si>
  <si>
    <t>institutoamordeisis.org</t>
  </si>
  <si>
    <t>6074.2026/0003857-1</t>
  </si>
  <si>
    <t>SANTA ANA</t>
  </si>
  <si>
    <t xml:space="preserve">CASA DE REPOUSO E HOSPEDARIA MORADA DO SOL LTDA </t>
  </si>
  <si>
    <t>08.828.820/0001-01</t>
  </si>
  <si>
    <t>05594-110</t>
  </si>
  <si>
    <t>moradadosol275@gmail.com</t>
  </si>
  <si>
    <t>1117/26</t>
  </si>
  <si>
    <t>CASA DE REPOUSO PARA IDOSOS SANTÉ LTDA</t>
  </si>
  <si>
    <t>CASA DE REPOUSO SANTÉ</t>
  </si>
  <si>
    <t>59.753.264/0001-69</t>
  </si>
  <si>
    <t>59.753.264/000169</t>
  </si>
  <si>
    <t>Rua Rubem de Sousa, 152</t>
  </si>
  <si>
    <t>04653-170</t>
  </si>
  <si>
    <t>Vila Inglesa</t>
  </si>
  <si>
    <t>(11) 2476-2990</t>
  </si>
  <si>
    <t>casaderepousosante@gmail.com</t>
  </si>
  <si>
    <t>casaderepousosante.com.br</t>
  </si>
  <si>
    <t>6074.2026/0003869-5</t>
  </si>
  <si>
    <t>(11) 98272-9946</t>
  </si>
  <si>
    <t>mclregularizacoes@gmail.com</t>
  </si>
  <si>
    <t>SÃO JORGE CASA DE REPOUSO LTDA</t>
  </si>
  <si>
    <t>03152-050</t>
  </si>
  <si>
    <t>(11) 5925-6617</t>
  </si>
  <si>
    <t>ilpi@ocaminho.org</t>
  </si>
  <si>
    <t>(11) 2295-1284</t>
  </si>
  <si>
    <t>1118/26</t>
  </si>
  <si>
    <t>TERÇA DA SERRA ACLIMAÇÃO</t>
  </si>
  <si>
    <t>62.119.259/0001-03</t>
  </si>
  <si>
    <t>01433-010</t>
  </si>
  <si>
    <t>(11) 91098-3987</t>
  </si>
  <si>
    <t>danielle.soldi@franquiatercadaserra.com.br</t>
  </si>
  <si>
    <t>tercadaserra.com.br</t>
  </si>
  <si>
    <t>6074.2026/0003980-2</t>
  </si>
  <si>
    <t>Av. Armando Ferrentini, 218</t>
  </si>
  <si>
    <t>1119/26</t>
  </si>
  <si>
    <t>ASAF RESIDENCIAL SÊNIOR LTDA</t>
  </si>
  <si>
    <t>RESIDENCIAL SÊNIOR NICE LTDA</t>
  </si>
  <si>
    <t>RESIDENCIAL GND PRIME LAPA</t>
  </si>
  <si>
    <t>(11) 3589-1890</t>
  </si>
  <si>
    <t>adrianoluigysilva2012@gmail.com</t>
  </si>
  <si>
    <t>6074.2026/0003982-9</t>
  </si>
  <si>
    <t>BEM-ESTAR 60+</t>
  </si>
  <si>
    <t>1120/26</t>
  </si>
  <si>
    <t>UNIÃO PELOS DIREITOS HUMANOS DOS MORADORES DO JARDIM DAS ROSAS</t>
  </si>
  <si>
    <t>SABEDORIA EM AÇÃO</t>
  </si>
  <si>
    <t>04.956.895/0001-93</t>
  </si>
  <si>
    <t>Rua Jorge Carlos de Almeida, 30</t>
  </si>
  <si>
    <t>08390-355</t>
  </si>
  <si>
    <t>Jardim Santo André</t>
  </si>
  <si>
    <t>(11) 94888-1122</t>
  </si>
  <si>
    <t>associacao-uniao@outlook,com</t>
  </si>
  <si>
    <t>oscuniaodireitoshumanosdosmoradores.org</t>
  </si>
  <si>
    <t>6074.2026/0004091-6</t>
  </si>
  <si>
    <t>TSB HOME RESIDENCIAL SÊNIOR LTDA</t>
  </si>
  <si>
    <t>69.129.880/0001-05</t>
  </si>
  <si>
    <t>69.129.880/0003-69</t>
  </si>
  <si>
    <t>(11) 3923-3279</t>
  </si>
  <si>
    <t>ncm@nucleocoracaomaterno.org.br</t>
  </si>
  <si>
    <t>www.nucleocoracaomaterno.org.br</t>
  </si>
  <si>
    <t>43.633.288/0001-44</t>
  </si>
  <si>
    <t>(11) 5589-5070</t>
  </si>
  <si>
    <t>corfamilia@uol.com.br</t>
  </si>
  <si>
    <t>corfamilia.org.br</t>
  </si>
  <si>
    <t>02350-003</t>
  </si>
  <si>
    <t>(11) 2953-3011</t>
  </si>
  <si>
    <t>casaderepousoritadecassia.com</t>
  </si>
  <si>
    <t>6074.2026/0004155-6</t>
  </si>
  <si>
    <t>1121/26</t>
  </si>
  <si>
    <t>RESIDENCIAL HERÁCLITO E MARIA JOSÉ LTDA</t>
  </si>
  <si>
    <t>FIOS DE TERNURA</t>
  </si>
  <si>
    <t>24.815.484/0001-95</t>
  </si>
  <si>
    <t>24.815/484/0001-95</t>
  </si>
  <si>
    <t>Rua Panonia, 400</t>
  </si>
  <si>
    <t>05629-010</t>
  </si>
  <si>
    <t>Jardim Colombo</t>
  </si>
  <si>
    <t>(11) 3773-9824</t>
  </si>
  <si>
    <t>fiosdeternura@outlook.com</t>
  </si>
  <si>
    <t>6074.2026/0004192-0</t>
  </si>
  <si>
    <t>1122/26</t>
  </si>
  <si>
    <t>ACEB - ASSOCIAÇÃO CULTURAL, ESPORTIVA E BENEFICENTE DE VILA NOVA CACHOEIRINHA</t>
  </si>
  <si>
    <t>CENTRO DE CONVIVÊNCIA VILA DOS IDOSOS - V.N. CACHOEIRINHA</t>
  </si>
  <si>
    <t>06.035.952/0001-27</t>
  </si>
  <si>
    <t>Rua Júlio Augusto Hentiques, 339</t>
  </si>
  <si>
    <t>02612-040</t>
  </si>
  <si>
    <t>Casa Verde/Cachoeirinha</t>
  </si>
  <si>
    <t>(11) 3499-1707</t>
  </si>
  <si>
    <t>contato@acebsp.org.br</t>
  </si>
  <si>
    <t>acebsp.org.br</t>
  </si>
  <si>
    <t>6074.2026/0004301-0</t>
  </si>
  <si>
    <t>620.2/22</t>
  </si>
  <si>
    <t>CCINTER - CEBECH SÍTIO CONCEIÇÃO</t>
  </si>
  <si>
    <t>04.003.965/0007-84</t>
  </si>
  <si>
    <t>Rua Antônio Carlos Mingues Lopes, 1172</t>
  </si>
  <si>
    <t>Conjunto Habitacional Castro Alves</t>
  </si>
  <si>
    <t>cebech.com.br</t>
  </si>
  <si>
    <t>1123/26</t>
  </si>
  <si>
    <t>INSTITUTO IKIGAI</t>
  </si>
  <si>
    <t>ARTE QUE TRANSFORMA E SALVA 60+</t>
  </si>
  <si>
    <t>32.474.514/0001-75</t>
  </si>
  <si>
    <t>Estrada Galvão Bueno Trigueirinho, 1095</t>
  </si>
  <si>
    <t>05181-040</t>
  </si>
  <si>
    <t>(11) 98555-1705</t>
  </si>
  <si>
    <t>institutoikigai@gmail.com</t>
  </si>
  <si>
    <t>institutoikigai.org.br</t>
  </si>
  <si>
    <t>6074.2026/0004347-8</t>
  </si>
  <si>
    <t>1124/26</t>
  </si>
  <si>
    <t>INSTITUTO SOCIAL MENSAGEIROS DA PAZ</t>
  </si>
  <si>
    <t>VIVER MAIS</t>
  </si>
  <si>
    <t>17.670.872/0001-60</t>
  </si>
  <si>
    <t>Rua Jacinto Gonçalves, 46</t>
  </si>
  <si>
    <t>05568-240</t>
  </si>
  <si>
    <t>Jardim São Jorge</t>
  </si>
  <si>
    <t>(11) 94738-6457</t>
  </si>
  <si>
    <t>institutorosasdapaz@gmail.com</t>
  </si>
  <si>
    <t>mensageirosdapaz.org</t>
  </si>
  <si>
    <t>6074.2026/0004360-5</t>
  </si>
  <si>
    <t>1125.1/26</t>
  </si>
  <si>
    <t>ASSOCIAÇÃO ISRAELITA DE BENFICÊNCIA BEIT CHABAD DO BRASIL</t>
  </si>
  <si>
    <t>LEV EM AÇÃO</t>
  </si>
  <si>
    <t>60.622.073/0001-47</t>
  </si>
  <si>
    <t>Rua Melo Alves, 580</t>
  </si>
  <si>
    <t>01417-010</t>
  </si>
  <si>
    <t xml:space="preserve">Cerqueira César </t>
  </si>
  <si>
    <t>(11) 3081-3081</t>
  </si>
  <si>
    <t>chabad@chabad.org.br</t>
  </si>
  <si>
    <t>chabad.org.br</t>
  </si>
  <si>
    <t>6074.2026/0004433-4</t>
  </si>
  <si>
    <t>1125.2/26</t>
  </si>
  <si>
    <t>LEV VISITAS</t>
  </si>
  <si>
    <t>792.2/24</t>
  </si>
  <si>
    <t>NCI - PIPAS</t>
  </si>
  <si>
    <t>17285.190/0018-81</t>
  </si>
  <si>
    <t>Rua Marquês de Pombal, 35</t>
  </si>
  <si>
    <t>02126-070</t>
  </si>
  <si>
    <t>(11) 2954-0956</t>
  </si>
  <si>
    <t>gerenciapipas@gmail.com</t>
  </si>
  <si>
    <t>512.5/21</t>
  </si>
  <si>
    <t>NCI VOVÓ ADÉLIA</t>
  </si>
  <si>
    <t>(11) 2953-3227</t>
  </si>
  <si>
    <t>CRDC - CENTRO DE REFERÊNCIA E DESENVOLVIMENTO COMUNITARIO CORREIA</t>
  </si>
  <si>
    <t>CENTRO DIA PARA IDOSOS GUAIANASES CRDC</t>
  </si>
  <si>
    <t>Rua Saturnino Pereira, nº 387</t>
  </si>
  <si>
    <t>Vila Santa Cruz</t>
  </si>
  <si>
    <t>08411-000</t>
  </si>
  <si>
    <t>(11) 2554-8070</t>
  </si>
  <si>
    <t>crdc.org.br</t>
  </si>
  <si>
    <t>02066-000</t>
  </si>
  <si>
    <t>1126/26</t>
  </si>
  <si>
    <t>NOVA RESILIÊNCIA LTDA</t>
  </si>
  <si>
    <t>VILLA PLENA</t>
  </si>
  <si>
    <t>52.648.833/0001-67</t>
  </si>
  <si>
    <t>Rua Tomas da Fonseca, 181</t>
  </si>
  <si>
    <t>03193-140</t>
  </si>
  <si>
    <t>(11) 99506-4770</t>
  </si>
  <si>
    <t>vilaplena02@gmail.com</t>
  </si>
  <si>
    <t>6074.2026/0004588-8</t>
  </si>
  <si>
    <t>04617-015</t>
  </si>
  <si>
    <t xml:space="preserve">(11) 2694-9301 </t>
  </si>
  <si>
    <t>grupoacsenior.com.br</t>
  </si>
  <si>
    <t>1127/26</t>
  </si>
  <si>
    <t>ASSOCIAÇÃO DE MORADORES MIRAGAIA JARDIM JARAGUÁ</t>
  </si>
  <si>
    <t>RITMOS DA MATURIDADE - OFICINA PARA IDOSOS</t>
  </si>
  <si>
    <t>06.224.472/0001-04</t>
  </si>
  <si>
    <t>Rua Santo Antônio da Vargem Alegre, 2</t>
  </si>
  <si>
    <t>08151-330</t>
  </si>
  <si>
    <t>Jardim Nazaré II</t>
  </si>
  <si>
    <t>(11) 3678-0147</t>
  </si>
  <si>
    <t>ammjj.ozv.com.br</t>
  </si>
  <si>
    <t>6074.2026/0004629-9</t>
  </si>
  <si>
    <t>ammjjsocial1@gmail.com</t>
  </si>
  <si>
    <t>BEM ESTAR</t>
  </si>
  <si>
    <t>(11) 97971-5419</t>
  </si>
  <si>
    <t>1128/26</t>
  </si>
  <si>
    <t>ANTÔNIA ALVES RESIDENCIAL SÊNIOR LTDA</t>
  </si>
  <si>
    <t>ANTÔNIA ALVES RESIDENCIAL SÊNIOR</t>
  </si>
  <si>
    <t>59.058.879/0001-75</t>
  </si>
  <si>
    <t>Rua Horácio Romeu, 22</t>
  </si>
  <si>
    <t>05159-300</t>
  </si>
  <si>
    <t>Jardim Maristela</t>
  </si>
  <si>
    <t>(11) 4011-4938</t>
  </si>
  <si>
    <t>diegocerqueiradasilva8@gmail.com</t>
  </si>
  <si>
    <t>6074.2026/0004639-6</t>
  </si>
  <si>
    <t>CASA DE REPOUSO MUNDO MAIOR LTDA</t>
  </si>
  <si>
    <t>02152-040</t>
  </si>
  <si>
    <t>residencialmundomaior@gmail.com</t>
  </si>
  <si>
    <t>1129/26</t>
  </si>
  <si>
    <t>SOCIEDADE AMIGOS DO BAIRRO DE VILA PROGRESSO E ADJACÊNCIAS</t>
  </si>
  <si>
    <t>NCI JOSÉ LEAL</t>
  </si>
  <si>
    <t>49.478.019/0001-37</t>
  </si>
  <si>
    <t>Rua Cânfora, 90</t>
  </si>
  <si>
    <t>03585-030</t>
  </si>
  <si>
    <t>Parque Savoy</t>
  </si>
  <si>
    <t>(11) 2742-0010</t>
  </si>
  <si>
    <t>tecnicoccaprogresso@gmail.com</t>
  </si>
  <si>
    <t>6074.2026/0004689-2</t>
  </si>
  <si>
    <t>1030.2/25</t>
  </si>
  <si>
    <t>52.328.672/0002-05</t>
  </si>
  <si>
    <t>Rua Pereira da Nóbrega, 360</t>
  </si>
  <si>
    <t>(11) 2367-6716</t>
  </si>
  <si>
    <t xml:space="preserve">J. SANCHEZ SIONTI - CASA DE REPOUSO </t>
  </si>
  <si>
    <t>(11) 2309-9553</t>
  </si>
  <si>
    <t>jana_sanchez@live.com</t>
  </si>
  <si>
    <t>(11) 3207-9713</t>
  </si>
  <si>
    <t>867.1/24</t>
  </si>
  <si>
    <t>867.2/24</t>
  </si>
  <si>
    <t>IDADE DOURADA DE PINHEIROS</t>
  </si>
  <si>
    <t>1130/26</t>
  </si>
  <si>
    <t>LAR ANÁLIA FRANCO</t>
  </si>
  <si>
    <t>CASA DOS CAMINHOS</t>
  </si>
  <si>
    <t>60.333.853/0001-77</t>
  </si>
  <si>
    <t>60.333.853/0008-43</t>
  </si>
  <si>
    <t>Rua Ribeiro do Amaral, 136</t>
  </si>
  <si>
    <t>04268-000</t>
  </si>
  <si>
    <t>(11) 2063-9818</t>
  </si>
  <si>
    <t>contato@afranco.org.br</t>
  </si>
  <si>
    <t>afranco.org.br</t>
  </si>
  <si>
    <t>6074.2026/0004729-5</t>
  </si>
  <si>
    <t>1131/26</t>
  </si>
  <si>
    <t>PRIMAVERA II LAR DE IDOSOS</t>
  </si>
  <si>
    <t>60.934.553/0001-43</t>
  </si>
  <si>
    <t>Av. Vereador José Diniz, 2302</t>
  </si>
  <si>
    <t>04604-004</t>
  </si>
  <si>
    <t>(11) 96107-7726</t>
  </si>
  <si>
    <t>6074.2026/0004736-8</t>
  </si>
  <si>
    <t>Rua Barro Duro, 1</t>
  </si>
  <si>
    <t>08220-360</t>
  </si>
  <si>
    <t>Vila Campanela</t>
  </si>
  <si>
    <t>ATELIER DE ARTETERAPIA</t>
  </si>
  <si>
    <t>Rua Pd. Antônio Tomas, 213</t>
  </si>
  <si>
    <t>05003-010</t>
  </si>
  <si>
    <t>(11) 3675-3266</t>
  </si>
  <si>
    <t>adj@adj.org.br</t>
  </si>
  <si>
    <t>6074.2026/0004793-7</t>
  </si>
  <si>
    <t>1132/26</t>
  </si>
  <si>
    <t>CUIDAR DE QUEM CUIDA - REINTEGRANDO APOSENTADOS COMO PROTAGONISTAS DO CUIDADO</t>
  </si>
  <si>
    <t>62.547.166/0001-80</t>
  </si>
  <si>
    <t>Rua Galvão Bueno, 412, SL 75</t>
  </si>
  <si>
    <t>01506-000</t>
  </si>
  <si>
    <t>(11) 98449-3226</t>
  </si>
  <si>
    <t>elianereiscruz@hotmail.com</t>
  </si>
  <si>
    <t>acarmem.com/instituto</t>
  </si>
  <si>
    <t>6074.2026/0004794-5</t>
  </si>
  <si>
    <t>CASA DE REPOUSO VIVA BEM PACAEMBU LTDA</t>
  </si>
  <si>
    <t>CASA DE REPOUSO VIVA BEM</t>
  </si>
  <si>
    <t>01250-001</t>
  </si>
  <si>
    <t>43.567.809/0001-02</t>
  </si>
  <si>
    <t>PRIMAVERA II LAR DE IDOSOS LTDA</t>
  </si>
  <si>
    <t>INSTITUTO DE ASSISTÊNCIA SOCIAL, SAÚDE, EDUCAÇÃO, ESPORTE E CULTURA PARA IDOSOS, CUIDADORES E FAMILIARES SABER &amp; CUIDAR</t>
  </si>
  <si>
    <t>Rua Turvânia, 112</t>
  </si>
  <si>
    <t>(11) 3944-1036</t>
  </si>
  <si>
    <t>512.6/21</t>
  </si>
  <si>
    <t>CCINTER ESPERANÇA</t>
  </si>
  <si>
    <t>Rua Bonfinópolis, 94</t>
  </si>
  <si>
    <t>04939-230</t>
  </si>
  <si>
    <t>Jardim Ângela</t>
  </si>
  <si>
    <t>M' Boi Mirim</t>
  </si>
  <si>
    <t>(11) 5677-4877</t>
  </si>
  <si>
    <t>512.7/21</t>
  </si>
  <si>
    <t>CCINTER TECENDO VÍNCULOS ESPERANÇA</t>
  </si>
  <si>
    <t>Rua Capitão Manuel Pinto de Almeida, 40A</t>
  </si>
  <si>
    <t>08440-610</t>
  </si>
  <si>
    <t>(11) 5820-0981</t>
  </si>
  <si>
    <t>512.8/21</t>
  </si>
  <si>
    <t>CCINTER VANESSA OLIVEIRA</t>
  </si>
  <si>
    <t>Rua Conde de Fontalva, 91</t>
  </si>
  <si>
    <t>04890-310</t>
  </si>
  <si>
    <t>Jardim Santa Fé</t>
  </si>
  <si>
    <t>(11) 5926-8998</t>
  </si>
  <si>
    <t>1133/26</t>
  </si>
  <si>
    <t>RESIDENCIAL FILADELFIA CUIDADO E CONFORTO LTDA</t>
  </si>
  <si>
    <t>RESIDENCIAL FILADELFIA CUIDADO E CONFORTO</t>
  </si>
  <si>
    <t>63.804.648/0001-30</t>
  </si>
  <si>
    <t>Rua Eng. César Polilo, 1009</t>
  </si>
  <si>
    <t>(11) 94400-2263</t>
  </si>
  <si>
    <t>maryllimary523482@gmail.com</t>
  </si>
  <si>
    <t>6074.2026/0004934-4</t>
  </si>
  <si>
    <t>CASTELINHO RESIDENCIAL SÊNIOR LTDA</t>
  </si>
  <si>
    <t>04082-003</t>
  </si>
  <si>
    <t>(11) 5055-4615</t>
  </si>
  <si>
    <t>1134/26</t>
  </si>
  <si>
    <t>INSTITUIÇÃO MARIA JOSÉ EDUCAR</t>
  </si>
  <si>
    <t>MARIA JOSÉ</t>
  </si>
  <si>
    <t>05.099.715/0001-67</t>
  </si>
  <si>
    <t>Rua Nicolau Borboni, 215</t>
  </si>
  <si>
    <t>04962-030</t>
  </si>
  <si>
    <t>(11) 5834-5221</t>
  </si>
  <si>
    <t>ccajanga2018@gmail.com</t>
  </si>
  <si>
    <t>6074.2026/0004981-6</t>
  </si>
  <si>
    <t>1135/26</t>
  </si>
  <si>
    <t>INSTITUTO BRASIL 50+</t>
  </si>
  <si>
    <t>INTERGERACIONAL DE PESQUISA, ADVOCACY, COMUNICAÇÃO PÚBLICA SOBRE LONGEVIDADE E OPORTUNIDADES 50+</t>
  </si>
  <si>
    <t>65.091.259/0001-30</t>
  </si>
  <si>
    <t>Av. Brigadeira Faria Lima, 1811, Cj. 1119</t>
  </si>
  <si>
    <t>01452-001</t>
  </si>
  <si>
    <t>(11) 91019-6437</t>
  </si>
  <si>
    <t>luis.ferreira@ibr50mais.org.br</t>
  </si>
  <si>
    <t>ibr50mais.org.br</t>
  </si>
  <si>
    <t>6074.2026/0005051-2</t>
  </si>
  <si>
    <t>1136/26</t>
  </si>
  <si>
    <t>RESIDENCIAL BEM ESTAR E CARINHO LTDA</t>
  </si>
  <si>
    <t>RESIDENCIL BEM ESTAR E CARINHO</t>
  </si>
  <si>
    <t>67.088.697/0001-75</t>
  </si>
  <si>
    <t>Rua Carlos Augusto Bauman, 606</t>
  </si>
  <si>
    <t>(11) 96102-1954</t>
  </si>
  <si>
    <t>monteirobianca470@gmail.com</t>
  </si>
  <si>
    <t>6074.2026/0005067-9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</si>
</sst>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0"/>
      <color theme="10"/>
      <name val="Calibri"/>
      <family val="2"/>
      <scheme val="minor"/>
    </font>
    <font>
      <sz val="10"/>
      <color rgb="FF808080"/>
      <name val="Arial"/>
      <family val="2"/>
    </font>
    <font>
      <b/>
      <sz val="10"/>
      <color rgb="FF333333"/>
      <name val="Arial"/>
      <family val="2"/>
    </font>
    <font>
      <sz val="10"/>
      <color rgb="FF1F1F1F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9"/>
      <name val="Arial"/>
      <family val="2"/>
    </font>
    <font>
      <sz val="10"/>
      <color theme="9" tint="-0.249977111117893"/>
      <name val="Arial"/>
      <family val="2"/>
    </font>
    <font>
      <sz val="10"/>
      <color rgb="FF434343"/>
      <name val="Arial"/>
      <family val="2"/>
    </font>
    <font>
      <u/>
      <sz val="10"/>
      <color rgb="FFFF0000"/>
      <name val="Arial"/>
      <family val="2"/>
    </font>
    <font>
      <sz val="10"/>
      <color rgb="FF202124"/>
      <name val="Arial"/>
      <family val="2"/>
    </font>
    <font>
      <sz val="10"/>
      <color rgb="FF474747"/>
      <name val="Arial"/>
      <family val="2"/>
    </font>
    <font>
      <sz val="10"/>
      <color rgb="FF11111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i/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theme="1"/>
      <name val="Times New Roman"/>
      <family val="1"/>
    </font>
    <font>
      <sz val="8"/>
      <color theme="9"/>
      <name val="Times New Roman"/>
      <family val="1"/>
    </font>
    <font>
      <sz val="8"/>
      <color theme="0"/>
      <name val="Times New Roman"/>
      <family val="1"/>
    </font>
    <font>
      <sz val="8"/>
      <color theme="0"/>
      <name val="Times New Roman"/>
      <family val="1"/>
    </font>
    <font>
      <sz val="10"/>
      <color theme="1"/>
      <name val="Arial"/>
    </font>
    <font>
      <sz val="8"/>
      <color theme="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0B539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8C352D"/>
      </right>
      <top style="medium">
        <color rgb="FFF8F9FA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7" fillId="0" borderId="0" xfId="0" applyFont="1"/>
    <xf numFmtId="0" fontId="8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9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/>
    <xf numFmtId="0" fontId="7" fillId="0" borderId="0" xfId="0" applyFont="1" applyAlignment="1">
      <alignment horizontal="left"/>
    </xf>
    <xf numFmtId="0" fontId="10" fillId="0" borderId="0" xfId="1" applyFont="1"/>
    <xf numFmtId="0" fontId="7" fillId="0" borderId="0" xfId="1" applyFont="1" applyAlignment="1">
      <alignment horizontal="center"/>
    </xf>
    <xf numFmtId="0" fontId="11" fillId="0" borderId="0" xfId="0" applyFont="1"/>
    <xf numFmtId="0" fontId="12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1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7" fillId="0" borderId="0" xfId="1" applyFont="1"/>
    <xf numFmtId="0" fontId="13" fillId="0" borderId="0" xfId="0" applyFont="1"/>
    <xf numFmtId="49" fontId="13" fillId="0" borderId="0" xfId="0" applyNumberFormat="1" applyFont="1"/>
    <xf numFmtId="0" fontId="18" fillId="0" borderId="0" xfId="1" applyFont="1"/>
    <xf numFmtId="0" fontId="19" fillId="0" borderId="0" xfId="0" applyFont="1" applyAlignment="1">
      <alignment horizontal="center"/>
    </xf>
    <xf numFmtId="0" fontId="10" fillId="0" borderId="0" xfId="1" applyFont="1" applyFill="1"/>
    <xf numFmtId="0" fontId="7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2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0" fillId="0" borderId="0" xfId="1" applyFont="1" applyAlignment="1">
      <alignment horizontal="center"/>
    </xf>
    <xf numFmtId="0" fontId="24" fillId="0" borderId="0" xfId="1" applyFont="1"/>
    <xf numFmtId="0" fontId="8" fillId="0" borderId="0" xfId="1" applyFont="1" applyAlignment="1">
      <alignment horizontal="center"/>
    </xf>
    <xf numFmtId="0" fontId="7" fillId="3" borderId="0" xfId="0" applyFont="1" applyFill="1"/>
    <xf numFmtId="0" fontId="7" fillId="0" borderId="0" xfId="1" applyFont="1" applyFill="1"/>
    <xf numFmtId="49" fontId="7" fillId="0" borderId="0" xfId="0" applyNumberFormat="1" applyFont="1" applyAlignment="1">
      <alignment horizontal="justify" vertical="center"/>
    </xf>
    <xf numFmtId="49" fontId="13" fillId="0" borderId="0" xfId="0" applyNumberFormat="1" applyFont="1" applyAlignment="1">
      <alignment horizontal="justify" vertical="center"/>
    </xf>
    <xf numFmtId="0" fontId="13" fillId="0" borderId="0" xfId="1" applyFont="1"/>
    <xf numFmtId="0" fontId="13" fillId="0" borderId="0" xfId="1" applyFont="1" applyAlignment="1">
      <alignment horizontal="right"/>
    </xf>
    <xf numFmtId="0" fontId="13" fillId="0" borderId="0" xfId="0" applyFont="1" applyAlignment="1">
      <alignment horizontal="right"/>
    </xf>
    <xf numFmtId="49" fontId="7" fillId="0" borderId="0" xfId="0" applyNumberFormat="1" applyFont="1" applyAlignment="1">
      <alignment horizontal="left" vertical="center"/>
    </xf>
    <xf numFmtId="0" fontId="7" fillId="5" borderId="0" xfId="0" applyFont="1" applyFill="1"/>
    <xf numFmtId="49" fontId="7" fillId="0" borderId="0" xfId="0" applyNumberFormat="1" applyFont="1" applyAlignment="1">
      <alignment wrapText="1"/>
    </xf>
    <xf numFmtId="0" fontId="7" fillId="0" borderId="0" xfId="0" applyFont="1" applyAlignment="1">
      <alignment vertical="top"/>
    </xf>
    <xf numFmtId="0" fontId="10" fillId="0" borderId="0" xfId="1" applyFont="1" applyAlignment="1"/>
    <xf numFmtId="0" fontId="7" fillId="0" borderId="0" xfId="0" applyFont="1" applyAlignment="1">
      <alignment horizontal="left" vertical="center"/>
    </xf>
    <xf numFmtId="0" fontId="7" fillId="4" borderId="0" xfId="0" applyFont="1" applyFill="1"/>
    <xf numFmtId="0" fontId="7" fillId="0" borderId="0" xfId="1" applyFont="1" applyFill="1" applyAlignment="1">
      <alignment horizontal="center"/>
    </xf>
    <xf numFmtId="3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1" applyFont="1" applyAlignment="1"/>
    <xf numFmtId="3" fontId="7" fillId="0" borderId="0" xfId="0" applyNumberFormat="1" applyFont="1"/>
    <xf numFmtId="0" fontId="19" fillId="0" borderId="0" xfId="0" applyFont="1"/>
    <xf numFmtId="0" fontId="25" fillId="0" borderId="0" xfId="0" applyFont="1"/>
    <xf numFmtId="0" fontId="27" fillId="0" borderId="0" xfId="0" applyFont="1"/>
    <xf numFmtId="0" fontId="7" fillId="6" borderId="0" xfId="0" applyFont="1" applyFill="1"/>
    <xf numFmtId="49" fontId="10" fillId="0" borderId="0" xfId="1" applyNumberFormat="1" applyFont="1"/>
    <xf numFmtId="0" fontId="3" fillId="0" borderId="0" xfId="1"/>
    <xf numFmtId="17" fontId="9" fillId="0" borderId="0" xfId="0" applyNumberFormat="1" applyFont="1"/>
    <xf numFmtId="0" fontId="3" fillId="0" borderId="0" xfId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  <xf numFmtId="49" fontId="8" fillId="0" borderId="0" xfId="0" applyNumberFormat="1" applyFont="1"/>
    <xf numFmtId="0" fontId="28" fillId="0" borderId="0" xfId="0" applyFont="1"/>
    <xf numFmtId="0" fontId="29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horizontal="left"/>
    </xf>
    <xf numFmtId="0" fontId="29" fillId="0" borderId="0" xfId="1" applyFont="1"/>
    <xf numFmtId="0" fontId="29" fillId="0" borderId="0" xfId="1" applyFont="1" applyAlignment="1">
      <alignment horizontal="center"/>
    </xf>
    <xf numFmtId="3" fontId="29" fillId="0" borderId="0" xfId="0" applyNumberFormat="1" applyFont="1"/>
    <xf numFmtId="3" fontId="29" fillId="0" borderId="0" xfId="1" applyNumberFormat="1" applyFont="1" applyAlignment="1">
      <alignment horizontal="center"/>
    </xf>
    <xf numFmtId="0" fontId="29" fillId="0" borderId="0" xfId="1" applyFont="1" applyBorder="1" applyAlignment="1">
      <alignment horizontal="center"/>
    </xf>
    <xf numFmtId="0" fontId="3" fillId="0" borderId="0" xfId="1" applyBorder="1"/>
    <xf numFmtId="0" fontId="3" fillId="0" borderId="0" xfId="1" applyAlignment="1">
      <alignment wrapText="1"/>
    </xf>
    <xf numFmtId="17" fontId="12" fillId="0" borderId="0" xfId="0" applyNumberFormat="1" applyFont="1"/>
    <xf numFmtId="0" fontId="30" fillId="0" borderId="0" xfId="0" applyFont="1" applyAlignment="1">
      <alignment horizontal="center"/>
    </xf>
    <xf numFmtId="14" fontId="30" fillId="0" borderId="0" xfId="0" applyNumberFormat="1" applyFont="1" applyAlignment="1">
      <alignment horizontal="center"/>
    </xf>
    <xf numFmtId="0" fontId="30" fillId="0" borderId="0" xfId="0" applyFont="1"/>
    <xf numFmtId="49" fontId="30" fillId="0" borderId="0" xfId="0" applyNumberFormat="1" applyFont="1"/>
    <xf numFmtId="0" fontId="30" fillId="0" borderId="0" xfId="1" applyFont="1"/>
    <xf numFmtId="0" fontId="30" fillId="0" borderId="0" xfId="1" applyFont="1" applyAlignment="1">
      <alignment horizontal="center"/>
    </xf>
    <xf numFmtId="0" fontId="31" fillId="0" borderId="0" xfId="0" applyFont="1"/>
    <xf numFmtId="14" fontId="7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3" fillId="8" borderId="9" xfId="0" applyFont="1" applyFill="1" applyBorder="1" applyAlignment="1">
      <alignment horizontal="center" vertical="center" wrapText="1"/>
    </xf>
    <xf numFmtId="0" fontId="34" fillId="9" borderId="9" xfId="0" applyFont="1" applyFill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49" fontId="30" fillId="0" borderId="0" xfId="0" applyNumberFormat="1" applyFont="1" applyAlignment="1">
      <alignment horizontal="center"/>
    </xf>
    <xf numFmtId="49" fontId="26" fillId="0" borderId="0" xfId="0" applyNumberFormat="1" applyFont="1"/>
    <xf numFmtId="49" fontId="8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7" fillId="0" borderId="0" xfId="0" applyNumberFormat="1" applyFont="1" applyAlignment="1">
      <alignment horizontal="center"/>
    </xf>
    <xf numFmtId="49" fontId="20" fillId="0" borderId="0" xfId="0" applyNumberFormat="1" applyFont="1"/>
    <xf numFmtId="49" fontId="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center" vertical="center" wrapText="1"/>
    </xf>
    <xf numFmtId="0" fontId="10" fillId="0" borderId="0" xfId="1" applyFont="1" applyBorder="1"/>
    <xf numFmtId="0" fontId="28" fillId="0" borderId="10" xfId="0" applyFont="1" applyBorder="1" applyAlignment="1">
      <alignment horizontal="right" vertical="center" wrapText="1"/>
    </xf>
    <xf numFmtId="0" fontId="36" fillId="0" borderId="0" xfId="0" applyFont="1"/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39" fillId="2" borderId="0" xfId="0" applyFont="1" applyFill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23" fillId="7" borderId="7" xfId="0" applyFont="1" applyFill="1" applyBorder="1" applyAlignment="1">
      <alignment vertical="center" wrapText="1"/>
    </xf>
    <xf numFmtId="0" fontId="3" fillId="7" borderId="8" xfId="1" applyFill="1" applyBorder="1" applyAlignment="1">
      <alignment vertical="center" wrapText="1"/>
    </xf>
    <xf numFmtId="0" fontId="4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0" fillId="0" borderId="4" xfId="0" applyBorder="1"/>
    <xf numFmtId="0" fontId="7" fillId="0" borderId="5" xfId="0" applyFont="1" applyBorder="1"/>
    <xf numFmtId="0" fontId="7" fillId="0" borderId="6" xfId="0" applyFont="1" applyBorder="1"/>
    <xf numFmtId="0" fontId="4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43" fillId="0" borderId="0" xfId="0" applyFont="1"/>
    <xf numFmtId="49" fontId="43" fillId="0" borderId="0" xfId="0" applyNumberFormat="1" applyFont="1"/>
    <xf numFmtId="49" fontId="43" fillId="0" borderId="0" xfId="0" applyNumberFormat="1" applyFont="1" applyAlignment="1">
      <alignment horizontal="center"/>
    </xf>
    <xf numFmtId="0" fontId="43" fillId="0" borderId="0" xfId="1" applyFont="1"/>
    <xf numFmtId="0" fontId="43" fillId="0" borderId="0" xfId="1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43" fillId="0" borderId="0" xfId="0" applyNumberFormat="1" applyFont="1" applyAlignment="1">
      <alignment horizontal="center"/>
    </xf>
  </cellXfs>
  <cellStyles count="2">
    <cellStyle name="Hiperlink" xfId="1" builtinId="8"/>
    <cellStyle name="Normal" xfId="0" builtinId="0"/>
  </cellStyles>
  <dxfs count="29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strike val="0"/>
        <outline val="0"/>
        <shadow val="0"/>
        <u val="none"/>
        <vertAlign val="baseline"/>
        <sz val="8"/>
        <color theme="0"/>
        <name val="Times New Roman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9" defaultPivotStyle="PivotStyleLight16"/>
  <colors>
    <mruColors>
      <color rgb="FFFF9933"/>
      <color rgb="FFFF6600"/>
      <color rgb="FFFF990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121882</xdr:colOff>
      <xdr:row>0</xdr:row>
      <xdr:rowOff>0</xdr:rowOff>
    </xdr:from>
    <xdr:to>
      <xdr:col>1</xdr:col>
      <xdr:colOff>380317</xdr:colOff>
      <xdr:row>0</xdr:row>
      <xdr:rowOff>654189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D2B41B-19C1-0389-7960-310BB70B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82" y="0"/>
          <a:ext cx="872268" cy="654189"/>
        </a:xfrm>
        <a:prstGeom prst="rect">
          <a:avLst/>
        </a:prstGeom>
      </xdr:spPr>
    </xdr:pic>
    <xdr:clientData/>
  </xdr:twoCellAnchor>
  <xdr:twoCellAnchor editAs="oneCell">
    <xdr:from>
      <xdr:col>3</xdr:col>
      <xdr:colOff>654258</xdr:colOff>
      <xdr:row>0</xdr:row>
      <xdr:rowOff>21167</xdr:rowOff>
    </xdr:from>
    <xdr:to>
      <xdr:col>4</xdr:col>
      <xdr:colOff>477069</xdr:colOff>
      <xdr:row>0</xdr:row>
      <xdr:rowOff>675356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5A4D518-9434-4E31-B61F-562CB162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0675" y="21167"/>
          <a:ext cx="870561" cy="65418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075.398356365738" createdVersion="3" refreshedVersion="3" minRefreshableVersion="3" recordCount="423" xr:uid="{00000000-000A-0000-FFFF-FFFF01000000}">
  <cacheSource type="worksheet">
    <worksheetSource ref="A2:R683" sheet="Base de Dados"/>
  </cacheSource>
  <cacheFields count="14">
    <cacheField name="REGISTRO" numFmtId="0">
      <sharedItems count="390">
        <s v="001/12"/>
        <s v="002/12"/>
        <s v="003/12"/>
        <s v="004/13"/>
        <s v="005/13"/>
        <s v="006/13"/>
        <s v="007/13"/>
        <s v="008/13"/>
        <s v="009/13"/>
        <s v="0010/13"/>
        <s v="0011/14"/>
        <s v="0012/14"/>
        <s v="0013/14"/>
        <s v="0014/14"/>
        <s v="015.1/14"/>
        <s v="015.2/14"/>
        <s v="0016/14"/>
        <s v="0017/14"/>
        <s v="0018/14"/>
        <s v="0019/14"/>
        <s v="0020.1/14"/>
        <s v="0020.2/14"/>
        <s v="0020.3/14"/>
        <s v="0020.4/14"/>
        <s v="0021/14"/>
        <s v="0022/14"/>
        <s v="0023/14"/>
        <s v="0024/15"/>
        <s v="0025/15"/>
        <s v="0026/15"/>
        <s v="0027/15"/>
        <s v="0028/15"/>
        <s v="0029/15"/>
        <s v="0030/15"/>
        <s v="0031/15"/>
        <s v="0032/15"/>
        <s v="0033/15"/>
        <s v="0034/15"/>
        <s v="0035/15"/>
        <s v="0036/15"/>
        <s v="0037/15"/>
        <s v="0038/15"/>
        <s v="0039/15"/>
        <s v="0040/15"/>
        <s v="0041/15"/>
        <s v="0042/15"/>
        <s v="0043/15"/>
        <s v="0044/15"/>
        <s v="0045/15"/>
        <s v="0046/15"/>
        <s v="0047/15"/>
        <s v="0048/15"/>
        <s v="0049/15"/>
        <s v="0050/15"/>
        <s v="0051/15"/>
        <s v="0052/15"/>
        <s v="0053/15"/>
        <s v="0054/15"/>
        <s v="0055/15"/>
        <s v="0056/15"/>
        <s v="0057/15"/>
        <s v="0058/15"/>
        <s v="0059/15"/>
        <s v="0060/15"/>
        <s v="0061/15"/>
        <s v="0062/15"/>
        <s v="0063/15"/>
        <s v="0064/15"/>
        <s v="0065/15"/>
        <s v="0066/15"/>
        <s v="0067/15"/>
        <s v="0068/15"/>
        <s v="0069/15"/>
        <s v="0070/15"/>
        <s v="0071/15"/>
        <s v="0072/15"/>
        <s v="0073/15"/>
        <s v="0074/16"/>
        <s v="0075/16"/>
        <s v="0076/16"/>
        <s v="0077/16"/>
        <s v="0078/16"/>
        <s v="0079/16"/>
        <s v="0080/16"/>
        <s v="0081/16"/>
        <s v="0082/16"/>
        <s v="0083/16"/>
        <s v="0084/16"/>
        <s v="0085/16"/>
        <s v="0086/16"/>
        <s v="0087/16"/>
        <s v="0088/16"/>
        <s v="0089/16"/>
        <s v="0090/16"/>
        <s v="0091/16"/>
        <s v="0092/16"/>
        <s v="093.1/16"/>
        <s v="093.2/16"/>
        <s v="093.3/16"/>
        <s v="094/16"/>
        <s v="0095/16"/>
        <s v="0096/16"/>
        <s v="0097/16"/>
        <s v="0098/16"/>
        <s v="0099/16"/>
        <s v="0100/16"/>
        <s v="0101/16"/>
        <s v="0102/16"/>
        <s v="0103/16"/>
        <s v="0104.2/16"/>
        <s v="0104.1/16"/>
        <s v="0105/16"/>
        <s v="0106.1/16"/>
        <s v="0106.2/16"/>
        <s v="0107/16"/>
        <s v="0108/16"/>
        <s v="0109/16"/>
        <s v="0110/16"/>
        <s v="0111/16"/>
        <s v="0112/16"/>
        <s v="0113/17"/>
        <s v="0114/17"/>
        <s v="0115/17"/>
        <s v="0116/17"/>
        <s v="0117/17"/>
        <s v="0118/17"/>
        <s v="0119/17"/>
        <s v="0120/17"/>
        <s v="0121/17"/>
        <s v="0122/17"/>
        <s v="0123/17"/>
        <s v="0124/17"/>
        <s v="0125/17"/>
        <s v="0126/17"/>
        <s v="0127/17"/>
        <s v="0128/17"/>
        <s v="0129/17"/>
        <s v="0130/17"/>
        <s v="0131/17"/>
        <s v="0132/17"/>
        <s v="0133/17"/>
        <s v="0134/17"/>
        <s v="0135/17"/>
        <s v="0136/17"/>
        <s v="0137/17"/>
        <s v="0138/17"/>
        <s v="0139/17"/>
        <s v="0140/17"/>
        <s v="0141/17"/>
        <s v="0142/17"/>
        <s v="0143/17"/>
        <s v="0144/17"/>
        <s v="0145/17"/>
        <s v="0146/17"/>
        <s v="0147/17"/>
        <s v="0148/17"/>
        <s v="0149/17"/>
        <s v="0150/17"/>
        <s v="0151/17"/>
        <s v="0152/17"/>
        <s v="0153/17"/>
        <s v="0154/17"/>
        <s v="0155/17"/>
        <s v="0156/17"/>
        <s v="0156.2/17"/>
        <s v="0157/17"/>
        <s v="0158/17"/>
        <s v="0159/17"/>
        <s v="0160/17"/>
        <s v="0161/17"/>
        <s v="0162/17"/>
        <s v="0163/17"/>
        <s v="0164/17"/>
        <s v="0165/17"/>
        <s v="0166/17"/>
        <s v="0167/17"/>
        <s v="0168/17"/>
        <s v="0169/17"/>
        <s v="0170/17"/>
        <s v="0171/17"/>
        <s v="0172/17"/>
        <s v="0173/17"/>
        <s v="0174/17"/>
        <s v="0175/17"/>
        <s v="076/17"/>
        <s v="0177/17"/>
        <s v="0178/17"/>
        <s v="0179/17"/>
        <s v="0180/17"/>
        <s v="0181/17"/>
        <s v="0182/17"/>
        <s v="0183/17"/>
        <s v="0184/17"/>
        <s v="0185/17"/>
        <s v="0186/17"/>
        <s v="0187/17"/>
        <s v="0188/17"/>
        <s v="0189/17"/>
        <s v="0190/17"/>
        <s v="0191/17"/>
        <s v="0192/17"/>
        <s v="0193/17"/>
        <s v="0194/17 "/>
        <s v="0195/17"/>
        <s v="0196/17"/>
        <s v="0197/17"/>
        <s v="0198/17"/>
        <s v="0199/17"/>
        <s v="0200/17"/>
        <s v="0201/17"/>
        <s v="0202/17"/>
        <s v="0203/17"/>
        <s v="0204/17"/>
        <s v="0205/18"/>
        <s v="206/18"/>
        <s v="207/18"/>
        <s v="208/18"/>
        <s v="209/18"/>
        <s v="210/18"/>
        <s v="211/18"/>
        <s v="212.1/18"/>
        <s v="212.2/18"/>
        <s v="213/18"/>
        <s v="214/18"/>
        <s v="215/18"/>
        <s v="216/18"/>
        <s v="217/18"/>
        <s v="218/18"/>
        <s v="219/18"/>
        <s v="220/18"/>
        <s v="221/18"/>
        <s v="222/18"/>
        <s v="223/18"/>
        <s v="224/18"/>
        <s v="225/18"/>
        <s v="226/18"/>
        <s v="227/18"/>
        <s v="228/18"/>
        <s v="229/18"/>
        <s v="230/18"/>
        <s v="231/18"/>
        <s v="232/18"/>
        <s v="233/18"/>
        <s v="234/18"/>
        <s v="235/18"/>
        <s v="236/18"/>
        <s v="237/18"/>
        <s v="238/18"/>
        <s v="239/18"/>
        <s v="240/18"/>
        <s v="241/18"/>
        <s v="242/18"/>
        <s v="243/18"/>
        <s v="244/18"/>
        <s v="245/18"/>
        <s v="246/18"/>
        <s v="247.1/18"/>
        <s v="247.2/18"/>
        <s v="247.3/18"/>
        <s v="247.4/18"/>
        <s v="248/18"/>
        <s v="249/18"/>
        <s v="250/18"/>
        <s v="251/18"/>
        <s v="252/18"/>
        <s v="253/18"/>
        <s v="254/18"/>
        <s v="255/18"/>
        <s v="256/18"/>
        <s v="257/18"/>
        <s v="258/18"/>
        <s v="259/19"/>
        <s v="260/19"/>
        <s v="261/19"/>
        <s v="262/19"/>
        <s v="263/19"/>
        <s v="264/19"/>
        <s v="265/19"/>
        <s v="266/19"/>
        <s v="267/19"/>
        <s v="268/19"/>
        <s v="269/19"/>
        <s v="270/19"/>
        <s v="271/19"/>
        <s v="272/19"/>
        <s v="273/19"/>
        <s v="274/19"/>
        <s v="275/19"/>
        <s v="276/19"/>
        <s v="277/19"/>
        <s v="278/19"/>
        <s v="279/19"/>
        <s v="280/19"/>
        <s v="281/19"/>
        <s v="282/19"/>
        <s v="283/19"/>
        <s v="284/19"/>
        <s v="285/19"/>
        <s v="286/19"/>
        <s v="287/19"/>
        <s v="288/19"/>
        <s v="289/19"/>
        <s v="290/19"/>
        <s v="291/19"/>
        <s v="292/19"/>
        <s v="293/19"/>
        <s v="294/19"/>
        <s v="295/19"/>
        <s v="296/19"/>
        <s v="297/19"/>
        <s v="298/19"/>
        <s v="299/19"/>
        <s v="300/19"/>
        <s v="301/19"/>
        <s v="302/19"/>
        <s v="303/19"/>
        <s v="304/19"/>
        <s v="305/19"/>
        <s v="306/19"/>
        <s v="307/19"/>
        <s v="308/19"/>
        <s v="309/19"/>
        <s v="310/19"/>
        <s v="311/19"/>
        <s v="312/19"/>
        <s v="313/19"/>
        <s v="314.1/19"/>
        <s v="314.2/19"/>
        <s v="315/19"/>
        <s v="316/19"/>
        <s v="317/19"/>
        <s v="318/19"/>
        <s v="319/19"/>
        <s v="320.1/19"/>
        <s v="320.2/19"/>
        <s v="321/19"/>
        <s v="322/19"/>
        <s v="323/19"/>
        <s v="324/19"/>
        <s v="325/19"/>
        <s v="326/19"/>
        <s v="327/19"/>
        <s v="328/19"/>
        <s v="329/19"/>
        <s v="330/19"/>
        <s v="331/19"/>
        <s v="332/19"/>
        <s v="333.1/19"/>
        <s v="333.2/19"/>
        <s v="334/19"/>
        <s v="335/19"/>
        <s v="336/19"/>
        <s v="337/19"/>
        <s v="338/19"/>
        <s v="339/19"/>
        <s v="340/19"/>
        <s v="341/19"/>
        <s v="342/19"/>
        <s v="343/19"/>
        <s v="344/19"/>
        <s v="345/19"/>
        <s v="346/19"/>
        <s v="347/19"/>
        <s v="348/19"/>
        <s v="349/19"/>
        <s v="350/19"/>
        <s v="351/19"/>
        <s v="352/19"/>
        <s v="353/19"/>
        <s v="354/19"/>
        <s v="355/19"/>
        <s v="356/19"/>
        <s v="357/20"/>
        <s v="358/20"/>
        <s v="359/20"/>
        <s v="360/20"/>
        <s v="361/20"/>
        <s v="362/20"/>
        <s v="363/20"/>
        <s v="364/20"/>
        <s v="365/20"/>
        <s v="366/20"/>
        <s v="367/20"/>
        <s v="368.1/20"/>
        <s v="368.2/20"/>
        <s v="369.1/20"/>
        <s v="369.2/20"/>
        <s v="370/20"/>
        <s v="371/20"/>
        <s v="372/20"/>
      </sharedItems>
    </cacheField>
    <cacheField name="VALIDADE" numFmtId="0">
      <sharedItems containsBlank="1"/>
    </cacheField>
    <cacheField name="VIGÊNCIA" numFmtId="14">
      <sharedItems containsNonDate="0" containsDate="1" containsString="0" containsBlank="1" minDate="2016-04-11T00:00:00" maxDate="2024-02-19T00:00:00"/>
    </cacheField>
    <cacheField name="MODALIDADE" numFmtId="0">
      <sharedItems containsBlank="1" count="4">
        <s v="Sem Fins Lucrativos"/>
        <s v="Particular"/>
        <s v="SEM EFEITO"/>
        <m/>
      </sharedItems>
    </cacheField>
    <cacheField name="NOME INSTITUCIONAL" numFmtId="0">
      <sharedItems count="376">
        <s v="Associação Santo Agostinho - ASA. "/>
        <s v="Associação dos Familiares e Amigos dos Idosos - AFAI"/>
        <s v="Associação Franciscana de Solidariedade - SEFRAS"/>
        <s v="Sociedade Beneficente Equilibrio de Interlagos - SOBEI"/>
        <s v="Instituto Social, Educativo e Beneficente Novo Signo"/>
        <s v="Pensão New Heaven Ltda."/>
        <s v="Associação de Assistência a criança deficiênte"/>
        <s v="Casa de repouso recanto das Araucárias S/C LTDA-ME"/>
        <s v="Centro de Promoção Humana Lar Vicentino"/>
        <s v="UNIGER - Unidade de Internação Geriátrica LTDA"/>
        <s v="Sindicato Nacional dos Aposentados, Pensionistas e Idosos da Força Sindical"/>
        <s v="Casa de Repouso para Idosos Residencial Harmonia LTDA. -  Unidade I"/>
        <s v="Casa de Repouso para Idosos Residencial Harmonia LTDA. Unidade II (FILIAL)"/>
        <s v="Recanto do Idoso Anhanguera LTDA - ME"/>
        <s v="Solar Primavera S/S LTDA - ME"/>
        <s v="Marlene de Fátima Mendes - EPP / Casa de Repouso Pôr do Sol"/>
        <s v="Marlene de Fátima Mendes - EPP / Residencial Elite (FILIAL)"/>
        <s v="Alvorada Nova Casa de Repouso LTDA - ME"/>
        <s v="Residencial Alto da Boa Vista para Idosos LTDA - ME"/>
        <s v="Unidade Gerontológica Ferreira LTDA - ME - Unidade I"/>
        <s v="Unidade Gerontológica Ferreira LTDA - ME - Unidade II (FILIAL)"/>
        <s v="Casa de Repouso Luz da Manhã SS LTDA - ME"/>
        <s v="CROPH - Coordenação Regional de Obras de Promoção Humana"/>
        <s v="Associação Nipo-Brasileira de Assistência Social - Enkyo"/>
        <s v="Reluz Hospedagem para Idosos LTDA_x000a_Antigo: Renata Lucas Giosa Hospedagem para Idosos - ME"/>
        <s v="Instituto Brasileiro Filhas de São Camilo"/>
        <s v="Casa de Repouso Ana Nery LTDA - ME"/>
        <s v="Associação Beneficente de Amparo ao Idoso Carente Caminho da Vida"/>
        <s v="Associação Beneficente Mercedária Santo Antônio"/>
        <s v="Residencial Perdizes LTDA - ME"/>
        <s v="Bem Viver Instituição de Longa Permanência para Idosos LTDA-EPP"/>
        <s v="Casa de Repouso Vila Lobos LTDA-ME"/>
        <s v="Sociedade Beneficente Alemã"/>
        <s v="FEDERAÇÃO ESPÍRITA DO ESTADO DE SÃO PAULO"/>
        <s v="E DA SILVA E PENSIONATO - ME"/>
        <s v="RESIDENCIAL SÊNIOR LTDA."/>
        <s v="CASA DE REPOUSO PRÓ-VITA S/A"/>
        <s v="ASSISTÊNCIA VICENTINA DE VILA MASCOTE – LAR PADRE VICENTE MELILLO"/>
        <s v="CASA DE REPOUSO RECANTO DA TERCEIRA IDADE S/S LTDA-ME"/>
        <s v="ASSOCIAÇÃO GER-AÇÕES"/>
        <s v="VIVACE RESIDENCIAL PARA IDOSOS LTDA."/>
        <s v="QUALITÁ ASSISTÊNCIA A SAÚDE LTDA–ME"/>
        <s v="CASA DE REPOUSO MOOCA SANTA MADALENA LTDA – EPP"/>
        <s v="VILLA DEL POZO INSTITUIÇÃO DE LONGA PERMANÊNCIA PARA IDOSOS LTDA-EPP"/>
        <s v="VIVERE RESIDENCIAL PARA IDOSOS LTDA."/>
        <s v="RESIDÊNCIA DE REPOUSO SAYED LTDA ME Antiga:CASA DE REPOUSO SAYED LTDA–ME"/>
        <s v="CASA DE REPOUSO MODELO LTDA-ME"/>
        <s v="ASSOCIAÇÃO BENEFICENTE A MÃO BRANCA DE AMPARO AOS IDOSOS"/>
        <s v="INSTITUTO VERTER"/>
        <s v="CASA VIDA – MORADIA ASSISTIDA PARA IDOSOS LTDA-ME"/>
        <s v="GRUPO DE ARTICULAÇÃO PARA A CONQUISTA DA MORADIA PARA O IDOSO DA CAPITAL"/>
        <s v="CASA DE REPOUSO CASA VITA LTDA–ME"/>
        <s v="MM. MARPE CASA DE REPOUSO LTDA–ME"/>
        <s v="RESIDENCIAL GERIÁTRICA ITACOLOMY EIRELI – ME"/>
        <s v="CASA DE REPOUSO E HOSPEDAGEM GERIÁTRICA MANANCIAL LTDA-ME"/>
        <s v="GERDIELLE TAMIRES DA CONCEIÇÃO SILVA – ME"/>
        <s v="PENSIONATO DA VOVÓ NENA – LTDA-ME"/>
        <s v="CASA DO IDOSO FELIZ IDADE LTDA – ME "/>
        <s v="CONSULTÓRIO MÉDICO CASA GERIÁTRICA SILVEIRA E PEREIRA S/S LTDA-ME"/>
        <s v="MORADIA ASSISTIDA PARA IDOSOS SÃO GUALTER LTDA-EPP "/>
        <s v="CASA DE REPOUSO MORADA DO SOL LTDA - EPP"/>
        <s v="CASA DE REPOUSO HIGIENÓPOLIS LTDA - EPP"/>
        <s v="SOLAR DA MATRIZ REPOUSO PARA IDOSOS S/S LTDA–ME"/>
        <s v="RESIDENCIAL AQUARIUS LTDA–ME"/>
        <s v="JOÃO PAULO KULESZA–ME"/>
        <s v="CASA DE REPOUSO NEW LIFE LTDA–ME"/>
        <s v="C.I.A.I. – CENTRO INTEGRADO DE ATENDIMENTO AO IDOSO LTDA-EPP"/>
        <s v="ASSOCIAÇÃO SUL BRASILEIRA DE EDUCAÇÃO E ASSISTÊNCIA SOCIAL – ASBEAS"/>
        <s v="RESIDENCIAL VILA HARMONIA LTDA - ME"/>
        <s v="COMUNIDADE NOVO PENTECOSTES"/>
        <s v="RESIDENCIAL SANTA ISABEL S/S LTDA - ME"/>
        <s v="FUNDAÇÃO NOSSA SENHORA AUXILIADORA DO IPIRANGA FUNSAI"/>
        <s v="EVANDRO GATHAS - ME"/>
        <s v="PREVENT SENIOR PRIVATE OPERADORA DE SAÚDE LTDA"/>
        <s v="ELIZABETH MENDONÇAS - ME"/>
        <s v="CASA DE REPOUSO BELA IDADE – EIRELLI - ME"/>
        <s v="CASA DE REPOUSO ATHENNA EIRELLI - EPP"/>
        <s v="HADAIANE GOMES GOULART - EPP"/>
        <s v="BETEL - PENSIONATO PARA IDOSOS S/S LTDA"/>
        <s v="GRUPO BENEFICENTE DIVINO AMIGO"/>
        <s v="CASA DE REPOUSO LAR IRMÃ ROSAURA LTDA - ME"/>
        <s v="NOSSA CASA RESIDENCIAL PARA IDOSOS LTDA – ME"/>
        <s v="ASSOCIAÇÃO UNIÃO DA JUTA"/>
        <s v="CASA DE REPOUSO CANTINHO DA VILA LTDA – ME"/>
        <s v="CESTARI E SILVEIRA PEREIRA CLÍNICA MÉDICA LTDA - ME"/>
        <s v="CASA DE REPOUSO RECANTO DOS IDOSOS SÃO JOSÉ LTDA - ME "/>
        <s v="ASILO RESIDENCIAL SOL NASCENTE EIRELI- ME"/>
        <s v="CASA DE REPOUSO BELLICA LTDA. - ME"/>
        <s v="FLOR DE LIZ CLINICA DE LONGA PERMANENCIA LTDA - EPP"/>
        <s v="FELICITÁ RESIDENCIAL PARA IDOSOS LTDA - ME"/>
        <s v="LAREIRA LAR IDEAL PARA SENHORAS PENSIONATO LTDA - ME"/>
        <s v="PRORESIDENCE CASA DE REPOUSO LTDA - ME"/>
        <s v="CASA DE REPOUSO E HOSPEDARIA MORADA DO SOL LTDA - ME"/>
        <s v="JARDIM DA MATURIDADE CHEN DE CHRISTO LTDA  "/>
        <s v="NURSE’S LIFE CUIDADORES LEGAIS LTDA - ME"/>
        <s v="ALTRUDA &amp; CABRAL CASA DE REPOUSO LTDA - ME  "/>
        <s v="ASSOCIAÇÃO CONGREGAÇÃO DE SANTA CATARINA  "/>
        <s v="CASA DE REPOUSO LUZ &amp; VIDA LTDA – ME   "/>
        <s v="GAIA GRUPO DE ASSISTÊNCIA AO IDOSO À INFÂNCIA E A ADOLESCÊNCIA   "/>
        <s v="ASSOCIAÇÃO ALIANÇA DE MISERICÓRDIA"/>
        <s v="EDER SANTOS DE SOUZA - ME"/>
        <s v="CLÍNICA DE REPOUSO ESTÂNCIA DA CANTAREIRA LTDA - EPP"/>
        <s v="BENDIAPA INSTITUIÇÃO DE LONGA PERMANÊNCIA PARA IDOSO LTDA - ME"/>
        <s v="INSTITUTO PRÓ+VIDA SÃO SEBASTIÃO "/>
        <s v="OBRA SOCIAL DOM BOSCO "/>
        <s v="HOSPEDARIA AMOR FRATERNAL LDTA - ME "/>
        <s v="SERVIÇOS ASSISTENCIAIS SENHOR BOM JESUS DOS PASSOS "/>
        <s v="CASA DE REPOUSO RENASCER NA 3ª IDADE LTDA - ME"/>
        <s v="SOCIEDADE DE ENSINO PROFISSIONAL E ASSISTÊNCIA SOCIAL - SEPAS"/>
        <s v="Lar Santa Isabel da Hungria LTDA_x000a_Antigo: ASSOCIAÇÃO BENEFICENTE 30 DE SETEMBRO"/>
        <s v="JC NIZA DE ARAÚJO REPOUSO PARA IDOSOS - ME"/>
        <s v="ASSOCIAÇÃO EVANGÉLICA BENEFICENTE"/>
        <s v="RESIDENCIAL VIDA PLENA LTDA - ME"/>
        <s v="VIDA HOME CARE PRESTAÇÃO DE SERVIÇO EM SAÚDE DOMICILIAR LTDA"/>
        <s v="CASA DE REPOUSO CONVIVÊNCIA LTDA-ME"/>
        <s v="INSTITUTO TELLUS"/>
        <s v="RESIDENCIAL GERIÁTRICO MELHOR IDADE LTDA-ME"/>
        <s v="CASA DE REPOUSO RESIDENCIAL DOS NOBRES - LTDA-ME"/>
        <s v="CASA DE REPOUSO LEONOR SARDINHA DE BRITO LTDA"/>
        <s v="CASA DE REPOUSO ESPERANÇA S/C LTDA"/>
        <s v="OBSERVATÓRIO DA LONGEVIDADE HUMANA E ENVELHECIMENTO - OLHE"/>
        <s v="ECOS - ESPAÇO COMUNITÁRIO SOLIDÁRIO ANA SANTOS"/>
        <s v="CONGREGAÇÃO ISRAELITA PAULISTA"/>
        <s v="ASSOCIAÇÃO RECICLÁZARO"/>
        <s v="ASS ESPÍRITA BENEFICENTE DR. ADOLFO BEZERRA DE MENEZES"/>
        <s v="AQUILES DE CASTRO BELLOME- ME"/>
        <s v="CASA DE REPOUSO XODÓ DA VOVÓ - ME"/>
        <s v="MARICÉLIA RIBEIRO LOPES LOZANO PENSIONATO - ME"/>
        <s v="ASSOCIAÇÃO BENEFICENTE MORADA DO SOL "/>
        <s v="CASA DE REPOUSO SAÚDE &amp; VIDA LTDA - ME"/>
        <s v="ILPI - ABRIGO DOS VELHINHOS FREDERICO OZANAM"/>
        <s v="VANESSA IDARGO MUTCHNIK - ME"/>
        <s v="ASSOCIAÇÃO BENEFICENTE CANTIHO DA TERCEIRA IDADE"/>
        <s v="CENTRO INTEGRADO DE PSIQUIATRIA E GERIATRIA ANCIEN LTDA - EPP"/>
        <s v="POUSADA FLOR DE LÓTUS"/>
        <s v="LAR IPIRANGA RESIDENCIAL PARA TERCEIRA IDADE LTDA-ME "/>
        <s v="ASSOCIAÇÃO BENEFICENTE GRUPO DA CARIDADE"/>
        <s v="EM FAMÍLIA CASA DE REPOUSO LTDA - EPP"/>
        <s v="PROVEDORIA DA COMUNIDADE PORTUGUESA DE SÃO PAULO"/>
        <s v="CASA DOS VELHINHOS DE ONDINA LOBO"/>
        <s v="CASA DE REPOUSO MAMMA MIA RESIDENCIAL E SEMI-INTERNATO PARA IDOSOS - LTDA ME"/>
        <s v="VIVERE ASSISTÊNCIA AO IDOSO LTDA - ME"/>
        <s v="CASA HAPPY DAY SERVIÇOS DE SAÚDE LTDA - ME"/>
        <s v="CVN - SERVIÇOS E HOSPEDAGEM PARA IDOSOS LTDA - EPP"/>
        <s v="CASA DE REPOUSO CAPRICHO LTDA - ME"/>
        <s v="ENTIDADE DE PROMOÇÃO E ASSISTÊNCIA SOCIAL ESPAÇO ABERTO"/>
        <s v="INSTITUTO DAS IRMÃS DA SANTA CRUZ"/>
        <s v="HRSV RESIDENCIAL PARA IDOSOS - LTDA"/>
        <s v="LANSCHIL CASA DE REPOUSO LTDA - EPP"/>
        <s v="CASA DE REPOUSO SANTA FÉ LTDA - ME"/>
        <s v="ANGELS4U SERVIÇOS DE APOIO E ASSISTÊNCIA DOMICILIAR LTDA - ME"/>
        <s v="CARLOS EDUARDO DA SILVA CASA DE REPOUSO - ME"/>
        <s v="UNIDADE GERONTOLÓGICA VIDA LTDA"/>
        <s v="PAULO THADEU BORGES MARQUES - ME"/>
        <s v="CENTRO COMUNITÁRIO JARDIM AUTÓDROMO"/>
        <s v="GFWC CRÊ-SER "/>
        <s v=" BRAZIL SENIOR LIVING S.A."/>
        <s v="BRAZIL SENIOR LIVING S.A."/>
        <s v="BRASIL SENIOR LIVING S.A."/>
        <s v="CASA DE REPOUSO SOLAR LTDA - ME"/>
        <s v="ASSOCIAÇÃO DE LUTAS E PROMOÇÃO SOCIAL JARDIM ROBRU E ADJACÊNCIAS"/>
        <s v="GISELE APARECIDA PORZELT PEREIRA - ME"/>
        <s v="CASA DE REPOUSO ÁGAPE CARE EIRELI - ME"/>
        <s v="J. SANCHEZ DA SILVA CASA DE REPOUSO - ME"/>
        <s v="CASA DE REPOUSO NOSSA SENHORA DE FÁTIMA LTDA - ME"/>
        <s v="LENIRA COSTA DE ALMEIDA - ME"/>
        <s v="APOIO - ASSOCIAÇÃO DE AUXÍLIO MÚTUO DA REGIÃO LESTE "/>
        <s v="ASSOCIAÇÃO BENEFICENTE IRMÃ IDELFRANCA"/>
        <s v="ABRIGO DE IDOSOS CAPRICHO LTDA - ME"/>
        <s v="RECANTO CAMINHO DAS ROSAS LTDA"/>
        <s v="GIORNI FELICE - CASA DE REPOUSO LTDA - ME"/>
        <s v="CASA DE REPOUSO GUSMÃO LTDA - ME"/>
        <s v="CASA DE REPOUSO BEM ME QUER SOCIEDADE SIMPLES LTDA - ME"/>
        <s v="GONÇALO NUNES CASA DE REPOUSO LONGA PERMANÊNCIA PARA IDOSO LTDA - ME"/>
        <s v="CASA DE REPOUSO RESIDENCIAL PENHA DE FRANÇA LTDA - ME"/>
        <s v="BELA VIDA CENTRO DE CONVIVÊNCIA DO IDOSO LTDA - EPP"/>
        <s v="ASSOCIAÇÃO COMUNITÁRIA E BENEFICENTE Pe JOSÉ AUGUSTO MACHADO MOREIRA"/>
        <s v="CASA DE REPOUSO ESTRELA NASCENTE LTDA - ME"/>
        <s v="SANDRA REGINA BERNARDO DE ARAÚJO - ME"/>
        <s v="CASA DE REPOUSO ORQUÍDEA LTDA - ME"/>
        <s v="PENSIONATO RESIDENCIAL PIRES DE PAULA LTDA - ME"/>
        <s v="CASA DE REPOUSO ANJOS DE PLANTÃO LTDA - ME"/>
        <s v="ROBERTA LUIZA CALABRO DE SOUZA - ME"/>
        <s v="BENEVENTO &amp; SARTOR CASA DE REPOUSO EIRELI - ME"/>
        <s v="NATALY NOGUEIRA - ME"/>
        <s v="RESIDENCIAL GERIÁTRICO BROOKLIN LTDA - EPP"/>
        <s v="VILLÁGIO EM FAMÍLIA CASA DE REPOUSO LTDA - EPP"/>
        <s v="CASA DE REPOUSO PARA IDOSOS SOLAR DOS ANJOS LTDA - ME"/>
        <s v="LEVIMED - INSTITUIÇÃO DE LONGA PERMANÊNCIA PARA IDOSOS EIRELI - ME"/>
        <s v="CASA DE REPOUSO AMOREVITTA LTDA - EPP"/>
        <s v="ASSOCIAÇÃO CARITATIVA DA SAGRADA FAMÍLIA"/>
        <s v="CASA DE REPOUSO PAIVA LIMA LTDA - ME"/>
        <s v="INSTITUTO AKHANDA"/>
        <s v="CASA DE REPOUSO SANTA MONICE S/C LTDA - ME"/>
        <s v="RESIDENCIAL VIDA NOVA SERÇOS PARA IDOSOS LTDA - EPP"/>
        <s v="CASA DE REPOUSO AMANHECER LTDA - ME"/>
        <s v="CAMP PINHEIROS - CENTRO PROFISSIONAL DE MOTIVAÇÃO PROFISSIONAL"/>
        <s v="ASSOCIAÇÃO DE MULHERES AMIGAS DE JOVA RURAL"/>
        <s v="RESIDENCIAL PARA IDOSOS PERSEVERANÇA LTDA - ME"/>
        <s v="HOSPCLÍNICA CAMPO BELO RETAGUARDA PARA IDOSOS LTDA - EPP"/>
        <s v="CASA DE REPOUSO VIVER BEM EIRELI - EPP"/>
        <s v="MAIS SAÚDE MELHOR IDADE INSTITUIÇÃO DE LONGA PERMANÊNCIA PARA IDOSOS LTDA - EPP"/>
        <s v="VILLA DEI FIORI - CENTRO DE CONVIVÊNVIA PARA A TERCEIRA IDADE LTDA-EPP"/>
        <s v="HOTELARIA PARA TERCEIRA IDADE ORQUÍDEA LTDA - ME"/>
        <s v="CASA DE REPOUSO MOOCA BEM ME CARE EIRELI - ME"/>
        <s v="INSTITUTO GERIÁTRICO LIFE CARE EIRELI - EPP"/>
        <s v="SOLAR DAS MERCEDES REPOUSO PARA IDOSOS LTDA - ME"/>
        <s v="MARIA ISABEL DE OLIVEIRA CASTRO - ME"/>
        <s v="LIGA DAS SENHORAS CATÓLICAS DE SÃO PAULO"/>
        <s v="CLÍNICA SÃO GENARO"/>
        <s v="RESIDENCIAL ANÁLIA PARK LTDA"/>
        <s v="LLV RESIDÊNCIA PARA IDOSOS LTDA - ME"/>
        <s v="ACONCHEGO CASA DO IDOSO LTDA - ME"/>
        <s v="NR ZERBINI - RESIDÊNCIA PARA IDOSOS E FISIOTERAPIA EIRELI - ME"/>
        <s v="RESIDENCIAL RECANTO DAS FLORES CENTRO DE CONVIVÊNCIA DA TERCEIRA IDADE LTDA - EPP"/>
        <s v="CASA DE REPOUSO ADONAI LTDA"/>
        <s v="FERNANDA M. P. GROBMAN - ME"/>
        <s v="CASA DE REPOUSO BRILHO DO SOL - ME"/>
        <s v="ASILO UNIÃO DOS ANJOS LTDA - ME"/>
        <s v="MAMÃE ASSOCIAÇÃO DE ASSISTÊNCIA À CRIANÇA SANTAMARENSE"/>
        <s v="ALEBEL CASA DE REPOUSO LTDA - ME"/>
        <s v="CASA DE REPOUSO LAR DOCE LAR LTDA - ME"/>
        <s v="COMUNIDADE KOLPING SÃO FRANCISCO DE GUAIANASES"/>
        <s v="ASILO LAR DOCE LAR DA TERCEIRA IDADE LTDA - ME"/>
        <s v="RESIDENCIAL PRIMAVERA INSTITUIÇÃO DE LONGA PERMANÊNCIA LTDA"/>
        <s v="ASSOCIAÇÃO MENINO DEUS"/>
        <s v="FUNDAÇÃO BRITÂNICA DE BENEFICÊNCIA"/>
        <s v="YOUSSEF MOHAMED ORRA JUNIOR - ME"/>
        <s v="RESIDENCIAL BOSQUE DAS FLORES CASA DE REPOUSO LTDA - ME"/>
        <s v="RESIDENCIAL PARQUE DAS FLORES PARA IDOSOS S/S LTDA - ME"/>
        <s v="UNIÃO DOS MORADORES E DO COMÉRCIO DE PARAISÓPOLIS"/>
        <s v="ESPAÇO GIRASSOL PARA A 3ª IDADE LTDA - ME"/>
        <s v="INSTITUTO PINHEIRO"/>
        <s v="PENSIONATO VOVÓ ESPERANÇA LTDA - ME"/>
        <s v="LAR RECANTO DOS AVÓS DE VILA RÉ"/>
        <s v="CASA DE REPOUSO HOSPITALAR LTDA - EPP"/>
        <s v="RESIDENCIAL GERIÁTRICO ANAPURUS LTDA - ME"/>
        <s v="VIVER BEM - CENTRO DE CURTA E LONGA PERMANÊNCIA PARA IDOSOS LTDA - ME"/>
        <s v="MARPE CASA DE REPOUSO LTDA - EPP"/>
        <s v="CASA DE REPOUSO GERIÁTRICO RESIDENCIAL SOLAR DA MOOCA LTDA - ME"/>
        <s v="CASA DE REPOUSO ÁGAPE - EIRELI - ME"/>
        <s v="HOTEL RESIDENCIAL BOA VIDA - LTDA - ME"/>
        <s v="M. DE SOUZA CAVALCANTI - PENSIONATO - EIRELI - ME"/>
        <s v="GOLDEN CARE CLÍNICA E RESIDÊNCIA GERIÁTRICA - LTDA"/>
        <s v="RESIDENCIAL BEM CUIDAR - EIRELI - ME"/>
        <s v="CASA DE REPOUSO RECANTO VÓ ELPÍDIA - LTDA"/>
        <s v="INSTITUTO ROSALES CASA DE REPOUSO - LTDA - ME"/>
        <s v="SANDRA REGINA GABRIEL "/>
        <s v="A VIDA É BELA SAÚDE - EIRELI - ME"/>
        <s v="CASA DE REPOUSO JAÇANA - LTDA - ME"/>
        <s v="CASA DE REPOUSO FERNANDA - LTDA"/>
        <s v="UNIÃO BRASILEIRO-ISRAELITA DO BEM-ESTAR SOCIAL - UNIBES"/>
        <s v="JMC VIANA CASA DE REPOUSO"/>
        <s v="SAFE CARE RESIDENCIAL E HOTELARIA PARA IDOSOS - EIRELI"/>
        <s v="CASA DE REPOUSO SANT'ANNA LTDA - ME"/>
        <s v="F A PIERETTI PENSIONATO"/>
        <s v="VITA CARE UNIVERSO DA MELHOR IDADE - LTDA"/>
        <s v="CASA DE REPOUSO MÃOS QUE CUIDAM - LTDA"/>
        <s v="CASA DA TERCEIRA IDADE TEREZA BUGOLIM"/>
        <s v="SOCIEDADE AMIGOS DA 3ª IDADE SÃO FRANCISCO DE ASSIS"/>
        <s v="RESIDENCIAL PARA IDOSOS TAMANDARÁ - LTDA"/>
        <s v="SOCIEDADE PEQUENO JESUS"/>
        <s v="ANDRADE &amp; FERREIRA CASA DE REPOUSO LTDA - ME"/>
        <s v="HOSPITAL E CASA DE REPOUSO SAINTE-MARIE"/>
        <s v="CHERUBINS CASA DE REPOUSO LTDA - ME"/>
        <s v="PENSIONATO RESIDENCIAL SANCHEZ LTDA - ME"/>
        <s v="VIP SÊNIOR RESIDENCIAL DE LONGA PERMANÊNCIA ILPI LTDA"/>
        <s v="VITHALLIS CUIDADORES DE PESSOAS LTDA"/>
        <s v="RECANTO ALEGRE REPOUSO PARA IDOSOS LTDA"/>
        <s v="CASA PRÓ IDOSO LTDA - EPP"/>
        <s v="SOCIEDADE BENEFICENTE ISRAELITA BRASIELIRA HOSPITAL ALBERT EINSTEIN"/>
        <s v="CASA DE REPOUSO SAN RAPHAEL LTDA"/>
        <s v="CASA DE REPOUSO RENOVAR LTDA - ME"/>
        <s v="L. DE PAULA PENSIONATO - ME"/>
        <s v="RESIDENCIAL NOVOS AMIGOS LTDA"/>
        <s v="CASA DE REPOUSO RESIDENCIAL DA VILA - EIRELI"/>
        <s v="CLÍNICA DE REPOUSO JARDIM DA SAÚDE LTDA"/>
        <s v="D'PÁDUA RESIDENCIAL SENIOR LTDA - ME"/>
        <s v="HOTEL E HOSPEDAGEM PARA 3ª IDADE LIGHT LIFE LTDA"/>
        <s v="SENIOR VITA SERVIÇOS PARA TERCEIRA IDADE LTDA"/>
        <s v="C A DE SOUZA JUNIOR PENSIONATO "/>
        <s v="SOCIAL BOM JESUS"/>
        <s v="RESIDENCIAL PARA IDOSOS VELEIROS LTDA"/>
        <s v="ELAINE RODRIGUES DOMINGUES CASA DE REPOUSO - ME"/>
        <s v="ORDEM AUXILIADORA DAS SENHORAS IDOSAS EVANGÉLICAS OASE"/>
        <s v="CASA DE REPOUSO VO ZELINDA LTDA"/>
        <s v="CASA DE ACOLHIDA FILHOS PREDILETOS"/>
        <s v="HOTEL DA VOVO LTDA"/>
        <s v="D'VERAS RESIDENCIAL E SERVIÇOS DE HOSPEDAGEM LTDA"/>
        <s v="SEM EFEITO"/>
        <s v="JOSIANI FERNANDES DA SILVA"/>
        <s v="REGINA DE SOUZA FERNANDES SALOMÃO - ME"/>
        <s v="RESIDENCIAL VILLA MATHILDE LTDA"/>
        <s v="VIVA VIDA - CENTRO DE CONVIVÊNCIA PARA IDOSOS LTDA - ME "/>
        <s v="CENTRO DE PROMOÇÃO HUMANA E ASSISTÊNCIA SOCIAL DA PARÓQUIA DE SANT’ANA CEPHAS"/>
        <s v="SANTA ANA – INSTITUIÇÃO DE LONGA PERMANÊNCIA PARA IDOSOS "/>
        <s v="CÓLMEIA RECREATIVA CULTURAL E SOCIAL "/>
        <s v="RESIDENCIAL VIDA PARA IDOSOS LTDA "/>
        <s v="ASSOCIAÇÃO GRUPO VIVA VIDA DE VILA CURUÇÁ VELHA "/>
        <s v="DENISE OLIVEIRA DA SILVA - ME"/>
        <s v="CENTRO SOCIAL COMUNITÁRIO JARDIM PRIMAVERA"/>
        <s v="CASA DE REPOUSO CRYSTAL LTDA"/>
        <s v="SOCIEDADE BENEFICIENTE SANTO EXPEDITO"/>
        <s v="DULCINEIA GOMES CASA DE REPOUSO"/>
        <s v="IRENE DE OLIN PERESTRELO"/>
        <s v="CLINICA DE LONGA PERMANENCIA LAR BELLA BENTO LTDA"/>
        <s v="CLINICA DE REPOUSO HORTO FLORESTAL LTDA"/>
        <s v="CASA DE REPOUSO E HOSPEDAGEM D'ANGELO E LEPISCOPO LTDA"/>
        <s v="INSTITUTO BEM MAIOR "/>
        <s v="APOIO CASA DE REPOUSO EIRELI"/>
        <s v="RESIDENCIAL MAIS VIDA LTDA"/>
        <s v="CASA DE REPOUSO ROSERAL LTDA"/>
        <s v="CASA DE REPOUSO RECANTO PRIMAVERAS LTDA - ME"/>
        <s v="CASA DE REPOUSO  E HOSPEDAGEM IDEAL LTDA"/>
        <s v="ASSOCIAÇÃO BENEFICENTE CAMINHO DE LUZ - ABECAL"/>
        <s v="RESIDENCIAL GERIÁTRICO PREMIUM LTDA"/>
        <s v="RONY ANDERSON DOS SANTOS"/>
        <s v="CASA DE REPOUSO RESIDENCIL VILA ZELINA EIRELI - ME"/>
        <s v="JOSEFA SIONE DA SILVA PEREIRA - CASA DE REPOUSO"/>
        <s v="INSTITUTO ANIMA SOCIESC DE INOVAÇÃO, PESQUISA E CULTURA"/>
        <s v="SOUZA &amp; ALENCAR CASA DE REPOUSO LTDA"/>
        <s v="RESIDENCIAL GERIÁTRICO PAULISTA LTDA - ME"/>
        <s v="ASSOCIAÇÃO DE DIABETES JUVENIL "/>
        <s v="SAMARITANO SÃO FRANCISCO DE ASSIS "/>
        <s v="RESIDENCIAL SÃO LUIS CASA DE REPOUSO PARA IDOSOS LTDA"/>
        <s v="VIVER BEM - RESIDENCIAL PARA IDOSOS S/S LTDA "/>
        <s v="VIVA BEM PENSIONATO PARA TERCEIRA IDADE LTDA"/>
        <s v="NEW CARE RESIDENCIAL PARA IDOSOS LTDA "/>
        <s v="CASA DE REPOUSO R T I LTDA"/>
        <s v="PENSIONATO LAÇOS ETERNOS LTDA "/>
        <s v="INSTITUTO VIVER A VIDA - IVV"/>
        <s v="BERNARDETE CARVALHO "/>
        <s v="RESIDENICAL RAIO DE LUZ ASSISTÊNCIA AO IDOSO EIRELI - ME"/>
        <s v="CENTRO ESPÍRITA JESUS REDIVIVO "/>
        <s v="RESIDENCIAL COLIBRI CASA DE REPOUSO LTDA "/>
        <s v="FILOMENA MARIA RIBEIRO SAVIANO EIRELI "/>
        <s v="TRICOTANDO CASA CENTRO DE CONVIVÊNCIA DE LONGA E CURTA PERMANÊNCIA PARA IDOSOS EIRELI"/>
        <s v="CASA DE REPOUSO SIRIUS EIRELI "/>
        <s v="MARIA FERNANDES FIGUEIREDO NETA"/>
        <s v="CASA DE REPOUSO RECANTO DO ACONCHEGO LTDA "/>
        <s v="CASA DE REPOUSO JS VITORIA LTDA - ME "/>
        <s v="CASA DE REPOUSO SILKAVA LTDA- ME"/>
        <s v="SELMA PERES LONGA PERMANENCIA DE IDOSOS"/>
        <s v="CASA DE REPOUSO GERIATRICOS RESIDENCIAL LARES LTDA "/>
        <s v="RESIDENCIAL VILLA MANÁ - EIRELI "/>
        <s v="SEM EFEITO "/>
        <s v="TOP SENIOR RESIDENCIAL PARA IDOSOS EIRELI"/>
        <s v="RESIDENCIAL REAL LTDA"/>
        <s v="OLHAR HOLÍSTICO CASA DE REPOUSO LTDA"/>
        <s v="CASA DE REPOUSO AMOR AO IDOSO LTDA"/>
        <s v="CASA DE REPOUSO E HOSPEDAGEM MONT'ALVÃO E D'ANGELO LTDA"/>
        <s v="4EVER CASA DE REPOUSO LTDA"/>
        <s v="CASA DE REPOUSO JARDIM FRANÇA "/>
        <s v="PRO-VIDA CASA DE REPOUSO LTDA-ME "/>
        <s v="CASA DE REPOUSO STYLLO LTDA"/>
        <s v="KAMILA OLIVEIRA DE CARVALHO "/>
        <s v="CASA DE REPOUSO LAR IDA TEIXEIRA DA CRUZ LTDA"/>
        <s v="CASA DE REPOUSO JARAGUÁ LTDA - ME "/>
        <s v="CASA DE REPOUSO NOSSA SENHORA CONCEIÇÃO APARECIDA LTDA"/>
        <s v="CASA DE REPOUSO BORBA GATO LTDA"/>
        <s v="IPA BRASIL - ASSOCIAÇÃO BRASILEIRA PELO DIREITO DO BRINCAR E À CULTURA"/>
        <s v="BIOMÉDICA APOIO À SAÚDE LTDA"/>
        <s v="NOSSO CANTINHO RESIDÊNCIA PARA IDOSOS LTDA"/>
        <s v="EDEM CENTRO DE CONVIVÊNCIA E CENTRO DIA PARA IDOSOS LTDA"/>
        <s v="VILLA DEI FIORI BONFIGLIOLI - CENTRO DE CONVIVÊNVIA PARA A TERCEIRA IDADE LTDA"/>
        <s v="CASA ROSADA CASA DE REPOUSO LTDA - EPP"/>
        <s v="LAR PARA IDOSOS MORADA DOS PÁSSAROS LTDA"/>
        <s v="FÁTIMA MAGALI DE FREITAS DOS SANTOS"/>
        <s v="RESIDENCIAL PARA IDOSOS LTDA"/>
        <s v="PENSIONATO PEDRA BRANCA LTDA"/>
        <s v="CENTRO DE REPOUSO VILA MARIANA"/>
        <s v="CENTRO DE REPOUSO VILA MARIANA "/>
        <s v="ASSOCIAÇÃO BENEFICENTE SÍRIA"/>
        <s v="IGREJA BATISTA REVIVER"/>
        <s v="ASSOCIAÇÃO DA UNIÃO DAS MULHERES DALVA PAIXÃO"/>
        <s v="DANILO DE PAIVA RIBEIRO"/>
      </sharedItems>
    </cacheField>
    <cacheField name="NOME FANTASIA" numFmtId="0">
      <sharedItems containsBlank="1"/>
    </cacheField>
    <cacheField name="CNPJ" numFmtId="0">
      <sharedItems containsBlank="1" count="404">
        <s v="62.272.497/0001-54"/>
        <s v="07.852.256/0001-76"/>
        <s v="11.861.086/0001-63"/>
        <s v="53.818.191/0011-31"/>
        <s v="53.818.191/0007-55"/>
        <s v="53.818.191/0020-22"/>
        <s v="78.636.974-0004-04"/>
        <s v="02.345.462/0001-76"/>
        <s v="60.979.457/0001-11"/>
        <s v="38.881.538/0001-25"/>
        <s v="48.956.742/0001-11"/>
        <s v="07.463.596/0001-05"/>
        <s v="04.040.532/0001-03"/>
        <s v="07.403.676/0001-75"/>
        <s v="04.256.978/0001-70"/>
        <s v="03.671.916/0001-61"/>
        <s v="72.815.863/0001-28"/>
        <s v="72.815.863/0002-09"/>
        <s v="17.569.752/0001-70"/>
        <s v="10.248.923/0001-10"/>
        <s v="06.997.875/0001-96"/>
        <s v="06.997.875/0002-77"/>
        <s v="00.738.764/0001-89"/>
        <s v="43.473.487/0021-86"/>
        <s v="43.473.487/0010-23"/>
        <s v="43.473.487/0020-03"/>
        <s v="43.473.487/0014-57"/>
        <s v="21.161.900/0001-90"/>
        <s v="08.364.900/0001-20"/>
        <s v="12.920.752/0001-50"/>
        <s v="01.607.265/0001-15"/>
        <s v="03.692.295/0001-00"/>
        <s v="33.642.455/0025-37"/>
        <s v="53.371.308/0001.00"/>
        <s v="08.926.106/0001-22"/>
        <s v="07.714.288/0001-05"/>
        <s v="60.794.047/0001-04"/>
        <s v="61.669.966/0001-00"/>
        <s v="09.685.896/0001-64"/>
        <s v="14.976.538/0001-40"/>
        <s v="03.999.246/0001-07"/>
        <s v="03.999.246/0002-98"/>
        <s v="08.678.355/0001-46"/>
        <s v="03.970.254/0001-20"/>
        <s v="09.290.454/0001-19"/>
        <s v="20.496.462/0001-59"/>
        <s v="07.463.506/0001-86"/>
        <s v="15.556.305/0001-51"/>
        <s v="15.556305/0002-32"/>
        <s v="17.322.040/0001-52"/>
        <s v="04.397.294/0001-98"/>
        <s v="05.123.182/0001-01"/>
        <s v="11.433.191/0001-00"/>
        <s v="62.299.169/0001-41"/>
        <s v="07.470.599/0001-76"/>
        <s v="12.395.247/0002-14"/>
        <s v="10.548.116/0001-13"/>
        <s v="08.893.447/0001-49"/>
        <s v="18.288.235/0001-96"/>
        <s v="09.026.019/0001-81"/>
        <s v="07.947.045/0001-17"/>
        <s v="16.940.588/0001-01"/>
        <s v="09.048.917/0001-30"/>
        <s v="13.590.256/0001-48"/>
        <s v="03.763.586/0001-34"/>
        <s v="15.554.598/0001-38"/>
        <s v="45.844.479/0001-80"/>
        <s v="50.587.062/0001-10"/>
        <s v="09.237.774/0001-05"/>
        <s v="04.136.216/0001-30"/>
        <s v="20.190.020/0001-80"/>
        <s v="08.106.869/0001-27"/>
        <s v="61.056.651/0001-98"/>
        <s v="15.156.557/0017-50"/>
        <s v="17.612.799/0001-70"/>
        <s v="01.796.949/0001-02"/>
        <s v="67.832.550/0001-48"/>
        <s v="60.737.590/0007-57"/>
        <s v="17.812.097/0001-30"/>
        <s v="00.461.479/0001-63"/>
        <s v="12.643.773/0002-56"/>
        <s v="21.583.846/0001-71"/>
        <s v="02.671.900/0001-96"/>
        <s v="15.386.562/0001-92"/>
        <s v="03.429.827/0001-03"/>
        <s v="54.220.066/0001-16"/>
        <s v="09.040.708/0001-40"/>
        <s v="12.326.957/0002-92"/>
        <s v="67.134.155/0001-91"/>
        <s v="13.344.330/0001-46"/>
        <s v="07.349.312/0001-54"/>
        <s v="67.808.857/0001-03"/>
        <s v="08.178.049/0001-40"/>
        <s v="38.896.627/0001-45"/>
        <s v="13.678.018/0001-99"/>
        <s v="21.255.365/0001-37"/>
        <s v="73.347.312/0001-40"/>
        <s v="10.942.031/0001-15"/>
        <s v="08.028.820/0001-01"/>
        <s v="17.771.537/0001-58"/>
        <s v="18.275.696/0001-80"/>
        <s v="08.261.066/0001-47"/>
        <s v="08.261.066/0002-28"/>
        <s v="08.261.066/0003-09"/>
        <s v="60.922.168/0001-86"/>
        <s v="15.920.296/0001-36"/>
        <s v="07.040.234/0001-01"/>
        <s v="04.186.468/0001-73"/>
        <s v="21.070.283/0001-18"/>
        <s v="02.513.461/0001-93"/>
        <s v="20.191.689/0001-96"/>
        <s v="49.263.528/0001-42"/>
        <s v="61.882.395/0001-98"/>
        <s v="20.628.923/0001-08"/>
        <s v="56.100.068/0001-05"/>
        <s v="56.100.068/0001-06"/>
        <s v="05.562.427/0001-05"/>
        <s v="47.296.884.0001/37"/>
        <s v="62.836.812/0002-00"/>
        <s v="10.527.846/0001-38"/>
        <s v="61.705.877/0018-10"/>
        <s v="12.982.412/0001-53"/>
        <s v="08.018.373/0001-00"/>
        <s v="18.943.718/0001-87"/>
        <s v="12.321.608/0001-05"/>
        <s v="09.470.459/001-23"/>
        <s v="16.561.527/001-25"/>
        <s v="13.698.084/0001-20"/>
        <s v="01.126.753/0001-00"/>
        <s v="09.382.343/0001-32"/>
        <s v="11;515;207/001-15"/>
        <s v="60.766.060/001-41"/>
        <s v="03.960.066/0008-98"/>
        <s v="03.960.066/0005-45"/>
        <s v="03.960.066/0006-26"/>
        <s v="60.478.245/0001-50"/>
        <s v="07.910.863/0001-45"/>
        <s v="08.866.490/0001-15"/>
        <s v="24.000.655/0001-66"/>
        <s v="07.128.455/0001-36"/>
        <s v="11.414.538/0001-69"/>
        <s v="11.414.538/0002-40"/>
        <s v="48.221.824/0001-18"/>
        <s v="17.814.053/0001-49"/>
        <s v="10.507.392/0001-33"/>
        <s v="01.376.214/0001-20"/>
        <s v="67.982.314/0001-08"/>
        <s v="21.237.564/0001-12"/>
        <s v="60.981.073/0002-14"/>
        <s v="20.983.500/0001-06"/>
        <s v="62.662.077/0001-84"/>
        <s v="62.788.484/0001-32"/>
        <s v="13.710.938/0001-47"/>
        <s v="18.575.097/0001-26"/>
        <s v="20.649.480/0001-23"/>
        <s v="02.181.323/0001-54"/>
        <s v="26.678.882/0001-10"/>
        <s v="01.525.749/0001-15"/>
        <s v="57.035.933/0001-31"/>
        <s v="24.487.111/0001-32"/>
        <s v="25.275.821/0001-61"/>
        <s v="13.618.246/0001-73"/>
        <s v="17.974.381/0001-02"/>
        <s v="23.285.576/0001-48"/>
        <s v="18.065.400/0001-40"/>
        <s v="11.478.233/0001-10"/>
        <s v="57.184.723/0001-05"/>
        <s v="07.376.674/0001-34"/>
        <s v="17.070.693/0003-53"/>
        <s v="17.070.693/0005-15"/>
        <s v="17.070.693/0006-04"/>
        <s v="17.070.693/0008-68"/>
        <s v="17.070.693/0002-72"/>
        <s v="17.070.693/0009-49"/>
        <s v="17.070.693/0010-82"/>
        <s v="08.074.413/0001-22"/>
        <s v="04.676.010/0001-00"/>
        <s v="04.676.010/0011-74"/>
        <s v="21.958.991/0001-90"/>
        <s v="24.261.953/0001-71"/>
        <s v="22.841.268/0001-99"/>
        <s v="18.344.543/0001-91"/>
        <s v="18.344.543/0002-72"/>
        <s v="25.564.411/0001-80"/>
        <s v="74.087.081/0002-26"/>
        <s v="02.537.887/0001-87"/>
        <s v="15.512.798/0001-28"/>
        <s v="12.482.132/0001-86"/>
        <s v="02.471.603/0001-05"/>
        <s v="22.216.646/00001-43"/>
        <s v="07.033.199/0001-01"/>
        <s v="24.098.693/0001-65"/>
        <s v="09.308.997/0001-16"/>
        <s v="09.308.997/0002-05"/>
        <s v="13.690.468/0001-05"/>
        <s v=".65.887.382/0001-62"/>
        <s v="13.203.673/0001-90"/>
        <s v="17.718.525/0001-60"/>
        <s v="00.680.176/0001-31"/>
        <s v="15.609.560/0001-15"/>
        <s v="20.038.408/0001-60"/>
        <s v="24.772.304/0001-35"/>
        <s v="19.566.875/0001-83"/>
        <s v="26.836.539/0001-79"/>
        <s v="11.653.289/0001-64"/>
        <s v="26.084.801/0001-76"/>
        <s v="13.315.811/0001-23"/>
        <s v="09.492.298/0001-29"/>
        <s v="17.970.228/0001-07"/>
        <s v="61.633.806/0001-01"/>
        <s v="22.905.318/0001-54"/>
        <s v="22.905.318/0001-35"/>
        <s v="13.986.026/0001-00"/>
        <s v="54.463.229/0001-91"/>
        <s v="03.147.789/0001-04"/>
        <s v="08.290.805/0001-29"/>
        <s v="50.246.529/0001-68"/>
        <s v="00.346.741/0005-52"/>
        <s v="00.346.741/0006-33"/>
        <s v="00.346-741/0004-71"/>
        <s v="24.987.952/0001-09"/>
        <s v="16.881.755/0001-82"/>
        <s v="26.220.668/0001-38"/>
        <s v="01.695.727/0001-01"/>
        <s v="17.489.099/0001-30"/>
        <s v="17.489.099/0002-10"/>
        <s v="21.308.700/0001-18"/>
        <s v="11.983.349/0001-07"/>
        <s v="11.983.349/0002-98"/>
        <s v="24.109.123/0001-23"/>
        <s v="05.823.660/0001-96"/>
        <s v="25.294.9018/0001-11"/>
        <s v="60.597.044/0016-59"/>
        <s v="60.597.044/0020-35"/>
        <s v="62.611.124/0001-60"/>
        <s v="20.189.461/0001-61"/>
        <s v="23.472.949/0001-90"/>
        <s v="21.476.857/0001-52"/>
        <s v="22.545.284/0001-34"/>
        <s v="05.702.664/0001-16"/>
        <s v="00.379.579/0001/45"/>
        <s v="08.351.492/0001-71"/>
        <s v="08.351.492/0002-52"/>
        <s v="07.729.484/0001-07"/>
        <s v="10.226.039/0001-85"/>
        <s v="62.915.459/0001-72"/>
        <s v="09.247.337/0001-72"/>
        <s v="25.376.233/0001-14"/>
        <s v="52.837.093/0001-07"/>
        <s v="05.310.125/0001-31"/>
        <s v="15.478.226/0001-70"/>
        <s v="67.984.864/0001-66"/>
        <s v="60.478.344/0001-32"/>
        <s v="25.063.879/0001-41"/>
        <s v="22.183.902/0001-43"/>
        <s v="08.237.597/0001-02"/>
        <s v="53.820.619/0001-09"/>
        <s v="17.792.137/0001-29"/>
        <s v="10.562.871/0001-52"/>
        <s v="14.668.824/0001-49"/>
        <s v="24.343.933/0001-40"/>
        <s v="23.494.433/0001-46"/>
        <s v="12.231.624/0001-07"/>
        <s v="28.482.976/0001-67"/>
        <s v="55.212.591/0001-52"/>
        <s v="09.403.124/0001-92"/>
        <s v="25.583.931/0001-52"/>
        <s v="02.274.997/0001-01"/>
        <s v="15.640.603/0001-25"/>
        <s v="23.085.507/0001-90"/>
        <s v="21.707.428/0001-49"/>
        <s v="17.302.113/0001-44"/>
        <s v="26.381.503/0001-48"/>
        <s v="01.873.229/0001-01"/>
        <s v="17.880.277/0001-59"/>
        <s v="10.445.277/0001-81"/>
        <s v="05.336.937/0001-56"/>
        <s v="60.978.723/0001-91"/>
        <s v="60.978.723/0014-06"/>
        <s v="60.978.723/0015-97"/>
        <s v="25.117.727/0001-84"/>
        <s v="27.463.016/0001-97"/>
        <s v="03.106.335/0001-87"/>
        <s v="24.618.943/0001-40"/>
        <s v="09.367.787/0001-07"/>
        <s v="17.659.043/0001-86"/>
        <s v="02.406.322/0001-60"/>
        <s v="05.160.708/0001-23"/>
        <s v="27.863.301/0001-03"/>
        <s v="00.287.534/0001-40"/>
        <s v="09.395.766/0001-97"/>
        <s v="04.588.288/0001-18"/>
        <s v="11.437.252/0001-07"/>
        <s v="18.288.329/0001-65"/>
        <s v="23.909.505/0001-79"/>
        <s v="13.479.133/0001-34"/>
        <s v="20.686.280/0001-40"/>
        <s v="50.105.477/0001-00"/>
        <s v="60.765/823/0001-30"/>
        <s v="19.367.026/0001-09"/>
        <s v="17.706.361/0001-50"/>
        <s v="20.383.310/0001-40"/>
        <s v="07.746.110/0001-73"/>
        <s v="20.237.605/0001-08"/>
        <s v="18.328.980/0001-11"/>
        <s v="28.905.509/0001-17"/>
        <s v="13.479.389/0001-41"/>
        <s v="25.205.617/0001-74"/>
        <s v="26.510.155/0001-61"/>
        <s v="47.468.186/0001-71"/>
        <s v="30.308.143/0001-26"/>
        <s v="27.816.687/0001-94"/>
        <s v="60.761.657/0001-01"/>
        <s v="18.587.273/0001-40"/>
        <s v="05.334.779/0001-03"/>
        <s v="09.385.310/0001-46"/>
        <s v="08.442.211/0001-96"/>
        <s v="SEM EFEITO"/>
        <s v="15.505.412/0001-50"/>
        <s v="12.678.767/0001-53"/>
        <s v="25.017.862/0001-58"/>
        <s v="21.521.469/0001-46"/>
        <s v="60.671.963/0001-49"/>
        <s v="12.941.733/0001-00"/>
        <s v="00.126.650/0001-88"/>
        <s v="29.790.970/0001-10"/>
        <s v="07.109.931/0001-16"/>
        <s v="18.327.827/0001-70"/>
        <s v="47.424.296/0001-31"/>
        <s v="20.431.372/0001-80"/>
        <s v="74.126.582/0001-93"/>
        <s v="26.174.620/0001-30"/>
        <s v="17.747.110/0001-14"/>
        <s v="24.681.429/0001-50"/>
        <s v="43.299.759/0001-20"/>
        <s v="15.780.112/0001-80"/>
        <s v="11.566.483/0001-02"/>
        <s v="56.994.627/0001-60"/>
        <s v="24.565.722/0001-51"/>
        <s v="08.023.284/0001-43"/>
        <s v="08.890.454/0001-97"/>
        <s v="22.298.402/0001-57"/>
        <s v="05.000.703/0001-33"/>
        <s v="28.763.448/0001-86"/>
        <s v="21.724.774/0001-35"/>
        <s v="28.284.449/0001-25"/>
        <s v="17.831.169/0001-96"/>
        <s v="17.831.169/0002-77"/>
        <s v="07.749.605/0001-29"/>
        <s v="08.854.918/0001-37"/>
        <m/>
        <s v="09.458.014/0001-28"/>
        <s v="43.576.809/0001-02"/>
        <s v="002.627.820/0005-67"/>
        <s v="02.627.820/0007-29"/>
        <s v="31.597.002/0001-04"/>
        <s v="08.829.344/0001-10"/>
        <s v="10.861.617/0001-55"/>
        <s v="16.701.566/0001-80"/>
        <s v="11.879.815/0001-09"/>
        <s v="10.685.609/0001-03"/>
        <s v="13.164.669/0001-60"/>
        <s v="25.297.518/0001-60"/>
        <s v="21.181.223/0001-72"/>
        <s v="51.205.094/0002-57"/>
        <s v="27.151.078/0001-63"/>
        <s v="21.182.755/0001-24"/>
        <s v="21.967.726/0001-78"/>
        <s v="25.063.978/0001-23"/>
        <s v="19.035.365/0001-80"/>
        <s v="08.719.856/001-23"/>
        <s v="12.291.036/0001-50"/>
        <s v="07.740.761/0001-29"/>
        <s v="13.054.508/0001-14"/>
        <s v="30.842.133/0001-76"/>
        <s v="19.450.695/0001-31"/>
        <s v="SEM EFEITO "/>
        <s v="29.622.507/0001-69"/>
        <s v="25.287.831/0001-17"/>
        <s v="30.098.138/0001-36"/>
        <s v="28.840.120/0001-16"/>
        <s v="23.697.513/0001-07"/>
        <s v="30.128.264/0001-96"/>
        <s v="25.061.750/000-02"/>
        <s v="27.504.495/0001-42"/>
        <s v="59.094.813/0001-30"/>
        <s v="27.157.241/0001-03"/>
        <s v="22.077.957/0001-79"/>
        <s v="19.076.952/0001-17"/>
        <s v="06.040.913/0001-18"/>
        <s v="61.580.932/0001-45"/>
        <s v="01.963.173/0001-78"/>
        <s v="06.913.412/0001-90"/>
        <s v="23.956.143/0001-77"/>
        <s v="62.975.172/0001-38"/>
        <s v="24.701.624/0001-02"/>
        <s v="24.685.436/0001-20"/>
        <s v="09.039.390/0001-88"/>
        <s v="08.428.072/0001-46"/>
        <s v="56.815.236/0001-30"/>
        <s v="60.453.024/0001-28"/>
        <s v="31.512.186/0001-91"/>
        <s v="67.131.698/0001-55"/>
        <s v="29.252.280/0001-07"/>
      </sharedItems>
    </cacheField>
    <cacheField name="PROGRAMA" numFmtId="0">
      <sharedItems containsBlank="1" count="10">
        <s v="CENTRO DIA"/>
        <s v="NCI"/>
        <s v="ILPI"/>
        <s v="PROJETOS"/>
        <s v="OUTROS"/>
        <s v="CAEI"/>
        <s v="HOSP RETAGUARDA"/>
        <s v="SEM EFEITO"/>
        <s v="ILPI "/>
        <m/>
      </sharedItems>
    </cacheField>
    <cacheField name="CONVÊNIO SMADS" numFmtId="0">
      <sharedItems containsNonDate="0" containsString="0" containsBlank="1"/>
    </cacheField>
    <cacheField name="ENDEREÇO" numFmtId="0">
      <sharedItems containsNonDate="0" containsString="0" containsBlank="1"/>
    </cacheField>
    <cacheField name="SUBPREFEITURA" numFmtId="0">
      <sharedItems containsBlank="1" count="57">
        <s v="Santana"/>
        <s v="Vila Mariana"/>
        <s v="Mooca"/>
        <s v="Capela do Socorro"/>
        <s v="Parelheiros"/>
        <s v="Pinheiros"/>
        <s v="Ermelino Matarazzo"/>
        <s v="Sé"/>
        <s v="Santo Amaro"/>
        <s v="Perus"/>
        <s v="Vila Maria"/>
        <s v="Aricanduva"/>
        <s v="Butantã"/>
        <s v="Penha"/>
        <s v="Lapa"/>
        <s v="Campo Limpo"/>
        <s v="Jabaquara"/>
        <s v="Ipiranga"/>
        <s v="Cidade Ademar"/>
        <s v="M' Boi Mirim"/>
        <s v="Vila Prudente"/>
        <s v="Freguesia do Ó"/>
        <s v="São Miguel Paulista"/>
        <s v="Pirituba"/>
        <s v="Casa verde"/>
        <s v="Jaçanã/_x000a_Tremembé"/>
        <s v="Itaquera"/>
        <s v="Jabaquara "/>
        <s v="Sapopemba"/>
        <s v="paralheiros"/>
        <s v="jaçana"/>
        <s v="Jaçanã/ Tremembé"/>
        <s v="Itaim Paulista"/>
        <s v="São Mateus"/>
        <s v="Santana/_x000a_Tucuruvi"/>
        <s v="Jaçanã"/>
        <s v="Guaianases"/>
        <s v="Santana/Tucuruvi"/>
        <s v="Jaçana/Tremembé"/>
        <s v="Aricanduva/Formosa/Carrão"/>
        <s v="SEM EFEITO"/>
        <s v="Tucuruvi"/>
        <s v="Santana/ Tucuruvi "/>
        <s v="Vila Mariana "/>
        <s v="Itaim Paulista "/>
        <s v="Freguesia/ Brasilândia"/>
        <s v="Casa Verde/ Cachoeirinha"/>
        <s v="Aricanduva/ Vila Formosa/ Carrão "/>
        <m/>
        <s v="Vila Prudente "/>
        <s v="SEM EFEITO "/>
        <s v="Pirituba/ Jaraguá"/>
        <s v="Santana/ Tucuruvi"/>
        <s v="Vila Maria "/>
        <s v="Casa Verda/ Cachoeirinha"/>
        <s v="Pirituba/ Jaraguá "/>
        <s v="Pinheros"/>
      </sharedItems>
    </cacheField>
    <cacheField name="REGIÃO" numFmtId="0">
      <sharedItems containsBlank="1" count="9">
        <s v="Oeste"/>
        <s v="Sul"/>
        <s v="Leste"/>
        <s v="Centro"/>
        <s v="Norte"/>
        <s v="SEM EFEITO"/>
        <s v="Sul "/>
        <s v="Leste "/>
        <m/>
      </sharedItems>
    </cacheField>
    <cacheField name="TELEFONE" numFmtId="0">
      <sharedItems containsNonDate="0" containsString="0" containsBlank="1"/>
    </cacheField>
    <cacheField name="E-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3">
  <r>
    <x v="0"/>
    <s v="2 anos"/>
    <d v="2023-11-29T00:00:00"/>
    <x v="0"/>
    <x v="0"/>
    <s v="Lar Santo Alberto"/>
    <x v="0"/>
    <x v="0"/>
    <m/>
    <m/>
    <x v="0"/>
    <x v="0"/>
    <m/>
    <s v="a.santoagostinho@asa-santoagostinho.org.br"/>
  </r>
  <r>
    <x v="1"/>
    <s v="4 anos"/>
    <d v="2018-10-17T00:00:00"/>
    <x v="0"/>
    <x v="1"/>
    <m/>
    <x v="1"/>
    <x v="0"/>
    <m/>
    <m/>
    <x v="1"/>
    <x v="1"/>
    <m/>
    <s v="afaicdi@hotmail.com "/>
  </r>
  <r>
    <x v="2"/>
    <s v="2 anos"/>
    <d v="2019-12-21T00:00:00"/>
    <x v="0"/>
    <x v="2"/>
    <m/>
    <x v="2"/>
    <x v="1"/>
    <m/>
    <m/>
    <x v="2"/>
    <x v="2"/>
    <m/>
    <s v="articulacao@sefras.org.br "/>
  </r>
  <r>
    <x v="2"/>
    <s v="3 anos"/>
    <d v="2019-12-21T00:00:00"/>
    <x v="0"/>
    <x v="2"/>
    <m/>
    <x v="2"/>
    <x v="0"/>
    <m/>
    <m/>
    <x v="2"/>
    <x v="2"/>
    <m/>
    <s v="articulacao@sefras.org.br "/>
  </r>
  <r>
    <x v="3"/>
    <s v="4 anos"/>
    <d v="2019-12-21T00:00:00"/>
    <x v="0"/>
    <x v="3"/>
    <s v="JARDIM DAS IMBUIAS"/>
    <x v="3"/>
    <x v="1"/>
    <m/>
    <m/>
    <x v="3"/>
    <x v="1"/>
    <m/>
    <s v="sobei@sobei.org.br "/>
  </r>
  <r>
    <x v="3"/>
    <s v="4 anos"/>
    <d v="2019-12-21T00:00:00"/>
    <x v="0"/>
    <x v="3"/>
    <s v="MONTANARO"/>
    <x v="4"/>
    <x v="1"/>
    <m/>
    <m/>
    <x v="3"/>
    <x v="1"/>
    <m/>
    <s v="sobei@sobei.org.br "/>
  </r>
  <r>
    <x v="3"/>
    <s v="4 anos"/>
    <d v="2019-12-21T00:00:00"/>
    <x v="0"/>
    <x v="3"/>
    <m/>
    <x v="5"/>
    <x v="2"/>
    <m/>
    <m/>
    <x v="4"/>
    <x v="1"/>
    <m/>
    <s v="sobei@sobei.org.br "/>
  </r>
  <r>
    <x v="4"/>
    <s v="4 anos"/>
    <d v="2019-12-21T00:00:00"/>
    <x v="0"/>
    <x v="4"/>
    <m/>
    <x v="6"/>
    <x v="1"/>
    <m/>
    <m/>
    <x v="1"/>
    <x v="1"/>
    <m/>
    <s v="msemanovosigno@uol.com.br "/>
  </r>
  <r>
    <x v="5"/>
    <s v="4 anos"/>
    <d v="2022-11-22T00:00:00"/>
    <x v="1"/>
    <x v="5"/>
    <m/>
    <x v="7"/>
    <x v="2"/>
    <m/>
    <m/>
    <x v="5"/>
    <x v="0"/>
    <m/>
    <s v="new.heaven@terra.com.br "/>
  </r>
  <r>
    <x v="6"/>
    <s v="4 anos"/>
    <d v="2022-06-20T00:00:00"/>
    <x v="0"/>
    <x v="6"/>
    <s v="Centro de reabilitação de idosos"/>
    <x v="8"/>
    <x v="3"/>
    <m/>
    <m/>
    <x v="1"/>
    <x v="1"/>
    <m/>
    <s v="tgodoi@aacd.org.br "/>
  </r>
  <r>
    <x v="7"/>
    <s v="4 anos"/>
    <d v="2019-12-21T00:00:00"/>
    <x v="1"/>
    <x v="7"/>
    <s v="Instituição de longa permanência para idosos - Clínica e residência geriátrica."/>
    <x v="9"/>
    <x v="2"/>
    <m/>
    <m/>
    <x v="1"/>
    <x v="1"/>
    <m/>
    <s v="pauloievorlino@terra.com.br "/>
  </r>
  <r>
    <x v="8"/>
    <s v="2 anos"/>
    <d v="2020-02-16T00:00:00"/>
    <x v="0"/>
    <x v="8"/>
    <s v="ILPI - Lar Vicentino "/>
    <x v="10"/>
    <x v="2"/>
    <m/>
    <m/>
    <x v="6"/>
    <x v="2"/>
    <m/>
    <s v="cphlarvicentino@gmail.com "/>
  </r>
  <r>
    <x v="9"/>
    <s v="4 anos"/>
    <d v="2022-01-30T00:00:00"/>
    <x v="1"/>
    <x v="9"/>
    <s v="RESIDENCIAL TONIOLO MEMORY CARE"/>
    <x v="11"/>
    <x v="2"/>
    <m/>
    <m/>
    <x v="7"/>
    <x v="3"/>
    <m/>
    <s v="cleotoniolo@uol.com.br "/>
  </r>
  <r>
    <x v="10"/>
    <s v="4 anos"/>
    <d v="2018-04-28T00:00:00"/>
    <x v="0"/>
    <x v="10"/>
    <s v="Atividades de Organizações Sindicais - Centro de Convivência, Cidadania e Defesa de Direitos da Pessoa Idosa"/>
    <x v="12"/>
    <x v="4"/>
    <m/>
    <m/>
    <x v="7"/>
    <x v="3"/>
    <m/>
    <s v="secretaria@sindnap.org.br "/>
  </r>
  <r>
    <x v="11"/>
    <s v="2 anos"/>
    <d v="2016-04-11T00:00:00"/>
    <x v="1"/>
    <x v="11"/>
    <m/>
    <x v="13"/>
    <x v="2"/>
    <m/>
    <m/>
    <x v="8"/>
    <x v="1"/>
    <m/>
    <s v="contato@residencialharmonia.com.br  "/>
  </r>
  <r>
    <x v="11"/>
    <s v="2 anos"/>
    <d v="2016-04-11T00:00:00"/>
    <x v="1"/>
    <x v="12"/>
    <m/>
    <x v="13"/>
    <x v="2"/>
    <m/>
    <m/>
    <x v="8"/>
    <x v="1"/>
    <m/>
    <s v="contato@residencialharmonia.com.br  "/>
  </r>
  <r>
    <x v="12"/>
    <s v="2 anos"/>
    <d v="2021-03-01T00:00:00"/>
    <x v="1"/>
    <x v="13"/>
    <m/>
    <x v="14"/>
    <x v="2"/>
    <m/>
    <m/>
    <x v="9"/>
    <x v="4"/>
    <m/>
    <s v="idoso@recantodoidoso.com.br "/>
  </r>
  <r>
    <x v="13"/>
    <s v="2 anos"/>
    <d v="2023-09-17T00:00:00"/>
    <x v="1"/>
    <x v="14"/>
    <m/>
    <x v="15"/>
    <x v="2"/>
    <m/>
    <m/>
    <x v="10"/>
    <x v="4"/>
    <m/>
    <s v="helenaportugal@ibest.com.br "/>
  </r>
  <r>
    <x v="14"/>
    <s v="2 anos"/>
    <d v="2020-11-12T00:00:00"/>
    <x v="1"/>
    <x v="15"/>
    <m/>
    <x v="16"/>
    <x v="2"/>
    <m/>
    <m/>
    <x v="5"/>
    <x v="0"/>
    <m/>
    <s v="fernandaprizon@ig.com.br   "/>
  </r>
  <r>
    <x v="15"/>
    <s v="4 anos"/>
    <d v="2022-11-12T00:00:00"/>
    <x v="1"/>
    <x v="16"/>
    <m/>
    <x v="17"/>
    <x v="2"/>
    <m/>
    <m/>
    <x v="5"/>
    <x v="0"/>
    <m/>
    <s v="fernandaprizon@ig.com.br "/>
  </r>
  <r>
    <x v="16"/>
    <s v="4 anos"/>
    <d v="2024-01-30T00:00:00"/>
    <x v="1"/>
    <x v="17"/>
    <m/>
    <x v="18"/>
    <x v="2"/>
    <m/>
    <m/>
    <x v="11"/>
    <x v="2"/>
    <m/>
    <s v="valeria.vilasboas@yahoo.com.br"/>
  </r>
  <r>
    <x v="17"/>
    <s v="4 anos"/>
    <d v="2022-08-13T00:00:00"/>
    <x v="1"/>
    <x v="18"/>
    <m/>
    <x v="19"/>
    <x v="2"/>
    <m/>
    <m/>
    <x v="8"/>
    <x v="1"/>
    <m/>
    <s v="crirahal@ig.com.br "/>
  </r>
  <r>
    <x v="18"/>
    <s v="2 anos"/>
    <d v="2022-10-10T00:00:00"/>
    <x v="1"/>
    <x v="19"/>
    <m/>
    <x v="20"/>
    <x v="2"/>
    <m/>
    <m/>
    <x v="11"/>
    <x v="2"/>
    <m/>
    <s v="ugf@ugerontologica.com.br "/>
  </r>
  <r>
    <x v="18"/>
    <s v="2 anos"/>
    <d v="2016-07-31T00:00:00"/>
    <x v="1"/>
    <x v="20"/>
    <m/>
    <x v="21"/>
    <x v="2"/>
    <m/>
    <m/>
    <x v="11"/>
    <x v="2"/>
    <m/>
    <s v="ugf@ugerontologica.com.br "/>
  </r>
  <r>
    <x v="19"/>
    <s v="4 anos"/>
    <d v="2023-03-20T00:00:00"/>
    <x v="1"/>
    <x v="21"/>
    <m/>
    <x v="22"/>
    <x v="2"/>
    <m/>
    <m/>
    <x v="12"/>
    <x v="0"/>
    <m/>
    <s v="luzdamanha@terra.com.br "/>
  </r>
  <r>
    <x v="20"/>
    <s v="2 anos"/>
    <d v="2020-03-16T00:00:00"/>
    <x v="0"/>
    <x v="22"/>
    <s v="ILPI - Canindé"/>
    <x v="23"/>
    <x v="2"/>
    <m/>
    <m/>
    <x v="2"/>
    <x v="2"/>
    <m/>
    <s v="croph@uol.com.br "/>
  </r>
  <r>
    <x v="21"/>
    <s v="2 anos"/>
    <d v="2020-03-16T00:00:00"/>
    <x v="0"/>
    <x v="22"/>
    <s v="ILPI - Santana"/>
    <x v="24"/>
    <x v="2"/>
    <m/>
    <m/>
    <x v="2"/>
    <x v="2"/>
    <m/>
    <s v="croph@uol.com.br "/>
  </r>
  <r>
    <x v="22"/>
    <s v="2 anos"/>
    <d v="2020-03-16T00:00:00"/>
    <x v="0"/>
    <x v="22"/>
    <s v="Sítio das Alamedas"/>
    <x v="25"/>
    <x v="5"/>
    <m/>
    <m/>
    <x v="7"/>
    <x v="3"/>
    <m/>
    <s v="croph@uol.com.br "/>
  </r>
  <r>
    <x v="23"/>
    <s v="2 anos"/>
    <d v="2020-03-16T00:00:00"/>
    <x v="0"/>
    <x v="22"/>
    <s v="Centro de Referência do Idoso - CRECI"/>
    <x v="26"/>
    <x v="4"/>
    <m/>
    <m/>
    <x v="7"/>
    <x v="3"/>
    <m/>
    <s v="croph@uol.com.br "/>
  </r>
  <r>
    <x v="24"/>
    <s v="4 anos"/>
    <d v="2023-05-27T00:00:00"/>
    <x v="0"/>
    <x v="23"/>
    <s v="Associação Enkyo"/>
    <x v="27"/>
    <x v="1"/>
    <m/>
    <m/>
    <x v="7"/>
    <x v="3"/>
    <m/>
    <s v="social@enkyo.org.br "/>
  </r>
  <r>
    <x v="25"/>
    <s v="2 anos"/>
    <d v="2022-02-18T00:00:00"/>
    <x v="1"/>
    <x v="24"/>
    <s v=" Lar Residencial Reluz"/>
    <x v="28"/>
    <x v="2"/>
    <m/>
    <m/>
    <x v="0"/>
    <x v="4"/>
    <m/>
    <s v="residencialreluz@hotmail.com "/>
  </r>
  <r>
    <x v="26"/>
    <s v="4 anos"/>
    <d v="2023-11-29T00:00:00"/>
    <x v="0"/>
    <x v="25"/>
    <s v="São Camilo"/>
    <x v="29"/>
    <x v="2"/>
    <m/>
    <m/>
    <x v="0"/>
    <x v="4"/>
    <m/>
    <s v="administracao@filhasdesaocamilo.com.br "/>
  </r>
  <r>
    <x v="27"/>
    <s v="4 anos"/>
    <d v="2024-02-18T00:00:00"/>
    <x v="1"/>
    <x v="26"/>
    <s v="Casa de Repouso Ana Nery"/>
    <x v="30"/>
    <x v="2"/>
    <m/>
    <m/>
    <x v="8"/>
    <x v="1"/>
    <m/>
    <s v="casaderepousoananery@hotmail.com "/>
  </r>
  <r>
    <x v="28"/>
    <s v="2 anos"/>
    <d v="2022-01-30T00:00:00"/>
    <x v="0"/>
    <x v="27"/>
    <s v="Caminho da Vida"/>
    <x v="31"/>
    <x v="2"/>
    <m/>
    <m/>
    <x v="13"/>
    <x v="2"/>
    <m/>
    <s v="administracao@abaic.com.br "/>
  </r>
  <r>
    <x v="29"/>
    <s v="4 anos"/>
    <d v="2019-03-05T00:00:00"/>
    <x v="1"/>
    <x v="28"/>
    <s v=" Lar Nossa Senhora das Mercês"/>
    <x v="32"/>
    <x v="2"/>
    <m/>
    <m/>
    <x v="5"/>
    <x v="0"/>
    <m/>
    <s v="larnsmerces@uol.com.br "/>
  </r>
  <r>
    <x v="30"/>
    <s v="2 anos"/>
    <d v="2020-11-12T00:00:00"/>
    <x v="1"/>
    <x v="29"/>
    <m/>
    <x v="33"/>
    <x v="2"/>
    <m/>
    <m/>
    <x v="14"/>
    <x v="0"/>
    <m/>
    <s v="r.perdizes@hotmail.com "/>
  </r>
  <r>
    <x v="31"/>
    <s v="4 anos"/>
    <d v="2019-03-11T00:00:00"/>
    <x v="1"/>
    <x v="30"/>
    <m/>
    <x v="34"/>
    <x v="2"/>
    <m/>
    <m/>
    <x v="13"/>
    <x v="2"/>
    <m/>
    <s v="bvrg@bvrg.com.br "/>
  </r>
  <r>
    <x v="32"/>
    <s v="2 anos"/>
    <d v="2017-03-28T00:00:00"/>
    <x v="1"/>
    <x v="31"/>
    <m/>
    <x v="35"/>
    <x v="2"/>
    <m/>
    <m/>
    <x v="7"/>
    <x v="3"/>
    <m/>
    <s v="henrique.hgfilho@gmail.com "/>
  </r>
  <r>
    <x v="33"/>
    <s v="2 anos"/>
    <d v="2019-10-10T00:00:00"/>
    <x v="0"/>
    <x v="32"/>
    <s v="SBA Residencial"/>
    <x v="36"/>
    <x v="2"/>
    <m/>
    <m/>
    <x v="12"/>
    <x v="0"/>
    <m/>
    <s v="cadastro@beneficencia-alema.org.br "/>
  </r>
  <r>
    <x v="34"/>
    <s v="2 anos"/>
    <d v="2020-08-13T00:00:00"/>
    <x v="0"/>
    <x v="33"/>
    <s v="CASA TRANSITÓRIA FABIANO DE CRISTO – LAR BATUÍRA"/>
    <x v="37"/>
    <x v="2"/>
    <m/>
    <m/>
    <x v="2"/>
    <x v="2"/>
    <m/>
    <s v="feesp@feesp.org.br; presidente@feesp.org.br"/>
  </r>
  <r>
    <x v="35"/>
    <s v="4 anos"/>
    <d v="2019-05-18T00:00:00"/>
    <x v="1"/>
    <x v="34"/>
    <s v="CASA DE REPOUSO VIVER BEM"/>
    <x v="38"/>
    <x v="2"/>
    <m/>
    <m/>
    <x v="13"/>
    <x v="2"/>
    <m/>
    <s v="eliassilva35@live.com "/>
  </r>
  <r>
    <x v="36"/>
    <s v="4 anos"/>
    <d v="2019-05-28T00:00:00"/>
    <x v="1"/>
    <x v="35"/>
    <s v="RESIDENCIAL SÊNIOR LTDA."/>
    <x v="39"/>
    <x v="2"/>
    <m/>
    <m/>
    <x v="1"/>
    <x v="1"/>
    <m/>
    <s v="fabiana@residencialsenior.com.br "/>
  </r>
  <r>
    <x v="37"/>
    <s v="4 anos"/>
    <d v="2019-05-28T00:00:00"/>
    <x v="1"/>
    <x v="36"/>
    <s v="CASA DE REPOUSO PRÓ-VITA S/A – Unidade I"/>
    <x v="40"/>
    <x v="2"/>
    <m/>
    <m/>
    <x v="15"/>
    <x v="1"/>
    <m/>
    <s v="lyse@residencialprovita.com.br "/>
  </r>
  <r>
    <x v="37"/>
    <s v="4 anos"/>
    <d v="2019-05-28T00:00:00"/>
    <x v="1"/>
    <x v="36"/>
    <s v="CASA DE REPOUSO PRÓ-VITA S/A – Unidade II "/>
    <x v="41"/>
    <x v="2"/>
    <m/>
    <m/>
    <x v="15"/>
    <x v="1"/>
    <m/>
    <s v="lyse@residencialprovita.com.br "/>
  </r>
  <r>
    <x v="38"/>
    <s v="4 anos"/>
    <d v="2019-05-28T00:00:00"/>
    <x v="0"/>
    <x v="37"/>
    <s v="LAR PADRE VICENTE MELILLO"/>
    <x v="42"/>
    <x v="2"/>
    <m/>
    <m/>
    <x v="16"/>
    <x v="1"/>
    <m/>
    <s v="administracao@assistenciadevilamascote.org.br  "/>
  </r>
  <r>
    <x v="39"/>
    <s v="4 anos"/>
    <d v="2019-05-28T00:00:00"/>
    <x v="1"/>
    <x v="38"/>
    <s v=" CASA DE REPOUSO RECANTO DA TERCEIRA IDADE S/S LTDA-ME"/>
    <x v="43"/>
    <x v="2"/>
    <m/>
    <m/>
    <x v="17"/>
    <x v="1"/>
    <m/>
    <s v="delporto1@hotmail.com "/>
  </r>
  <r>
    <x v="40"/>
    <s v="2 anos"/>
    <d v="2017-06-10T00:00:00"/>
    <x v="0"/>
    <x v="39"/>
    <s v="Regulação das atividades de saúde, educação, serviços culturais e outros serviços sociais – Ger-ações"/>
    <x v="44"/>
    <x v="3"/>
    <m/>
    <m/>
    <x v="7"/>
    <x v="3"/>
    <m/>
    <s v="geracoes@geracoes.org.br "/>
  </r>
  <r>
    <x v="41"/>
    <s v="4 anos"/>
    <d v="2019-08-04T00:00:00"/>
    <x v="1"/>
    <x v="40"/>
    <s v="VIVACE RESIDENCIAL PARA IDOSOS LTDA."/>
    <x v="45"/>
    <x v="2"/>
    <m/>
    <m/>
    <x v="14"/>
    <x v="0"/>
    <m/>
    <s v="contato@casaderepousovivace.com.br "/>
  </r>
  <r>
    <x v="42"/>
    <s v="4 anos"/>
    <d v="2019-08-04T00:00:00"/>
    <x v="1"/>
    <x v="41"/>
    <s v="QUALITÁ ASSISTÊNCIA A SAÚDE LTDA – ME"/>
    <x v="46"/>
    <x v="2"/>
    <m/>
    <m/>
    <x v="8"/>
    <x v="1"/>
    <m/>
    <s v="residenciaqualita@yahoo.com.br "/>
  </r>
  <r>
    <x v="43"/>
    <s v="4 anos"/>
    <d v="2021-07-25T00:00:00"/>
    <x v="1"/>
    <x v="42"/>
    <s v="CASA DE REPOUSO MOOCA SANTA MADALENA LTDA – EPP (Unidade I)"/>
    <x v="47"/>
    <x v="2"/>
    <m/>
    <m/>
    <x v="2"/>
    <x v="2"/>
    <m/>
    <s v="patygracy@hotmail.com "/>
  </r>
  <r>
    <x v="43"/>
    <s v="4 anos"/>
    <d v="2021-07-25T00:00:00"/>
    <x v="1"/>
    <x v="42"/>
    <s v="CASA DE REPOUSO MOOCA SANTA MADALENA LTDA – EPP (Unidade II)"/>
    <x v="48"/>
    <x v="2"/>
    <m/>
    <m/>
    <x v="2"/>
    <x v="2"/>
    <m/>
    <s v="casageriatricasantamadalena@gmail.com"/>
  </r>
  <r>
    <x v="44"/>
    <s v="2 anos"/>
    <d v="2017-08-04T00:00:00"/>
    <x v="1"/>
    <x v="43"/>
    <s v="VILLA DEL POZO INSTITUIÇÃO"/>
    <x v="49"/>
    <x v="2"/>
    <m/>
    <m/>
    <x v="11"/>
    <x v="2"/>
    <m/>
    <s v="casaderepouso.villadelpozo@gmail.com "/>
  </r>
  <r>
    <x v="45"/>
    <s v="2 anos"/>
    <d v="2020-01-16T00:00:00"/>
    <x v="1"/>
    <x v="44"/>
    <s v="VIVERE RESIDENCIAL PARA IDOSOS LTDA."/>
    <x v="50"/>
    <x v="2"/>
    <m/>
    <m/>
    <x v="16"/>
    <x v="1"/>
    <m/>
    <s v="ffvivere@gmail.com "/>
  </r>
  <r>
    <x v="46"/>
    <s v="4 anos"/>
    <d v="2019-08-04T00:00:00"/>
    <x v="1"/>
    <x v="45"/>
    <s v="CASA DE REPOUSO SAYED LTDA–ME"/>
    <x v="51"/>
    <x v="2"/>
    <m/>
    <m/>
    <x v="18"/>
    <x v="1"/>
    <m/>
    <s v="ilham.sayed@hotmail.com "/>
  </r>
  <r>
    <x v="47"/>
    <s v="2 anos"/>
    <d v="2017-08-18T00:00:00"/>
    <x v="1"/>
    <x v="46"/>
    <s v="CASA DE REPOUSO MODELO LTDA-ME"/>
    <x v="52"/>
    <x v="2"/>
    <m/>
    <m/>
    <x v="14"/>
    <x v="0"/>
    <m/>
    <s v="NÃO TEM"/>
  </r>
  <r>
    <x v="48"/>
    <s v="2 anos"/>
    <d v="2019-05-22T00:00:00"/>
    <x v="0"/>
    <x v="47"/>
    <s v="ILPI - A Mão Branca"/>
    <x v="53"/>
    <x v="2"/>
    <m/>
    <m/>
    <x v="8"/>
    <x v="1"/>
    <m/>
    <s v="amaobranca@amaobranca.org.br "/>
  </r>
  <r>
    <x v="48"/>
    <s v="2 anos"/>
    <d v="2019-05-22T00:00:00"/>
    <x v="0"/>
    <x v="47"/>
    <s v="NCI - A Mão Branca Capão Redondo"/>
    <x v="53"/>
    <x v="1"/>
    <m/>
    <m/>
    <x v="15"/>
    <x v="1"/>
    <m/>
    <s v="amaobranca@amaobranca.org.br "/>
  </r>
  <r>
    <x v="48"/>
    <s v="2 anos"/>
    <d v="2019-05-22T00:00:00"/>
    <x v="0"/>
    <x v="47"/>
    <s v="NCI - A Mão Branca Campo Limpo"/>
    <x v="53"/>
    <x v="1"/>
    <m/>
    <m/>
    <x v="15"/>
    <x v="1"/>
    <m/>
    <s v="amaobranca@amaobranca.org.br "/>
  </r>
  <r>
    <x v="48"/>
    <s v="2 anos"/>
    <d v="2019-05-22T00:00:00"/>
    <x v="0"/>
    <x v="47"/>
    <s v="NCI - A Mão Branca M' Boi Mirim"/>
    <x v="53"/>
    <x v="1"/>
    <m/>
    <m/>
    <x v="19"/>
    <x v="1"/>
    <m/>
    <s v="amaobranca@amaobranca.org.br "/>
  </r>
  <r>
    <x v="49"/>
    <s v="4 anos"/>
    <d v="2019-08-21T00:00:00"/>
    <x v="0"/>
    <x v="48"/>
    <s v="Atividades de Associações de Defesa de Direitos Sociais"/>
    <x v="54"/>
    <x v="3"/>
    <m/>
    <m/>
    <x v="1"/>
    <x v="1"/>
    <m/>
    <s v="rodrigo@institutoverter.com.br "/>
  </r>
  <r>
    <x v="50"/>
    <s v="2 anos"/>
    <d v="2017-08-21T00:00:00"/>
    <x v="1"/>
    <x v="49"/>
    <m/>
    <x v="55"/>
    <x v="2"/>
    <m/>
    <m/>
    <x v="14"/>
    <x v="0"/>
    <m/>
    <s v="airton_da_silva@ig.com.br "/>
  </r>
  <r>
    <x v="51"/>
    <s v="4 anos"/>
    <d v="2019-08-21T00:00:00"/>
    <x v="0"/>
    <x v="50"/>
    <s v="ATIVIDADES DE ASSOCIAÇÕES DE DEFESA DE DIREITOS SOCIAIS – GARMIC"/>
    <x v="56"/>
    <x v="4"/>
    <m/>
    <m/>
    <x v="7"/>
    <x v="3"/>
    <m/>
    <s v="garmic@yahoo.com.br "/>
  </r>
  <r>
    <x v="52"/>
    <s v="4 anos"/>
    <d v="2019-09-10T00:00:00"/>
    <x v="1"/>
    <x v="51"/>
    <m/>
    <x v="57"/>
    <x v="2"/>
    <m/>
    <m/>
    <x v="12"/>
    <x v="0"/>
    <m/>
    <s v="relacionamento@casavita.com.br "/>
  </r>
  <r>
    <x v="53"/>
    <s v="2 anos"/>
    <d v="2019-12-21T00:00:00"/>
    <x v="1"/>
    <x v="52"/>
    <s v="Marpe Casa de Repouso"/>
    <x v="58"/>
    <x v="2"/>
    <m/>
    <m/>
    <x v="8"/>
    <x v="1"/>
    <m/>
    <s v="marcelogallo01@gmail.com "/>
  </r>
  <r>
    <x v="54"/>
    <s v="4 anos"/>
    <d v="2019-09-10T00:00:00"/>
    <x v="1"/>
    <x v="53"/>
    <s v="RESIDENCIAL GERIÁTRICA ITACOLOMY EIRELI – ME"/>
    <x v="59"/>
    <x v="2"/>
    <m/>
    <m/>
    <x v="17"/>
    <x v="1"/>
    <m/>
    <s v=" itarepouso@gmail.com   "/>
  </r>
  <r>
    <x v="55"/>
    <s v="2 anos"/>
    <d v="2023-11-29T00:00:00"/>
    <x v="1"/>
    <x v="54"/>
    <s v=" CASA DE REPOUSO MANANCIAL"/>
    <x v="60"/>
    <x v="2"/>
    <m/>
    <m/>
    <x v="20"/>
    <x v="2"/>
    <m/>
    <s v="iaralogarezzi@hotmail.com "/>
  </r>
  <r>
    <x v="56"/>
    <s v="4 anos"/>
    <d v="2019-10-03T00:00:00"/>
    <x v="1"/>
    <x v="55"/>
    <s v="CASA DE REPOUSO ANJO GABRIEL"/>
    <x v="61"/>
    <x v="2"/>
    <m/>
    <m/>
    <x v="16"/>
    <x v="1"/>
    <m/>
    <s v="anjogabriel_repouso@hotmail.com "/>
  </r>
  <r>
    <x v="57"/>
    <s v="4 anos"/>
    <d v="2019-10-03T00:00:00"/>
    <x v="1"/>
    <x v="56"/>
    <s v="PENSIONATO DA VOVÓ NENA"/>
    <x v="62"/>
    <x v="2"/>
    <m/>
    <m/>
    <x v="13"/>
    <x v="2"/>
    <m/>
    <s v="pensionatovovonena@hotmail.com "/>
  </r>
  <r>
    <x v="58"/>
    <s v="4 anos"/>
    <d v="2019-10-03T00:00:00"/>
    <x v="1"/>
    <x v="57"/>
    <m/>
    <x v="63"/>
    <x v="2"/>
    <m/>
    <m/>
    <x v="10"/>
    <x v="4"/>
    <m/>
    <s v="faleconosco@casadoidosofelizidade.com.br "/>
  </r>
  <r>
    <x v="59"/>
    <s v="4 anos"/>
    <d v="2019-10-03T00:00:00"/>
    <x v="1"/>
    <x v="58"/>
    <m/>
    <x v="64"/>
    <x v="2"/>
    <m/>
    <m/>
    <x v="2"/>
    <x v="2"/>
    <m/>
    <s v="cestariesilveira@bol.com.br "/>
  </r>
  <r>
    <x v="60"/>
    <s v="2 anos"/>
    <d v="2017-10-09T00:00:00"/>
    <x v="1"/>
    <x v="59"/>
    <s v="MORADIA ASSISTIDA PARA IDOSOS SÃO GUALTER"/>
    <x v="65"/>
    <x v="2"/>
    <m/>
    <m/>
    <x v="5"/>
    <x v="0"/>
    <m/>
    <s v="ricardovaleriote@uol.com.br "/>
  </r>
  <r>
    <x v="61"/>
    <s v="4 anos"/>
    <d v="2019-10-09T00:00:00"/>
    <x v="1"/>
    <x v="60"/>
    <s v="MORADA DO SOL"/>
    <x v="66"/>
    <x v="2"/>
    <m/>
    <m/>
    <x v="14"/>
    <x v="0"/>
    <m/>
    <s v="casaderepouso@terra.com.br "/>
  </r>
  <r>
    <x v="62"/>
    <s v="4 anos"/>
    <d v="2019-10-09T00:00:00"/>
    <x v="1"/>
    <x v="61"/>
    <m/>
    <x v="67"/>
    <x v="2"/>
    <m/>
    <m/>
    <x v="7"/>
    <x v="3"/>
    <m/>
    <s v="crhigienopolis@terra.com.br "/>
  </r>
  <r>
    <x v="63"/>
    <s v="4 anos"/>
    <d v="2019-10-29T00:00:00"/>
    <x v="1"/>
    <x v="62"/>
    <m/>
    <x v="68"/>
    <x v="2"/>
    <m/>
    <m/>
    <x v="21"/>
    <x v="4"/>
    <m/>
    <s v="solar_matriz@yahoo.com.br "/>
  </r>
  <r>
    <x v="64"/>
    <s v="4 anos"/>
    <d v="2019-10-29T00:00:00"/>
    <x v="1"/>
    <x v="63"/>
    <m/>
    <x v="69"/>
    <x v="2"/>
    <m/>
    <m/>
    <x v="7"/>
    <x v="3"/>
    <m/>
    <s v="aquarius@aquariuscasaderepouso.com.br "/>
  </r>
  <r>
    <x v="65"/>
    <s v="4 anos"/>
    <d v="2019-10-29T00:00:00"/>
    <x v="1"/>
    <x v="64"/>
    <s v="RESIDENCIA GERIÁTRICA PANAMBY"/>
    <x v="70"/>
    <x v="2"/>
    <m/>
    <m/>
    <x v="17"/>
    <x v="1"/>
    <m/>
    <s v="geripanam@gmail.com "/>
  </r>
  <r>
    <x v="66"/>
    <s v="4 anos"/>
    <d v="2024-01-30T00:00:00"/>
    <x v="1"/>
    <x v="65"/>
    <m/>
    <x v="71"/>
    <x v="2"/>
    <m/>
    <m/>
    <x v="2"/>
    <x v="2"/>
    <m/>
    <s v="sac@casaderepousonewlife.com.br "/>
  </r>
  <r>
    <x v="67"/>
    <s v="4 anos"/>
    <d v="2019-10-29T00:00:00"/>
    <x v="1"/>
    <x v="66"/>
    <m/>
    <x v="72"/>
    <x v="2"/>
    <m/>
    <m/>
    <x v="12"/>
    <x v="0"/>
    <m/>
    <s v="ciai@ciai.com.br "/>
  </r>
  <r>
    <x v="68"/>
    <s v="2 anos"/>
    <d v="2020-04-18T00:00:00"/>
    <x v="0"/>
    <x v="67"/>
    <s v="CENTRO DE REPOUSO SÃO JOSÉ PEDRO SOARES DE ANDRADE"/>
    <x v="73"/>
    <x v="2"/>
    <m/>
    <m/>
    <x v="22"/>
    <x v="2"/>
    <m/>
    <s v="asbeascrsj@gmail.com "/>
  </r>
  <r>
    <x v="69"/>
    <s v="2 anos"/>
    <d v="2022-10-10T00:00:00"/>
    <x v="1"/>
    <x v="68"/>
    <s v="RESIDENCIAL VILA HARMONIA"/>
    <x v="74"/>
    <x v="2"/>
    <m/>
    <m/>
    <x v="11"/>
    <x v="2"/>
    <m/>
    <s v="cintianakaya@gmail.com "/>
  </r>
  <r>
    <x v="70"/>
    <s v="4 anos"/>
    <d v="2017-11-25T00:00:00"/>
    <x v="0"/>
    <x v="69"/>
    <s v="COMUNIDADE NOVO PENTECOSTES"/>
    <x v="75"/>
    <x v="2"/>
    <m/>
    <m/>
    <x v="12"/>
    <x v="0"/>
    <m/>
    <s v="dlmaffia@uol.com.br "/>
  </r>
  <r>
    <x v="71"/>
    <s v="2 anos"/>
    <d v="2019-10-10T00:00:00"/>
    <x v="1"/>
    <x v="70"/>
    <s v="RESIDENCIAL SANTA ISABEL"/>
    <x v="76"/>
    <x v="2"/>
    <m/>
    <m/>
    <x v="8"/>
    <x v="1"/>
    <m/>
    <s v="mercia@polisel.adv.br "/>
  </r>
  <r>
    <x v="72"/>
    <s v="2 anos"/>
    <d v="2019-10-10T00:00:00"/>
    <x v="0"/>
    <x v="71"/>
    <s v="CENTRO DE CONVIVÊNCIA VIVAVIDA (Unidade VI)"/>
    <x v="77"/>
    <x v="1"/>
    <m/>
    <m/>
    <x v="17"/>
    <x v="1"/>
    <m/>
    <s v="fnsai@terra.com.br "/>
  </r>
  <r>
    <x v="73"/>
    <s v="2 anos"/>
    <d v="2017-11-25T00:00:00"/>
    <x v="1"/>
    <x v="72"/>
    <s v="RESIDENCIAL HARMONY"/>
    <x v="78"/>
    <x v="2"/>
    <m/>
    <m/>
    <x v="7"/>
    <x v="3"/>
    <m/>
    <s v="casaderepousoharmony@outlook.com "/>
  </r>
  <r>
    <x v="74"/>
    <s v="4 anos"/>
    <d v="2019-12-10T00:00:00"/>
    <x v="1"/>
    <x v="73"/>
    <s v="COMITÊ DE ÉTICA EM PESQUISA – PESQUISA, COINOVAÇÃO E DIFUSÃO EM GERIATRIA E GERONTOLOGIA"/>
    <x v="79"/>
    <x v="4"/>
    <m/>
    <m/>
    <x v="5"/>
    <x v="0"/>
    <m/>
    <s v="cepps@preventsenior.com.br "/>
  </r>
  <r>
    <x v="75"/>
    <s v="4 anos"/>
    <d v="2019-12-22T00:00:00"/>
    <x v="1"/>
    <x v="74"/>
    <s v="RESIDÊNCIA ASSISTIDA - HOMERSAÚDE"/>
    <x v="80"/>
    <x v="2"/>
    <m/>
    <m/>
    <x v="2"/>
    <x v="2"/>
    <m/>
    <s v="homersaude@hotmail.com "/>
  </r>
  <r>
    <x v="76"/>
    <s v="4 anos"/>
    <d v="2019-12-22T00:00:00"/>
    <x v="1"/>
    <x v="75"/>
    <s v="CASA DE REPOUSO BELA IDADE"/>
    <x v="81"/>
    <x v="2"/>
    <m/>
    <m/>
    <x v="3"/>
    <x v="1"/>
    <m/>
    <s v="contato@casaderepousobelaidade.com.br "/>
  </r>
  <r>
    <x v="77"/>
    <s v="2 anos"/>
    <d v="2018-02-16T00:00:00"/>
    <x v="1"/>
    <x v="76"/>
    <s v=" CASA DE REPOUSO ATHENNA"/>
    <x v="82"/>
    <x v="2"/>
    <m/>
    <m/>
    <x v="2"/>
    <x v="2"/>
    <m/>
    <s v="casaathenna@provencegestao.com.br  "/>
  </r>
  <r>
    <x v="78"/>
    <s v="4 anos"/>
    <d v="2020-02-16T00:00:00"/>
    <x v="1"/>
    <x v="77"/>
    <s v="CLÍNICA GERIÁTRICA NOSSO LAR"/>
    <x v="83"/>
    <x v="2"/>
    <m/>
    <m/>
    <x v="12"/>
    <x v="0"/>
    <m/>
    <s v="hadaiane_goulart@hotmail.com "/>
  </r>
  <r>
    <x v="79"/>
    <s v="4 anos"/>
    <d v="2020-02-16T00:00:00"/>
    <x v="1"/>
    <x v="78"/>
    <s v="RESIDENCIAL JARDIM DAS PALMEIRAS"/>
    <x v="84"/>
    <x v="2"/>
    <m/>
    <m/>
    <x v="8"/>
    <x v="1"/>
    <m/>
    <s v="deco@jardimdaspalmeiras.com "/>
  </r>
  <r>
    <x v="80"/>
    <s v="4 anos"/>
    <d v="2020-02-16T00:00:00"/>
    <x v="0"/>
    <x v="79"/>
    <s v="GRUPO BENEFICENTE DIVINO AMIGO"/>
    <x v="85"/>
    <x v="2"/>
    <m/>
    <m/>
    <x v="6"/>
    <x v="2"/>
    <m/>
    <s v="lda@lardivinoamigo.com.br "/>
  </r>
  <r>
    <x v="81"/>
    <s v="4 anos"/>
    <d v="2020-05-24T00:00:00"/>
    <x v="1"/>
    <x v="80"/>
    <s v="LAR IRMÃ ROSAURA"/>
    <x v="86"/>
    <x v="2"/>
    <m/>
    <m/>
    <x v="10"/>
    <x v="4"/>
    <m/>
    <s v="larirmarosaura@hotmail.com "/>
  </r>
  <r>
    <x v="82"/>
    <s v="4 anos"/>
    <d v="2020-05-24T00:00:00"/>
    <x v="1"/>
    <x v="81"/>
    <s v="NOSSA CASA RESIDENCIAL PARA IDOSOS– _x000a_UNIDADE II"/>
    <x v="87"/>
    <x v="2"/>
    <m/>
    <m/>
    <x v="1"/>
    <x v="1"/>
    <m/>
    <s v="nossacasa.adm@terra.com.br "/>
  </r>
  <r>
    <x v="83"/>
    <s v="2 anos"/>
    <d v="2018-05-24T00:00:00"/>
    <x v="0"/>
    <x v="82"/>
    <m/>
    <x v="88"/>
    <x v="1"/>
    <m/>
    <m/>
    <x v="20"/>
    <x v="2"/>
    <m/>
    <s v="uniaodajuta@hotmail.com "/>
  </r>
  <r>
    <x v="84"/>
    <s v="4 anos"/>
    <d v="2020-05-24T00:00:00"/>
    <x v="1"/>
    <x v="83"/>
    <s v="CANTINHO DA VILA"/>
    <x v="89"/>
    <x v="2"/>
    <m/>
    <m/>
    <x v="23"/>
    <x v="4"/>
    <m/>
    <s v="cantonhodavila@yahoo.com.br "/>
  </r>
  <r>
    <x v="85"/>
    <s v="4 anos"/>
    <d v="2020-05-24T00:00:00"/>
    <x v="1"/>
    <x v="84"/>
    <m/>
    <x v="90"/>
    <x v="2"/>
    <m/>
    <m/>
    <x v="2"/>
    <x v="2"/>
    <m/>
    <s v="cestariesilveira@bol.com.br "/>
  </r>
  <r>
    <x v="86"/>
    <s v="4 anos"/>
    <d v="2020-05-25T00:00:00"/>
    <x v="1"/>
    <x v="85"/>
    <s v="CASA DE REPOUSO RECANTO DOS IDOSOS_x000a_SÃO JOSÉ LTDA - ME – UNIDADE II"/>
    <x v="91"/>
    <x v="2"/>
    <m/>
    <m/>
    <x v="20"/>
    <x v="2"/>
    <m/>
    <s v="antonio.mgo@terra.com.br "/>
  </r>
  <r>
    <x v="87"/>
    <s v="4 anos"/>
    <d v="2020-05-25T00:00:00"/>
    <x v="1"/>
    <x v="86"/>
    <s v="CASA DE REPOUSO RESIDENCIAL SOL NASCENTE"/>
    <x v="92"/>
    <x v="2"/>
    <m/>
    <m/>
    <x v="17"/>
    <x v="1"/>
    <m/>
    <s v="enfsolnascente@gmail.com "/>
  </r>
  <r>
    <x v="88"/>
    <s v="2 anos"/>
    <d v="2021-11-29T00:00:00"/>
    <x v="1"/>
    <x v="87"/>
    <s v="CASA DE REPOUSO PACAEMBU "/>
    <x v="93"/>
    <x v="2"/>
    <m/>
    <m/>
    <x v="14"/>
    <x v="0"/>
    <m/>
    <s v="Cr-bellica@bol.com.br "/>
  </r>
  <r>
    <x v="89"/>
    <s v="4 anos"/>
    <d v="2020-06-29T00:00:00"/>
    <x v="1"/>
    <x v="88"/>
    <s v="FLOR DE LIZ CLINICA DE LONGA PERMANENCIA"/>
    <x v="94"/>
    <x v="2"/>
    <m/>
    <m/>
    <x v="24"/>
    <x v="4"/>
    <m/>
    <s v="flordeliz.cilmara@gmail.com "/>
  </r>
  <r>
    <x v="90"/>
    <s v="4 anos"/>
    <d v="2020-06-29T00:00:00"/>
    <x v="1"/>
    <x v="89"/>
    <s v="FELICITÁ RESIDENCIAL PARA IDOSOS "/>
    <x v="95"/>
    <x v="2"/>
    <m/>
    <m/>
    <x v="14"/>
    <x v="0"/>
    <m/>
    <s v="NÃO TEM"/>
  </r>
  <r>
    <x v="91"/>
    <s v="4 anos"/>
    <d v="2020-06-29T00:00:00"/>
    <x v="1"/>
    <x v="90"/>
    <s v="LAREIRA RESIDENCIAL "/>
    <x v="96"/>
    <x v="2"/>
    <m/>
    <m/>
    <x v="5"/>
    <x v="0"/>
    <m/>
    <s v="lareiralar@yahoo.com.br "/>
  </r>
  <r>
    <x v="92"/>
    <s v="2 anos"/>
    <d v="2021-11-29T00:00:00"/>
    <x v="1"/>
    <x v="91"/>
    <s v="PRORESIDENCE CASA DE REPOUSO "/>
    <x v="97"/>
    <x v="2"/>
    <m/>
    <m/>
    <x v="14"/>
    <x v="0"/>
    <m/>
    <s v="fernandaprizon@ig.com.br "/>
  </r>
  <r>
    <x v="93"/>
    <s v="4 anos"/>
    <d v="2020-06-29T00:00:00"/>
    <x v="1"/>
    <x v="92"/>
    <s v="CONVIVA MORADA DO SOL"/>
    <x v="98"/>
    <x v="2"/>
    <m/>
    <m/>
    <x v="12"/>
    <x v="0"/>
    <m/>
    <m/>
  </r>
  <r>
    <x v="94"/>
    <s v="2 anos"/>
    <d v="2018-06-29T00:00:00"/>
    <x v="1"/>
    <x v="93"/>
    <s v="JARDIM DA MATURIDADE CHEN DE CHRISTO "/>
    <x v="99"/>
    <x v="2"/>
    <m/>
    <m/>
    <x v="8"/>
    <x v="1"/>
    <m/>
    <s v="ariozorio@terra.com.br "/>
  </r>
  <r>
    <x v="95"/>
    <s v="4 anos"/>
    <d v="2020-06-29T00:00:00"/>
    <x v="1"/>
    <x v="94"/>
    <s v="NURSE’S LIFE CUIDADORES LEGAIS "/>
    <x v="100"/>
    <x v="2"/>
    <m/>
    <m/>
    <x v="20"/>
    <x v="2"/>
    <m/>
    <s v="contato@nurseslife.com.br "/>
  </r>
  <r>
    <x v="96"/>
    <s v="2 anos"/>
    <d v="2023-11-29T00:00:00"/>
    <x v="1"/>
    <x v="95"/>
    <s v="RESIDENCIAL ESPAÇO SAÚDE  I"/>
    <x v="101"/>
    <x v="2"/>
    <m/>
    <m/>
    <x v="8"/>
    <x v="1"/>
    <m/>
    <s v="res@residencialespacosaude.com.br "/>
  </r>
  <r>
    <x v="97"/>
    <s v="2 anos"/>
    <d v="2023-11-29T00:00:00"/>
    <x v="1"/>
    <x v="95"/>
    <s v="RESIDENCIAL ESPAÇO SAÚDE  II"/>
    <x v="102"/>
    <x v="2"/>
    <m/>
    <m/>
    <x v="8"/>
    <x v="1"/>
    <m/>
    <s v="res@residencialespacosaude.com.br "/>
  </r>
  <r>
    <x v="98"/>
    <s v="2 anos"/>
    <d v="2023-11-29T00:00:00"/>
    <x v="1"/>
    <x v="95"/>
    <s v="RESIDENCIAL ESPAÇO SAÚDE  III"/>
    <x v="103"/>
    <x v="2"/>
    <m/>
    <m/>
    <x v="8"/>
    <x v="1"/>
    <m/>
    <s v="res@residencialespacosaude.com.br "/>
  </r>
  <r>
    <x v="99"/>
    <s v="2 anos"/>
    <d v="2018-06-29T00:00:00"/>
    <x v="0"/>
    <x v="96"/>
    <s v="RESIDENCIAL SANTA CATARINA/CRI - CENTRO DE REFERENCIA DO IDOSO DA ZONA NORTE"/>
    <x v="104"/>
    <x v="2"/>
    <m/>
    <m/>
    <x v="7"/>
    <x v="3"/>
    <m/>
    <s v="Lila@secretaria.acsc.org.br "/>
  </r>
  <r>
    <x v="100"/>
    <s v="4 anos"/>
    <d v="2020-06-29T00:00:00"/>
    <x v="1"/>
    <x v="97"/>
    <s v="CASA DE REPOUSO LUZ &amp; VIDA "/>
    <x v="105"/>
    <x v="2"/>
    <m/>
    <m/>
    <x v="14"/>
    <x v="0"/>
    <m/>
    <m/>
  </r>
  <r>
    <x v="101"/>
    <s v="2 anos"/>
    <d v="2018-08-09T00:00:00"/>
    <x v="0"/>
    <x v="98"/>
    <s v="NÚCLEO DE CONVIVÊNCIA DO IDODO GAIA"/>
    <x v="106"/>
    <x v="1"/>
    <m/>
    <m/>
    <x v="8"/>
    <x v="1"/>
    <m/>
    <s v="gaiagaia@terra.com.br "/>
  </r>
  <r>
    <x v="102"/>
    <s v="2 anos"/>
    <d v="2020-12-20T00:00:00"/>
    <x v="0"/>
    <x v="99"/>
    <s v="CENTRO DE ACOLHIMENTO ESPECIAL _x000a_PARA IDOSOS MORADA NOVA LUZ"/>
    <x v="107"/>
    <x v="5"/>
    <m/>
    <m/>
    <x v="7"/>
    <x v="3"/>
    <m/>
    <s v="moradanovaluzam@misericordia.com.br"/>
  </r>
  <r>
    <x v="103"/>
    <s v="4 anos"/>
    <d v="2020-08-09T00:00:00"/>
    <x v="1"/>
    <x v="100"/>
    <s v="HOPE RESIDENCIAL PARA IDOSOS"/>
    <x v="108"/>
    <x v="2"/>
    <m/>
    <m/>
    <x v="23"/>
    <x v="4"/>
    <m/>
    <m/>
  </r>
  <r>
    <x v="104"/>
    <s v="4 anos"/>
    <d v="2020-08-09T00:00:00"/>
    <x v="1"/>
    <x v="101"/>
    <s v="ESTÂNCIA DA CANTAREIRA "/>
    <x v="109"/>
    <x v="2"/>
    <m/>
    <m/>
    <x v="25"/>
    <x v="4"/>
    <m/>
    <s v="atendimentoestanciacantareira.com.br  "/>
  </r>
  <r>
    <x v="105"/>
    <s v="4 anos"/>
    <d v="2020-10-04T00:00:00"/>
    <x v="1"/>
    <x v="102"/>
    <s v="CASA DE REPOUSO BENDIAPA"/>
    <x v="110"/>
    <x v="2"/>
    <m/>
    <m/>
    <x v="2"/>
    <x v="2"/>
    <m/>
    <s v="beatriz.bendiapa@outlook.com "/>
  </r>
  <r>
    <x v="106"/>
    <s v="4 anos"/>
    <d v="2023-08-12T00:00:00"/>
    <x v="0"/>
    <x v="103"/>
    <s v="CASA DIVINA PROVIDÊNCIA"/>
    <x v="111"/>
    <x v="2"/>
    <m/>
    <m/>
    <x v="11"/>
    <x v="2"/>
    <m/>
    <s v="conselho.administrativo@ipvss.org.br "/>
  </r>
  <r>
    <x v="107"/>
    <s v="4 anos"/>
    <d v="2023-11-29T00:00:00"/>
    <x v="0"/>
    <x v="104"/>
    <s v="NÚCLEO DE CONVIVÊNCIA IDOSO JOVEM VEM VIVER"/>
    <x v="112"/>
    <x v="1"/>
    <m/>
    <m/>
    <x v="26"/>
    <x v="2"/>
    <m/>
    <m/>
  </r>
  <r>
    <x v="108"/>
    <s v="4 anos"/>
    <d v="2020-10-04T00:00:00"/>
    <x v="1"/>
    <x v="105"/>
    <s v="HOSPEDARIA AMOR FRATERNAL"/>
    <x v="113"/>
    <x v="2"/>
    <m/>
    <m/>
    <x v="23"/>
    <x v="4"/>
    <m/>
    <s v="hopedariaamorfraternal@gmail.com "/>
  </r>
  <r>
    <x v="109"/>
    <s v="2 anos"/>
    <d v="2023-11-29T00:00:00"/>
    <x v="0"/>
    <x v="106"/>
    <s v="MORADA SÃO JOÃO"/>
    <x v="114"/>
    <x v="5"/>
    <m/>
    <m/>
    <x v="7"/>
    <x v="3"/>
    <m/>
    <s v="casajoaomoura@gmail.com "/>
  </r>
  <r>
    <x v="110"/>
    <s v="2 anos"/>
    <d v="2023-11-29T00:00:00"/>
    <x v="0"/>
    <x v="106"/>
    <s v="ILPI BUTANTÃ"/>
    <x v="115"/>
    <x v="2"/>
    <m/>
    <m/>
    <x v="12"/>
    <x v="0"/>
    <m/>
    <m/>
  </r>
  <r>
    <x v="111"/>
    <s v="4 anos"/>
    <d v="2020-11-18T00:00:00"/>
    <x v="1"/>
    <x v="107"/>
    <s v="CASA DE REPOUSO RENASCER"/>
    <x v="116"/>
    <x v="2"/>
    <m/>
    <m/>
    <x v="14"/>
    <x v="0"/>
    <m/>
    <m/>
  </r>
  <r>
    <x v="112"/>
    <s v="4 anos"/>
    <d v="2024-01-30T00:00:00"/>
    <x v="0"/>
    <x v="108"/>
    <s v="IRMÃ SUZANNE CROS"/>
    <x v="117"/>
    <x v="1"/>
    <m/>
    <m/>
    <x v="22"/>
    <x v="2"/>
    <m/>
    <s v="sepas@sepas.org.br "/>
  </r>
  <r>
    <x v="113"/>
    <s v="4 anos"/>
    <d v="2024-01-30T00:00:00"/>
    <x v="0"/>
    <x v="108"/>
    <s v="DOM FERNANDO LEGAL"/>
    <x v="117"/>
    <x v="0"/>
    <m/>
    <m/>
    <x v="22"/>
    <x v="2"/>
    <m/>
    <s v="sepas@sepas.org.br "/>
  </r>
  <r>
    <x v="114"/>
    <s v="2 anos"/>
    <d v="2024-02-18T00:00:00"/>
    <x v="0"/>
    <x v="109"/>
    <s v="LAR PEDRO BÁLAZS"/>
    <x v="118"/>
    <x v="2"/>
    <m/>
    <m/>
    <x v="21"/>
    <x v="4"/>
    <m/>
    <s v="30desetembro@uol.com.br"/>
  </r>
  <r>
    <x v="115"/>
    <s v="2 anos"/>
    <d v="2018-12-19T00:00:00"/>
    <x v="1"/>
    <x v="110"/>
    <s v="Segunda Família "/>
    <x v="119"/>
    <x v="2"/>
    <m/>
    <m/>
    <x v="13"/>
    <x v="2"/>
    <m/>
    <s v="fisiocorp12@bol.com.br"/>
  </r>
  <r>
    <x v="116"/>
    <s v="2 anos"/>
    <d v="2021-02-13T00:00:00"/>
    <x v="0"/>
    <x v="111"/>
    <s v="Casa de Repouso Otoniel Mota"/>
    <x v="120"/>
    <x v="2"/>
    <m/>
    <m/>
    <x v="15"/>
    <x v="1"/>
    <m/>
    <s v="contato@aeb-brasil.org.br"/>
  </r>
  <r>
    <x v="117"/>
    <s v="2 anos"/>
    <d v="2023-11-29T00:00:00"/>
    <x v="1"/>
    <x v="112"/>
    <s v="Residencial Vida Plena "/>
    <x v="121"/>
    <x v="2"/>
    <m/>
    <m/>
    <x v="10"/>
    <x v="4"/>
    <m/>
    <s v="contato@casaderepousovidaplena.com.br"/>
  </r>
  <r>
    <x v="118"/>
    <s v="2 anos"/>
    <d v="2023-11-29T00:00:00"/>
    <x v="1"/>
    <x v="113"/>
    <m/>
    <x v="122"/>
    <x v="2"/>
    <m/>
    <m/>
    <x v="5"/>
    <x v="1"/>
    <m/>
    <s v="vidahomecare@terra.com.br"/>
  </r>
  <r>
    <x v="119"/>
    <s v="4 anos"/>
    <d v="2020-12-19T00:00:00"/>
    <x v="1"/>
    <x v="114"/>
    <s v="Casa de Repouso Convivência "/>
    <x v="123"/>
    <x v="2"/>
    <m/>
    <m/>
    <x v="13"/>
    <x v="2"/>
    <m/>
    <m/>
  </r>
  <r>
    <x v="120"/>
    <s v="4 anos"/>
    <d v="2021-01-23T00:00:00"/>
    <x v="1"/>
    <x v="115"/>
    <s v="PESQUISA - INSTITUTO TELLUS"/>
    <x v="124"/>
    <x v="4"/>
    <m/>
    <m/>
    <x v="5"/>
    <x v="0"/>
    <m/>
    <s v="gernamo.guimaraes@tellus.org.br "/>
  </r>
  <r>
    <x v="121"/>
    <s v="4 anos"/>
    <d v="2021-01-23T00:00:00"/>
    <x v="1"/>
    <x v="116"/>
    <s v="RESIDENCIAL MELHOR IDADE"/>
    <x v="125"/>
    <x v="2"/>
    <m/>
    <m/>
    <x v="8"/>
    <x v="1"/>
    <m/>
    <s v="falecommelhoridade@gmail.com "/>
  </r>
  <r>
    <x v="122"/>
    <s v="4 anos"/>
    <d v="2021-01-23T00:00:00"/>
    <x v="1"/>
    <x v="117"/>
    <s v="RECANTO DOS NOBRES"/>
    <x v="126"/>
    <x v="2"/>
    <m/>
    <m/>
    <x v="2"/>
    <x v="2"/>
    <m/>
    <s v="alencarbruna@yahoo.com.br "/>
  </r>
  <r>
    <x v="123"/>
    <s v="4 anos"/>
    <d v="2021-01-23T00:00:00"/>
    <x v="1"/>
    <x v="118"/>
    <s v="CASA DE REPOUSO FAROL"/>
    <x v="127"/>
    <x v="2"/>
    <m/>
    <m/>
    <x v="6"/>
    <x v="2"/>
    <m/>
    <s v="casaderepousofarol@yahoo.com.br "/>
  </r>
  <r>
    <x v="124"/>
    <s v="4 anos"/>
    <d v="2021-03-01T00:00:00"/>
    <x v="1"/>
    <x v="119"/>
    <s v="CASA DE REPOUSO ESPERANÇA"/>
    <x v="128"/>
    <x v="2"/>
    <m/>
    <m/>
    <x v="27"/>
    <x v="1"/>
    <m/>
    <s v="rosangela.portes@gmail.com "/>
  </r>
  <r>
    <x v="125"/>
    <s v="4 anos"/>
    <d v="2021-03-01T00:00:00"/>
    <x v="0"/>
    <x v="120"/>
    <s v="Atividades, Ações e Projetos Sociais"/>
    <x v="129"/>
    <x v="4"/>
    <m/>
    <m/>
    <x v="7"/>
    <x v="3"/>
    <m/>
    <s v="olheobservatorio@gmail.com "/>
  </r>
  <r>
    <x v="126"/>
    <s v="4 anos"/>
    <d v="2021-03-01T00:00:00"/>
    <x v="0"/>
    <x v="121"/>
    <s v="ECOS"/>
    <x v="130"/>
    <x v="1"/>
    <m/>
    <m/>
    <x v="28"/>
    <x v="2"/>
    <m/>
    <s v="ecos-social@hotmail.com "/>
  </r>
  <r>
    <x v="127"/>
    <s v="4 anos"/>
    <d v="2021-04-10T00:00:00"/>
    <x v="0"/>
    <x v="122"/>
    <s v="PROJETOS SOCIAIS E DESENVOLVIMENTO"/>
    <x v="131"/>
    <x v="4"/>
    <m/>
    <m/>
    <x v="7"/>
    <x v="3"/>
    <m/>
    <s v="leopoldina.sanches@cip.org.br"/>
  </r>
  <r>
    <x v="128"/>
    <s v="4 anos"/>
    <d v="2021-04-10T00:00:00"/>
    <x v="0"/>
    <x v="123"/>
    <s v="PROGRAMA DE ATENÇÃO À PESSOA IDOSA"/>
    <x v="132"/>
    <x v="4"/>
    <m/>
    <m/>
    <x v="2"/>
    <x v="2"/>
    <m/>
    <s v="camila@reciclazaro.org.br"/>
  </r>
  <r>
    <x v="128"/>
    <s v="4 anos"/>
    <d v="2021-04-10T00:00:00"/>
    <x v="0"/>
    <x v="123"/>
    <s v="GUADALUPE"/>
    <x v="133"/>
    <x v="0"/>
    <m/>
    <m/>
    <x v="14"/>
    <x v="0"/>
    <m/>
    <s v="camila@reciclazaro.org.br"/>
  </r>
  <r>
    <x v="128"/>
    <s v="4 anos"/>
    <d v="2021-04-10T00:00:00"/>
    <x v="0"/>
    <x v="123"/>
    <s v="CASA DE SIMEÃO"/>
    <x v="134"/>
    <x v="5"/>
    <m/>
    <m/>
    <x v="14"/>
    <x v="0"/>
    <m/>
    <s v="camila@reciclazaro.org.br"/>
  </r>
  <r>
    <x v="129"/>
    <s v="4 anos"/>
    <d v="2021-04-10T00:00:00"/>
    <x v="0"/>
    <x v="124"/>
    <s v="ABRIGO DA VELHICE DESAMPARADA"/>
    <x v="135"/>
    <x v="2"/>
    <m/>
    <m/>
    <x v="13"/>
    <x v="2"/>
    <m/>
    <s v="abrigo@abrigobexerrademenezes.org.br"/>
  </r>
  <r>
    <x v="130"/>
    <s v="4 anos"/>
    <d v="2021-04-10T00:00:00"/>
    <x v="1"/>
    <x v="125"/>
    <s v="RECANTO DA 3ª IDADE"/>
    <x v="136"/>
    <x v="2"/>
    <m/>
    <m/>
    <x v="0"/>
    <x v="4"/>
    <m/>
    <s v="recanto.eidade@gmail.com"/>
  </r>
  <r>
    <x v="131"/>
    <s v="2 anos"/>
    <d v="2019-04-10T00:00:00"/>
    <x v="1"/>
    <x v="126"/>
    <s v="CASA DE REPOUSO XODÓ DA VOVÓ"/>
    <x v="137"/>
    <x v="2"/>
    <m/>
    <m/>
    <x v="10"/>
    <x v="4"/>
    <m/>
    <s v="ilpxododavovo@hotmail.com"/>
  </r>
  <r>
    <x v="132"/>
    <s v="4 anos"/>
    <d v="2021-04-10T00:00:00"/>
    <x v="1"/>
    <x v="127"/>
    <s v="RESIDENCIAL CANAÃ"/>
    <x v="138"/>
    <x v="2"/>
    <m/>
    <m/>
    <x v="2"/>
    <x v="2"/>
    <m/>
    <s v="mglpensionato@gmail.com"/>
  </r>
  <r>
    <x v="133"/>
    <s v="2 anos"/>
    <d v="2019-04-10T00:00:00"/>
    <x v="0"/>
    <x v="128"/>
    <s v="MORADA DO SOL"/>
    <x v="139"/>
    <x v="2"/>
    <m/>
    <m/>
    <x v="29"/>
    <x v="1"/>
    <m/>
    <s v="não possui"/>
  </r>
  <r>
    <x v="134"/>
    <s v="4 anos"/>
    <d v="2021-04-10T00:00:00"/>
    <x v="1"/>
    <x v="129"/>
    <s v="UNIDADE I"/>
    <x v="140"/>
    <x v="2"/>
    <m/>
    <m/>
    <x v="1"/>
    <x v="1"/>
    <m/>
    <s v="não possui"/>
  </r>
  <r>
    <x v="134"/>
    <s v="4 anos"/>
    <d v="2021-04-10T00:00:00"/>
    <x v="1"/>
    <x v="129"/>
    <s v="UNIDADE II"/>
    <x v="141"/>
    <x v="2"/>
    <m/>
    <m/>
    <x v="1"/>
    <x v="1"/>
    <m/>
    <s v="não possui"/>
  </r>
  <r>
    <x v="135"/>
    <s v="2 anos"/>
    <d v="2019-04-10T00:00:00"/>
    <x v="1"/>
    <x v="130"/>
    <s v="ABRIGO DOS VELHINHOS FREDERICO OZANAM"/>
    <x v="142"/>
    <x v="2"/>
    <m/>
    <m/>
    <x v="30"/>
    <x v="4"/>
    <m/>
    <s v="gerencia@abrigoozanam.org.br"/>
  </r>
  <r>
    <x v="136"/>
    <s v="2 anos"/>
    <d v="2019-05-22T00:00:00"/>
    <x v="1"/>
    <x v="131"/>
    <s v="PASARGADA"/>
    <x v="143"/>
    <x v="0"/>
    <m/>
    <m/>
    <x v="7"/>
    <x v="3"/>
    <m/>
    <s v="pasargada.centrodia@gmail.com"/>
  </r>
  <r>
    <x v="137"/>
    <s v="2 anos"/>
    <d v="2019-05-22T00:00:00"/>
    <x v="1"/>
    <x v="132"/>
    <s v="CANTINHO DA TERCEIRA IDADE"/>
    <x v="144"/>
    <x v="2"/>
    <m/>
    <m/>
    <x v="4"/>
    <x v="1"/>
    <m/>
    <s v="contato@cantinhodaterceiraidade.com.br"/>
  </r>
  <r>
    <x v="138"/>
    <s v="4 anos"/>
    <d v="2019-05-22T00:00:00"/>
    <x v="1"/>
    <x v="133"/>
    <s v="MENTAL SÊNIOR"/>
    <x v="145"/>
    <x v="2"/>
    <m/>
    <m/>
    <x v="1"/>
    <x v="1"/>
    <m/>
    <s v="secretaria@mentalsenior.com.br"/>
  </r>
  <r>
    <x v="139"/>
    <s v="2 anos"/>
    <d v="2019-05-22T00:00:00"/>
    <x v="1"/>
    <x v="134"/>
    <m/>
    <x v="146"/>
    <x v="2"/>
    <m/>
    <m/>
    <x v="24"/>
    <x v="4"/>
    <m/>
    <s v="pousadadeidososflordelotus@hotmail.com"/>
  </r>
  <r>
    <x v="140"/>
    <s v="4 anos"/>
    <d v="2021-06-21T00:00:00"/>
    <x v="1"/>
    <x v="135"/>
    <s v="Lar Ipiranga"/>
    <x v="147"/>
    <x v="2"/>
    <m/>
    <m/>
    <x v="17"/>
    <x v="1"/>
    <m/>
    <s v="teonio@laripiranga.com.br"/>
  </r>
  <r>
    <x v="141"/>
    <s v="4 anos"/>
    <d v="2024-02-18T00:00:00"/>
    <x v="0"/>
    <x v="136"/>
    <s v="Tia Alzira"/>
    <x v="148"/>
    <x v="1"/>
    <m/>
    <m/>
    <x v="19"/>
    <x v="1"/>
    <m/>
    <s v="associacao@grupodacaridade.org"/>
  </r>
  <r>
    <x v="142"/>
    <s v="4 anos"/>
    <d v="2021-06-21T00:00:00"/>
    <x v="1"/>
    <x v="137"/>
    <s v="Em Família Casa de Repouso"/>
    <x v="149"/>
    <x v="2"/>
    <m/>
    <m/>
    <x v="7"/>
    <x v="3"/>
    <m/>
    <s v="armando@residencialemfamilia.com.br"/>
  </r>
  <r>
    <x v="143"/>
    <s v="2 anos"/>
    <d v="2024-01-30T00:00:00"/>
    <x v="0"/>
    <x v="138"/>
    <m/>
    <x v="150"/>
    <x v="2"/>
    <m/>
    <m/>
    <x v="31"/>
    <x v="4"/>
    <m/>
    <s v="provedoria@terra.com.br"/>
  </r>
  <r>
    <x v="144"/>
    <s v="2 anos"/>
    <d v="2022-02-18T00:00:00"/>
    <x v="0"/>
    <x v="139"/>
    <s v="C.V.O.L"/>
    <x v="151"/>
    <x v="2"/>
    <m/>
    <m/>
    <x v="8"/>
    <x v="1"/>
    <m/>
    <s v="diretoria@ondinalobo.org.br"/>
  </r>
  <r>
    <x v="145"/>
    <s v="4 anos"/>
    <d v="2024-01-27T00:00:00"/>
    <x v="1"/>
    <x v="140"/>
    <m/>
    <x v="152"/>
    <x v="2"/>
    <m/>
    <m/>
    <x v="1"/>
    <x v="1"/>
    <m/>
    <s v="mammamiacr@terra.com.br"/>
  </r>
  <r>
    <x v="146"/>
    <s v="2 anos"/>
    <d v="2019-06-21T00:00:00"/>
    <x v="1"/>
    <x v="141"/>
    <s v="Vivere Senior Living"/>
    <x v="153"/>
    <x v="2"/>
    <m/>
    <m/>
    <x v="15"/>
    <x v="1"/>
    <m/>
    <s v="sandralopomo@vivereseniorliving.com.br"/>
  </r>
  <r>
    <x v="147"/>
    <s v="4 anos"/>
    <d v="2021-06-21T00:00:00"/>
    <x v="1"/>
    <x v="142"/>
    <s v="Casa Happy Day"/>
    <x v="154"/>
    <x v="2"/>
    <m/>
    <m/>
    <x v="2"/>
    <x v="2"/>
    <m/>
    <s v="alexandreiglesia@hotmail.com"/>
  </r>
  <r>
    <x v="148"/>
    <s v="2 anos"/>
    <d v="2019-06-21T00:00:00"/>
    <x v="1"/>
    <x v="143"/>
    <s v="Residencial São Bento"/>
    <x v="155"/>
    <x v="2"/>
    <m/>
    <m/>
    <x v="2"/>
    <x v="2"/>
    <m/>
    <s v="valdir@institutosaobento.com.br"/>
  </r>
  <r>
    <x v="149"/>
    <s v="2 anos"/>
    <d v="2021-05-27T00:00:00"/>
    <x v="1"/>
    <x v="144"/>
    <m/>
    <x v="156"/>
    <x v="2"/>
    <m/>
    <m/>
    <x v="20"/>
    <x v="2"/>
    <m/>
    <s v="campos.plinio@bol.com.br"/>
  </r>
  <r>
    <x v="150"/>
    <s v="2 anos"/>
    <d v="2019-06-21T00:00:00"/>
    <x v="0"/>
    <x v="145"/>
    <s v="Jd. Umuarama"/>
    <x v="157"/>
    <x v="5"/>
    <m/>
    <m/>
    <x v="18"/>
    <x v="1"/>
    <m/>
    <s v="coordenação@espacoaberto.org.br"/>
  </r>
  <r>
    <x v="150"/>
    <s v="2 anos"/>
    <d v="2019-06-21T00:00:00"/>
    <x v="0"/>
    <x v="145"/>
    <s v="Espaço Aberto I"/>
    <x v="157"/>
    <x v="1"/>
    <m/>
    <m/>
    <x v="18"/>
    <x v="1"/>
    <m/>
    <s v="coordenação@espacoaberto.org.br"/>
  </r>
  <r>
    <x v="150"/>
    <s v="2 anos"/>
    <d v="2019-06-21T00:00:00"/>
    <x v="0"/>
    <x v="145"/>
    <s v="Pedreira"/>
    <x v="157"/>
    <x v="1"/>
    <m/>
    <m/>
    <x v="18"/>
    <x v="1"/>
    <m/>
    <s v="coordenação@espacoaberto.org.br"/>
  </r>
  <r>
    <x v="150"/>
    <s v="2 anos"/>
    <d v="2019-06-21T00:00:00"/>
    <x v="0"/>
    <x v="145"/>
    <s v="Vila Portela "/>
    <x v="157"/>
    <x v="1"/>
    <m/>
    <m/>
    <x v="18"/>
    <x v="1"/>
    <m/>
    <s v="coordenação@espacoaberto.org.br"/>
  </r>
  <r>
    <x v="151"/>
    <s v="4 anos"/>
    <d v="2021-06-21T00:00:00"/>
    <x v="0"/>
    <x v="146"/>
    <s v="Residencial Santa Cruz"/>
    <x v="158"/>
    <x v="2"/>
    <m/>
    <m/>
    <x v="8"/>
    <x v="1"/>
    <m/>
    <s v="iisc@iisc.org.br"/>
  </r>
  <r>
    <x v="152"/>
    <s v="4 anos"/>
    <d v="2021-06-21T00:00:00"/>
    <x v="1"/>
    <x v="147"/>
    <s v="Vivace Residencial para Idosos "/>
    <x v="159"/>
    <x v="2"/>
    <m/>
    <m/>
    <x v="1"/>
    <x v="1"/>
    <m/>
    <s v="roberto@casaderepousovivace.com.br"/>
  </r>
  <r>
    <x v="153"/>
    <s v="4 anos"/>
    <d v="2024-02-18T00:00:00"/>
    <x v="1"/>
    <x v="148"/>
    <s v="Vila Ipê Espaço de Vivência Senior"/>
    <x v="160"/>
    <x v="2"/>
    <m/>
    <m/>
    <x v="12"/>
    <x v="0"/>
    <m/>
    <s v="license@license.com.br"/>
  </r>
  <r>
    <x v="154"/>
    <s v="4 anos"/>
    <d v="2021-06-21T00:00:00"/>
    <x v="1"/>
    <x v="149"/>
    <s v="Casa de Repouso Santa Fé "/>
    <x v="161"/>
    <x v="2"/>
    <m/>
    <m/>
    <x v="14"/>
    <x v="0"/>
    <m/>
    <s v="casaderepousosantafe@hotmail.com"/>
  </r>
  <r>
    <x v="155"/>
    <s v="2 anos"/>
    <d v="2022-02-18T00:00:00"/>
    <x v="1"/>
    <x v="150"/>
    <s v="Angels4U Cuidando de Quem Você Ama "/>
    <x v="162"/>
    <x v="0"/>
    <m/>
    <m/>
    <x v="17"/>
    <x v="1"/>
    <m/>
    <s v="contato@angels4u.com.br"/>
  </r>
  <r>
    <x v="156"/>
    <s v="4 anos"/>
    <d v="2021-07-25T00:00:00"/>
    <x v="1"/>
    <x v="151"/>
    <s v="RESIDENCIAL JOÃO E MARIA"/>
    <x v="163"/>
    <x v="2"/>
    <m/>
    <m/>
    <x v="6"/>
    <x v="2"/>
    <m/>
    <s v="eduardo.enfermeiro@gmail.com"/>
  </r>
  <r>
    <x v="157"/>
    <s v="4 anos"/>
    <d v="2021-07-25T00:00:00"/>
    <x v="1"/>
    <x v="152"/>
    <s v="CASA DE REPOUSO VIDA"/>
    <x v="164"/>
    <x v="2"/>
    <m/>
    <m/>
    <x v="20"/>
    <x v="2"/>
    <m/>
    <s v="elisasobrinho@gmail.com"/>
  </r>
  <r>
    <x v="158"/>
    <s v="2 anos"/>
    <d v="2019-07-25T00:00:00"/>
    <x v="1"/>
    <x v="153"/>
    <s v="VIVENDA SANTA FÉ"/>
    <x v="165"/>
    <x v="2"/>
    <m/>
    <m/>
    <x v="5"/>
    <x v="1"/>
    <m/>
    <s v="vivendasantafe@globomail.com "/>
  </r>
  <r>
    <x v="159"/>
    <s v="4 anos"/>
    <d v="2024-01-30T00:00:00"/>
    <x v="0"/>
    <x v="154"/>
    <s v="SANTA CLARA"/>
    <x v="166"/>
    <x v="0"/>
    <m/>
    <m/>
    <x v="3"/>
    <x v="1"/>
    <m/>
    <s v="ccja@ccja.org.br"/>
  </r>
  <r>
    <x v="160"/>
    <s v="4 anos"/>
    <d v="2024-02-18T00:00:00"/>
    <x v="0"/>
    <x v="155"/>
    <s v="CRÊ-SER"/>
    <x v="167"/>
    <x v="1"/>
    <m/>
    <m/>
    <x v="14"/>
    <x v="0"/>
    <m/>
    <s v="gestaocreser@gmail.com"/>
  </r>
  <r>
    <x v="161"/>
    <s v="2 anos"/>
    <d v="2019-12-21T00:00:00"/>
    <x v="1"/>
    <x v="156"/>
    <s v="CORA RESIDENCIAL UNIDADE VILLA LOBOS"/>
    <x v="168"/>
    <x v="2"/>
    <m/>
    <m/>
    <x v="14"/>
    <x v="0"/>
    <m/>
    <s v="Não consta"/>
  </r>
  <r>
    <x v="161"/>
    <s v="2 anos"/>
    <d v="2019-12-21T00:00:00"/>
    <x v="1"/>
    <x v="156"/>
    <s v="CORA RESIDENCIAL UNIDADE CAMPO BELO"/>
    <x v="169"/>
    <x v="2"/>
    <m/>
    <m/>
    <x v="8"/>
    <x v="1"/>
    <m/>
    <s v="Não consta"/>
  </r>
  <r>
    <x v="161"/>
    <s v="2 anos"/>
    <d v="2019-12-21T00:00:00"/>
    <x v="1"/>
    <x v="156"/>
    <s v="CORA RESIDENCIAL UNIDADE TATUAPÉ"/>
    <x v="170"/>
    <x v="2"/>
    <m/>
    <m/>
    <x v="2"/>
    <x v="2"/>
    <m/>
    <s v="Não consta"/>
  </r>
  <r>
    <x v="161"/>
    <s v="2 anos"/>
    <d v="2019-12-21T00:00:00"/>
    <x v="1"/>
    <x v="156"/>
    <s v="CORA RESIDENCIAL UNIDADE JARDINS"/>
    <x v="171"/>
    <x v="2"/>
    <m/>
    <m/>
    <x v="1"/>
    <x v="1"/>
    <m/>
    <s v="Não consta"/>
  </r>
  <r>
    <x v="161"/>
    <s v="2 anos"/>
    <d v="2019-12-21T00:00:00"/>
    <x v="1"/>
    <x v="156"/>
    <s v="CORA RESIDENCIAL UNIDADE IPIRANGA"/>
    <x v="172"/>
    <x v="2"/>
    <m/>
    <m/>
    <x v="17"/>
    <x v="1"/>
    <m/>
    <s v="Não consta"/>
  </r>
  <r>
    <x v="161"/>
    <s v="2 anos"/>
    <d v="2019-12-21T00:00:00"/>
    <x v="1"/>
    <x v="157"/>
    <s v="CORA RESIDENCIAL UNIDADE CHÁCARA SANTO ANTÔNIO"/>
    <x v="173"/>
    <x v="2"/>
    <m/>
    <m/>
    <x v="8"/>
    <x v="1"/>
    <m/>
    <s v="Não consta"/>
  </r>
  <r>
    <x v="161"/>
    <s v="2 anos"/>
    <d v="2019-12-21T00:00:00"/>
    <x v="1"/>
    <x v="158"/>
    <s v="CORA RSIDENCIAL SENIOR UNIDADE HIGIENÓPOLIS"/>
    <x v="174"/>
    <x v="2"/>
    <m/>
    <m/>
    <x v="7"/>
    <x v="3"/>
    <m/>
    <s v="Não consta"/>
  </r>
  <r>
    <x v="162"/>
    <s v="2 anos"/>
    <d v="2019-07-25T00:00:00"/>
    <x v="1"/>
    <x v="159"/>
    <s v="CASA DE REPOUSO SOLAR"/>
    <x v="175"/>
    <x v="2"/>
    <m/>
    <m/>
    <x v="4"/>
    <x v="1"/>
    <m/>
    <s v="casaderepousosolar@gmail.com"/>
  </r>
  <r>
    <x v="163"/>
    <s v="4 anos"/>
    <d v="2024-02-18T00:00:00"/>
    <x v="0"/>
    <x v="160"/>
    <s v="CASA VERDE"/>
    <x v="176"/>
    <x v="2"/>
    <m/>
    <m/>
    <x v="24"/>
    <x v="2"/>
    <m/>
    <s v="gerencia.ilpicasaverde@gmail.com "/>
  </r>
  <r>
    <x v="164"/>
    <s v="2 anos"/>
    <d v="2020-06-20T00:00:00"/>
    <x v="0"/>
    <x v="160"/>
    <s v="Centro Dia Casa Verde"/>
    <x v="177"/>
    <x v="0"/>
    <m/>
    <m/>
    <x v="24"/>
    <x v="4"/>
    <m/>
    <s v="gerenciacentrodiacv@gmail.com"/>
  </r>
  <r>
    <x v="165"/>
    <s v="4 anos"/>
    <d v="2021-07-25T00:00:00"/>
    <x v="1"/>
    <x v="161"/>
    <s v="ÁGAPE CARE"/>
    <x v="178"/>
    <x v="2"/>
    <m/>
    <m/>
    <x v="0"/>
    <x v="4"/>
    <m/>
    <s v="Não consta"/>
  </r>
  <r>
    <x v="166"/>
    <s v="2 anos"/>
    <d v="2019-07-25T00:00:00"/>
    <x v="1"/>
    <x v="162"/>
    <m/>
    <x v="179"/>
    <x v="2"/>
    <m/>
    <m/>
    <x v="10"/>
    <x v="4"/>
    <m/>
    <s v="Não consta"/>
  </r>
  <r>
    <x v="167"/>
    <s v="2 anos"/>
    <d v="2019-07-25T00:00:00"/>
    <x v="1"/>
    <x v="163"/>
    <s v=" RECANTO DOS GUERREIROS"/>
    <x v="180"/>
    <x v="2"/>
    <m/>
    <m/>
    <x v="13"/>
    <x v="2"/>
    <m/>
    <s v="contato@residencialdosguerreiros.com.br"/>
  </r>
  <r>
    <x v="168"/>
    <s v="4 anos"/>
    <d v="2021-07-25T00:00:00"/>
    <x v="1"/>
    <x v="164"/>
    <s v="UNIDADE I"/>
    <x v="181"/>
    <x v="2"/>
    <m/>
    <m/>
    <x v="2"/>
    <x v="2"/>
    <m/>
    <s v="Não consta"/>
  </r>
  <r>
    <x v="168"/>
    <s v="4 anos"/>
    <d v="2021-07-25T00:00:00"/>
    <x v="1"/>
    <x v="164"/>
    <s v="UNIDADE II"/>
    <x v="182"/>
    <x v="2"/>
    <m/>
    <m/>
    <x v="11"/>
    <x v="2"/>
    <m/>
    <s v="Não consta"/>
  </r>
  <r>
    <x v="169"/>
    <s v="4 anos"/>
    <d v="2021-08-21T00:00:00"/>
    <x v="1"/>
    <x v="165"/>
    <s v="CASA DE REPOUSO SONHO DE CUIDAR"/>
    <x v="183"/>
    <x v="2"/>
    <m/>
    <m/>
    <x v="22"/>
    <x v="2"/>
    <m/>
    <s v="Não consta"/>
  </r>
  <r>
    <x v="170"/>
    <s v="2 anos"/>
    <d v="2019-08-21T00:00:00"/>
    <x v="0"/>
    <x v="166"/>
    <s v="JAÇANÃ DA GAROA"/>
    <x v="184"/>
    <x v="2"/>
    <m/>
    <m/>
    <x v="30"/>
    <x v="4"/>
    <m/>
    <s v="apoio@qapoio-sp.org.br"/>
  </r>
  <r>
    <x v="171"/>
    <s v="2 anos"/>
    <d v="2019-08-21T00:00:00"/>
    <x v="0"/>
    <x v="167"/>
    <s v="CASA DE REPOUSO IVA FELIPE"/>
    <x v="185"/>
    <x v="2"/>
    <m/>
    <m/>
    <x v="32"/>
    <x v="2"/>
    <m/>
    <s v="ILPI - Irmã Idelfranca [ilpi.itaimpaulista@gmail.com]"/>
  </r>
  <r>
    <x v="171"/>
    <s v="2 anos"/>
    <d v="2019-08-21T00:00:00"/>
    <x v="0"/>
    <x v="167"/>
    <s v="PADRE GEORGE VINCENT COOR"/>
    <x v="185"/>
    <x v="2"/>
    <m/>
    <m/>
    <x v="22"/>
    <x v="2"/>
    <m/>
    <s v="ILPI - Irmã Idelfranca [ilpi.itaimpaulista@gmail.com]"/>
  </r>
  <r>
    <x v="172"/>
    <s v="2 anos"/>
    <d v="2019-08-21T00:00:00"/>
    <x v="1"/>
    <x v="168"/>
    <s v="CASA DE REPOUSO CAPRICHO"/>
    <x v="186"/>
    <x v="2"/>
    <m/>
    <m/>
    <x v="0"/>
    <x v="4"/>
    <m/>
    <s v="soniamcunha@hotmail.com"/>
  </r>
  <r>
    <x v="173"/>
    <s v="2 anos"/>
    <d v="2019-08-21T00:00:00"/>
    <x v="1"/>
    <x v="169"/>
    <m/>
    <x v="187"/>
    <x v="2"/>
    <m/>
    <m/>
    <x v="24"/>
    <x v="4"/>
    <m/>
    <s v="recanto.caminhodasrosas@hotmail.com"/>
  </r>
  <r>
    <x v="174"/>
    <s v="2 anos"/>
    <d v="2019-08-21T00:00:00"/>
    <x v="1"/>
    <x v="170"/>
    <m/>
    <x v="188"/>
    <x v="2"/>
    <m/>
    <m/>
    <x v="2"/>
    <x v="2"/>
    <m/>
    <s v="N/C"/>
  </r>
  <r>
    <x v="175"/>
    <s v="2 anos"/>
    <d v="2019-08-21T00:00:00"/>
    <x v="1"/>
    <x v="171"/>
    <s v="CASA DE REPOUSO GUSMÃO &amp; CIA"/>
    <x v="189"/>
    <x v="2"/>
    <m/>
    <m/>
    <x v="23"/>
    <x v="4"/>
    <m/>
    <s v="N/C"/>
  </r>
  <r>
    <x v="176"/>
    <s v="4 anos"/>
    <d v="2021-09-12T00:00:00"/>
    <x v="1"/>
    <x v="172"/>
    <s v="CASA DE REPOUSO BEM ME QUER"/>
    <x v="190"/>
    <x v="2"/>
    <m/>
    <m/>
    <x v="16"/>
    <x v="1"/>
    <m/>
    <s v="casaderepousobmq@gmail.com"/>
  </r>
  <r>
    <x v="177"/>
    <s v="2 anos"/>
    <d v="2019-09-12T00:00:00"/>
    <x v="1"/>
    <x v="173"/>
    <s v="CASA DE REPOUSO BENDIAPA"/>
    <x v="191"/>
    <x v="2"/>
    <m/>
    <m/>
    <x v="2"/>
    <x v="2"/>
    <m/>
    <s v="beatriz.bendiapa@outlook.com "/>
  </r>
  <r>
    <x v="178"/>
    <s v="4 anos"/>
    <d v="2021-09-12T00:00:00"/>
    <x v="1"/>
    <x v="174"/>
    <s v="MATRIZ"/>
    <x v="192"/>
    <x v="2"/>
    <m/>
    <m/>
    <x v="13"/>
    <x v="2"/>
    <m/>
    <s v="residenciapenhadefranca@uol.com.br"/>
  </r>
  <r>
    <x v="178"/>
    <s v="4 anos"/>
    <d v="2021-09-12T00:00:00"/>
    <x v="1"/>
    <x v="174"/>
    <s v="FILIAL"/>
    <x v="193"/>
    <x v="2"/>
    <m/>
    <m/>
    <x v="13"/>
    <x v="2"/>
    <m/>
    <s v="residenciapenhadefranca@uol.com.br"/>
  </r>
  <r>
    <x v="179"/>
    <s v="2 anos"/>
    <d v="2019-09-12T00:00:00"/>
    <x v="1"/>
    <x v="175"/>
    <m/>
    <x v="194"/>
    <x v="2"/>
    <m/>
    <m/>
    <x v="8"/>
    <x v="1"/>
    <m/>
    <s v="contato@belavidaresidencial.com.br"/>
  </r>
  <r>
    <x v="180"/>
    <s v="2 anos"/>
    <d v="2019-09-12T00:00:00"/>
    <x v="0"/>
    <x v="176"/>
    <s v="ILPI - SÃO MATEUS"/>
    <x v="195"/>
    <x v="2"/>
    <m/>
    <m/>
    <x v="33"/>
    <x v="2"/>
    <m/>
    <s v="padremoreira@sonhareacontecer.org.br"/>
  </r>
  <r>
    <x v="181"/>
    <s v="4 anos"/>
    <d v="2021-09-12T00:00:00"/>
    <x v="1"/>
    <x v="177"/>
    <s v="CASA DE REPOUSO ESTRELA NASCENTE"/>
    <x v="196"/>
    <x v="2"/>
    <m/>
    <m/>
    <x v="1"/>
    <x v="1"/>
    <m/>
    <s v="casaderepousoestrelanascente@hotmail.com"/>
  </r>
  <r>
    <x v="182"/>
    <s v="2 anos"/>
    <d v="2019-09-12T00:00:00"/>
    <x v="1"/>
    <x v="178"/>
    <s v="CASA DE REPOUSO RECANTO DOS GUERREIROS"/>
    <x v="197"/>
    <x v="2"/>
    <m/>
    <m/>
    <x v="20"/>
    <x v="2"/>
    <m/>
    <s v="sandra.bernardo@globo.com"/>
  </r>
  <r>
    <x v="183"/>
    <s v="4 anos"/>
    <d v="2021-09-12T00:00:00"/>
    <x v="1"/>
    <x v="179"/>
    <m/>
    <x v="198"/>
    <x v="2"/>
    <m/>
    <m/>
    <x v="14"/>
    <x v="0"/>
    <m/>
    <s v="N/C"/>
  </r>
  <r>
    <x v="184"/>
    <s v="4 anos"/>
    <d v="2021-09-12T00:00:00"/>
    <x v="1"/>
    <x v="180"/>
    <m/>
    <x v="199"/>
    <x v="2"/>
    <m/>
    <m/>
    <x v="13"/>
    <x v="2"/>
    <m/>
    <s v="residencialpiresdepaula@gmail.com"/>
  </r>
  <r>
    <x v="185"/>
    <s v="2 anos"/>
    <d v="2019-09-12T00:00:00"/>
    <x v="1"/>
    <x v="181"/>
    <s v="CASA DE REPOUSO ANJOS DE PLANTÃO"/>
    <x v="200"/>
    <x v="2"/>
    <m/>
    <m/>
    <x v="2"/>
    <x v="2"/>
    <m/>
    <s v="reginasalve@hotmail.com"/>
  </r>
  <r>
    <x v="186"/>
    <s v="4 anos"/>
    <d v="2021-09-12T00:00:00"/>
    <x v="1"/>
    <x v="182"/>
    <s v="CASA DO IDOSO ANÁLIA FRANCO"/>
    <x v="201"/>
    <x v="2"/>
    <m/>
    <m/>
    <x v="2"/>
    <x v="2"/>
    <m/>
    <s v="casadoidosoanaliafranco@gmail.com"/>
  </r>
  <r>
    <x v="187"/>
    <s v="4 anos"/>
    <d v="2021-09-12T00:00:00"/>
    <x v="1"/>
    <x v="183"/>
    <s v="RESIDENCIAL BEM VIVER"/>
    <x v="202"/>
    <x v="2"/>
    <m/>
    <m/>
    <x v="2"/>
    <x v="2"/>
    <m/>
    <s v="katiabenevento@gmail.com"/>
  </r>
  <r>
    <x v="188"/>
    <s v="2 anos"/>
    <d v="2019-09-12T00:00:00"/>
    <x v="1"/>
    <x v="184"/>
    <s v="D'PÁDUA RESIDENCIAL"/>
    <x v="203"/>
    <x v="2"/>
    <m/>
    <m/>
    <x v="5"/>
    <x v="1"/>
    <m/>
    <s v="contato@dpaduaresidencial.com.br"/>
  </r>
  <r>
    <x v="189"/>
    <s v="2 anos"/>
    <d v="2019-09-12T00:00:00"/>
    <x v="1"/>
    <x v="185"/>
    <s v="RESIDENCIAL BROOKLIN"/>
    <x v="204"/>
    <x v="2"/>
    <m/>
    <m/>
    <x v="5"/>
    <x v="1"/>
    <m/>
    <s v="residencialbrooklin@hotmail.com"/>
  </r>
  <r>
    <x v="190"/>
    <s v="4 anos"/>
    <d v="2021-09-12T00:00:00"/>
    <x v="1"/>
    <x v="186"/>
    <m/>
    <x v="205"/>
    <x v="2"/>
    <m/>
    <m/>
    <x v="7"/>
    <x v="3"/>
    <m/>
    <s v="armando@residencialemfamilia.com.br"/>
  </r>
  <r>
    <x v="191"/>
    <s v="2 anos"/>
    <d v="2019-09-12T00:00:00"/>
    <x v="1"/>
    <x v="187"/>
    <s v="CASA DE REPOUSO SOLAR DOS ANJOS"/>
    <x v="206"/>
    <x v="2"/>
    <m/>
    <m/>
    <x v="0"/>
    <x v="4"/>
    <m/>
    <s v="monicaduartesecco@hotmail.com"/>
  </r>
  <r>
    <x v="192"/>
    <s v="2 anos"/>
    <d v="2019-10-10T00:00:00"/>
    <x v="1"/>
    <x v="188"/>
    <m/>
    <x v="207"/>
    <x v="2"/>
    <m/>
    <m/>
    <x v="17"/>
    <x v="1"/>
    <m/>
    <s v="srgathas@uol.com.br"/>
  </r>
  <r>
    <x v="193"/>
    <s v="4 anos"/>
    <d v="2021-10-10T00:00:00"/>
    <x v="1"/>
    <x v="189"/>
    <m/>
    <x v="208"/>
    <x v="2"/>
    <m/>
    <m/>
    <x v="2"/>
    <x v="2"/>
    <m/>
    <s v="adm@casaderepousoamorevitta.com.br"/>
  </r>
  <r>
    <x v="194"/>
    <s v="2 anos"/>
    <d v="2019-10-10T00:00:00"/>
    <x v="0"/>
    <x v="190"/>
    <s v="ABRIGO RAINHA IZABEL"/>
    <x v="209"/>
    <x v="2"/>
    <m/>
    <m/>
    <x v="17"/>
    <x v="1"/>
    <m/>
    <s v="N/C"/>
  </r>
  <r>
    <x v="195"/>
    <s v="4 anos"/>
    <d v="2021-10-10T00:00:00"/>
    <x v="1"/>
    <x v="191"/>
    <s v="CASA DE REPOUSO VIVARA - MATRIZ"/>
    <x v="210"/>
    <x v="2"/>
    <m/>
    <m/>
    <x v="20"/>
    <x v="2"/>
    <m/>
    <s v="casaderepousovivara|@gmail.com"/>
  </r>
  <r>
    <x v="195"/>
    <s v="4 anos"/>
    <d v="2021-10-10T00:00:00"/>
    <x v="1"/>
    <x v="191"/>
    <s v="CASA DE REPOUSO VIVARA - FILIAL"/>
    <x v="211"/>
    <x v="2"/>
    <m/>
    <m/>
    <x v="20"/>
    <x v="2"/>
    <m/>
    <s v="casaderepousovivara|@gmail.com"/>
  </r>
  <r>
    <x v="196"/>
    <s v="2 anos"/>
    <d v="2019-10-10T00:00:00"/>
    <x v="0"/>
    <x v="192"/>
    <m/>
    <x v="212"/>
    <x v="1"/>
    <m/>
    <m/>
    <x v="1"/>
    <x v="1"/>
    <m/>
    <s v="ahkanda@ahkanda.com.br"/>
  </r>
  <r>
    <x v="197"/>
    <s v="2 anos"/>
    <d v="2019-10-10T00:00:00"/>
    <x v="1"/>
    <x v="193"/>
    <s v="SANTA MONICE - CASA LAR"/>
    <x v="213"/>
    <x v="2"/>
    <m/>
    <m/>
    <x v="8"/>
    <x v="1"/>
    <m/>
    <s v="c.araujo.caa@gmail.com"/>
  </r>
  <r>
    <x v="198"/>
    <s v="4 anos"/>
    <d v="2021-11-17T00:00:00"/>
    <x v="1"/>
    <x v="194"/>
    <s v="RESIDENCIAL VIDA NOVA"/>
    <x v="214"/>
    <x v="2"/>
    <m/>
    <m/>
    <x v="8"/>
    <x v="1"/>
    <m/>
    <s v="residencial@grupovidanova.com"/>
  </r>
  <r>
    <x v="199"/>
    <s v="4 anos"/>
    <d v="2021-11-17T00:00:00"/>
    <x v="1"/>
    <x v="195"/>
    <s v="RESIDENCIAL AMANHECER"/>
    <x v="215"/>
    <x v="2"/>
    <m/>
    <m/>
    <x v="1"/>
    <x v="1"/>
    <m/>
    <s v="residencialamanhecer@hotmail.com"/>
  </r>
  <r>
    <x v="200"/>
    <s v="2 anos"/>
    <d v="2019-11-17T00:00:00"/>
    <x v="0"/>
    <x v="196"/>
    <m/>
    <x v="216"/>
    <x v="0"/>
    <m/>
    <m/>
    <x v="5"/>
    <x v="1"/>
    <m/>
    <s v="cdi.gerente@campinheiros.org.br"/>
  </r>
  <r>
    <x v="201"/>
    <s v="2 anos"/>
    <d v="2019-11-17T00:00:00"/>
    <x v="0"/>
    <x v="197"/>
    <s v="ADONIRAM BARBOSA"/>
    <x v="217"/>
    <x v="0"/>
    <m/>
    <m/>
    <x v="31"/>
    <x v="4"/>
    <m/>
    <s v="mariaesantana@terra.com.br"/>
  </r>
  <r>
    <x v="201"/>
    <s v="2 anos"/>
    <d v="2019-11-17T00:00:00"/>
    <x v="0"/>
    <x v="197"/>
    <s v="TEREZA DA CRUZ MARÇO"/>
    <x v="218"/>
    <x v="1"/>
    <m/>
    <m/>
    <x v="31"/>
    <x v="4"/>
    <m/>
    <s v="mariaesantana@terra.com.br"/>
  </r>
  <r>
    <x v="201"/>
    <s v="2 anos"/>
    <d v="2019-11-17T00:00:00"/>
    <x v="0"/>
    <x v="197"/>
    <s v="JOVA RURAL"/>
    <x v="219"/>
    <x v="1"/>
    <m/>
    <m/>
    <x v="31"/>
    <x v="4"/>
    <m/>
    <s v="mariaesantana@terra.com.br"/>
  </r>
  <r>
    <x v="202"/>
    <s v="2 anos"/>
    <d v="2019-11-17T00:00:00"/>
    <x v="1"/>
    <x v="198"/>
    <s v=" PERSEVERANÇA RESIDENCIAL PARA IDOSOS"/>
    <x v="220"/>
    <x v="2"/>
    <m/>
    <m/>
    <x v="31"/>
    <x v="4"/>
    <m/>
    <s v="cperseverança@gmail.com"/>
  </r>
  <r>
    <x v="203"/>
    <s v="2 anos"/>
    <d v="2019-11-17T00:00:00"/>
    <x v="1"/>
    <x v="199"/>
    <s v="HOSPITAL/CLÍNICA DE RETAGUARDA PARA IDOSOS"/>
    <x v="221"/>
    <x v="6"/>
    <m/>
    <m/>
    <x v="8"/>
    <x v="1"/>
    <m/>
    <s v="residencial@grupovidanova.com"/>
  </r>
  <r>
    <x v="204"/>
    <s v="2 anos"/>
    <d v="2019-11-17T00:00:00"/>
    <x v="1"/>
    <x v="200"/>
    <m/>
    <x v="222"/>
    <x v="2"/>
    <m/>
    <m/>
    <x v="10"/>
    <x v="4"/>
    <m/>
    <s v="lcdonatoclaudio@gmail.com"/>
  </r>
  <r>
    <x v="205"/>
    <s v="4 anos"/>
    <d v="2021-11-17T00:00:00"/>
    <x v="1"/>
    <x v="201"/>
    <s v="MAIS SAÚDE MELHOR IDADE"/>
    <x v="223"/>
    <x v="2"/>
    <m/>
    <m/>
    <x v="0"/>
    <x v="4"/>
    <m/>
    <s v="atendimento@maisaudemi.com.br"/>
  </r>
  <r>
    <x v="206"/>
    <s v="2 anos"/>
    <d v="2019-12-21T00:00:00"/>
    <x v="1"/>
    <x v="202"/>
    <s v="ILPI / CENTRO DIA - UNIDADE I"/>
    <x v="224"/>
    <x v="2"/>
    <m/>
    <m/>
    <x v="2"/>
    <x v="2"/>
    <m/>
    <s v="villaunidade1@gmail.com"/>
  </r>
  <r>
    <x v="206"/>
    <s v="2 anos"/>
    <d v="2019-12-21T00:00:00"/>
    <x v="1"/>
    <x v="202"/>
    <s v="CENTRO DIA - UNIDADE II"/>
    <x v="225"/>
    <x v="2"/>
    <m/>
    <m/>
    <x v="34"/>
    <x v="4"/>
    <m/>
    <s v="Não Consta"/>
  </r>
  <r>
    <x v="207"/>
    <s v="2 anos"/>
    <d v="2019-12-21T00:00:00"/>
    <x v="1"/>
    <x v="203"/>
    <m/>
    <x v="226"/>
    <x v="2"/>
    <m/>
    <m/>
    <x v="14"/>
    <x v="0"/>
    <m/>
    <s v="Não consta"/>
  </r>
  <r>
    <x v="208"/>
    <s v="2 anos"/>
    <d v="2019-12-21T00:00:00"/>
    <x v="1"/>
    <x v="204"/>
    <s v="UNIDADE I"/>
    <x v="227"/>
    <x v="2"/>
    <m/>
    <m/>
    <x v="2"/>
    <x v="2"/>
    <m/>
    <s v="casaderepousobemmecare@gmail.com"/>
  </r>
  <r>
    <x v="208"/>
    <s v="2 anos"/>
    <d v="2019-12-21T00:00:00"/>
    <x v="1"/>
    <x v="204"/>
    <s v="UNIDADE II"/>
    <x v="228"/>
    <x v="2"/>
    <m/>
    <m/>
    <x v="2"/>
    <x v="2"/>
    <m/>
    <s v="casaderepousobemmecare@gmail.com"/>
  </r>
  <r>
    <x v="209"/>
    <s v="2 anos"/>
    <d v="2019-12-21T00:00:00"/>
    <x v="1"/>
    <x v="205"/>
    <s v="HP LIFE CARE"/>
    <x v="229"/>
    <x v="2"/>
    <m/>
    <m/>
    <x v="2"/>
    <x v="2"/>
    <m/>
    <s v="hp26@terra.com.br"/>
  </r>
  <r>
    <x v="210"/>
    <s v="2 anos"/>
    <d v="2019-12-21T00:00:00"/>
    <x v="1"/>
    <x v="206"/>
    <m/>
    <x v="230"/>
    <x v="2"/>
    <m/>
    <m/>
    <x v="14"/>
    <x v="0"/>
    <m/>
    <s v="solardasmercedes@gmail.com"/>
  </r>
  <r>
    <x v="211"/>
    <s v="2 anos"/>
    <d v="2019-12-21T00:00:00"/>
    <x v="1"/>
    <x v="207"/>
    <s v="ENCANTO DOS IDOSOS"/>
    <x v="231"/>
    <x v="2"/>
    <m/>
    <m/>
    <x v="28"/>
    <x v="2"/>
    <m/>
    <s v="encantodosidosos@gmail.com"/>
  </r>
  <r>
    <x v="212"/>
    <s v="2 anos"/>
    <d v="2019-12-21T00:00:00"/>
    <x v="1"/>
    <x v="208"/>
    <s v="LAR SANT'ANA UNIDADE I"/>
    <x v="232"/>
    <x v="2"/>
    <m/>
    <m/>
    <x v="5"/>
    <x v="1"/>
    <m/>
    <s v="sec@ligasolidaria.org.br"/>
  </r>
  <r>
    <x v="212"/>
    <s v="2 anos"/>
    <d v="2019-12-21T00:00:00"/>
    <x v="1"/>
    <x v="208"/>
    <s v="LAR SANT'ANA UNIDADE II"/>
    <x v="233"/>
    <x v="2"/>
    <m/>
    <m/>
    <x v="12"/>
    <x v="0"/>
    <m/>
    <s v="sec@ligasolidaria.org.br"/>
  </r>
  <r>
    <x v="213"/>
    <s v="4 anos"/>
    <d v="2022-01-16T00:00:00"/>
    <x v="1"/>
    <x v="209"/>
    <m/>
    <x v="234"/>
    <x v="2"/>
    <m/>
    <m/>
    <x v="35"/>
    <x v="4"/>
    <m/>
    <s v="saogenaro@saogenaro.com.br"/>
  </r>
  <r>
    <x v="214"/>
    <s v="4 anos"/>
    <d v="2022-01-16T00:00:00"/>
    <x v="1"/>
    <x v="210"/>
    <s v="RESIDENCIAL ANÁLIA PARK"/>
    <x v="235"/>
    <x v="2"/>
    <m/>
    <m/>
    <x v="2"/>
    <x v="2"/>
    <m/>
    <s v="alencarbruna@yahoo.com.br "/>
  </r>
  <r>
    <x v="215"/>
    <s v="2 anos"/>
    <d v="2020-01-16T00:00:00"/>
    <x v="1"/>
    <x v="211"/>
    <s v="CASA DE REPOUSO SAMARIAS"/>
    <x v="236"/>
    <x v="2"/>
    <m/>
    <m/>
    <x v="8"/>
    <x v="1"/>
    <m/>
    <s v="lucileneluizvieira2012@hotmail.com"/>
  </r>
  <r>
    <x v="216"/>
    <s v="2 anos"/>
    <d v="2020-01-16T00:00:00"/>
    <x v="1"/>
    <x v="212"/>
    <s v="ILPI ACONCHEGO"/>
    <x v="237"/>
    <x v="2"/>
    <m/>
    <m/>
    <x v="3"/>
    <x v="1"/>
    <m/>
    <s v="aconchegocasadoidoso@gmail.com"/>
  </r>
  <r>
    <x v="217"/>
    <s v="4 anos"/>
    <d v="2022-01-16T00:00:00"/>
    <x v="1"/>
    <x v="213"/>
    <s v="ESPERANÇA RESIDÊNCIA PARA IDOSOS"/>
    <x v="238"/>
    <x v="2"/>
    <m/>
    <m/>
    <x v="13"/>
    <x v="2"/>
    <m/>
    <s v="esperancahmi@gmail.com"/>
  </r>
  <r>
    <x v="218"/>
    <s v="2 anos"/>
    <d v="2020-03-16T00:00:00"/>
    <x v="1"/>
    <x v="214"/>
    <m/>
    <x v="239"/>
    <x v="2"/>
    <m/>
    <m/>
    <x v="12"/>
    <x v="0"/>
    <m/>
    <m/>
  </r>
  <r>
    <x v="219"/>
    <s v="2 anos"/>
    <d v="2020-03-16T00:00:00"/>
    <x v="1"/>
    <x v="215"/>
    <s v="CASA DE REPOUSO ADONAI"/>
    <x v="240"/>
    <x v="2"/>
    <m/>
    <m/>
    <x v="16"/>
    <x v="1"/>
    <m/>
    <s v="adonaiparaidosos@gmail.com"/>
  </r>
  <r>
    <x v="220"/>
    <s v="2 anos"/>
    <d v="2020-04-18T00:00:00"/>
    <x v="1"/>
    <x v="216"/>
    <s v="CASA DE REPOUSO ELITE - CAETÉS II"/>
    <x v="241"/>
    <x v="2"/>
    <m/>
    <m/>
    <x v="14"/>
    <x v="0"/>
    <m/>
    <s v="fernandaprizon@gmail.com"/>
  </r>
  <r>
    <x v="221"/>
    <s v="4 anos"/>
    <d v="2022-04-18T00:00:00"/>
    <x v="1"/>
    <x v="216"/>
    <s v="CASA DE REPOUSO ELITE - ELITE K"/>
    <x v="242"/>
    <x v="2"/>
    <m/>
    <m/>
    <x v="14"/>
    <x v="0"/>
    <m/>
    <s v="fernandaprizon@gmail.com"/>
  </r>
  <r>
    <x v="222"/>
    <s v="4 anos"/>
    <d v="2022-04-18T00:00:00"/>
    <x v="1"/>
    <x v="217"/>
    <s v="CASA DE REPOUSO BRILHO DO SOL"/>
    <x v="243"/>
    <x v="2"/>
    <m/>
    <m/>
    <x v="14"/>
    <x v="0"/>
    <m/>
    <m/>
  </r>
  <r>
    <x v="223"/>
    <s v="4 anos"/>
    <d v="2022-04-18T00:00:00"/>
    <x v="1"/>
    <x v="218"/>
    <s v="CASA DE REPOUSO UNIÃO DOS ANJOS"/>
    <x v="244"/>
    <x v="2"/>
    <m/>
    <m/>
    <x v="17"/>
    <x v="1"/>
    <m/>
    <s v="imperiodosanjos@yahoo.com.br"/>
  </r>
  <r>
    <x v="224"/>
    <s v="2 anos"/>
    <d v="2020-04-18T00:00:00"/>
    <x v="0"/>
    <x v="219"/>
    <s v="NCI MAMÃE"/>
    <x v="245"/>
    <x v="1"/>
    <m/>
    <m/>
    <x v="16"/>
    <x v="1"/>
    <m/>
    <s v="mamae@mamae.org.br"/>
  </r>
  <r>
    <x v="225"/>
    <s v="2 anos"/>
    <d v="2020-04-18T00:00:00"/>
    <x v="1"/>
    <x v="220"/>
    <s v="CASA DE REPOUSO RECANTO DAS FLORES DA VIDA"/>
    <x v="246"/>
    <x v="2"/>
    <m/>
    <m/>
    <x v="11"/>
    <x v="2"/>
    <m/>
    <s v="elainea-ribeiro@bol.com.br"/>
  </r>
  <r>
    <x v="226"/>
    <s v="4 anos"/>
    <d v="2022-04-18T00:00:00"/>
    <x v="1"/>
    <x v="221"/>
    <s v="CASA DE REPOUSO LAR DOCE LAR"/>
    <x v="247"/>
    <x v="2"/>
    <m/>
    <m/>
    <x v="13"/>
    <x v="2"/>
    <m/>
    <s v="cris.medcon@hotmail.com"/>
  </r>
  <r>
    <x v="227"/>
    <s v="2 anos"/>
    <d v="2020-04-18T00:00:00"/>
    <x v="0"/>
    <x v="222"/>
    <m/>
    <x v="248"/>
    <x v="1"/>
    <m/>
    <m/>
    <x v="36"/>
    <x v="2"/>
    <m/>
    <m/>
  </r>
  <r>
    <x v="228"/>
    <s v="4 anos"/>
    <d v="2022-06-20T00:00:00"/>
    <x v="1"/>
    <x v="223"/>
    <m/>
    <x v="249"/>
    <x v="2"/>
    <m/>
    <m/>
    <x v="26"/>
    <x v="2"/>
    <m/>
    <s v="casaderepousodocelar2013@gmail.com"/>
  </r>
  <r>
    <x v="229"/>
    <s v="4 anos"/>
    <d v="2022-06-20T00:00:00"/>
    <x v="1"/>
    <x v="224"/>
    <m/>
    <x v="250"/>
    <x v="2"/>
    <m/>
    <m/>
    <x v="24"/>
    <x v="4"/>
    <m/>
    <s v="celialimapires@yahoo.com.br"/>
  </r>
  <r>
    <x v="230"/>
    <s v="2 anos"/>
    <d v="2020-06-20T00:00:00"/>
    <x v="0"/>
    <x v="225"/>
    <s v="NCI BEM VIVER"/>
    <x v="251"/>
    <x v="1"/>
    <m/>
    <m/>
    <x v="24"/>
    <x v="4"/>
    <m/>
    <s v="associacao.deus@uol.com.br"/>
  </r>
  <r>
    <x v="231"/>
    <s v="2 anos"/>
    <d v="2020-06-20T00:00:00"/>
    <x v="0"/>
    <x v="226"/>
    <s v="Projetos/Pesquisa/Defesa de Direitos/Reabilitação"/>
    <x v="252"/>
    <x v="3"/>
    <m/>
    <m/>
    <x v="5"/>
    <x v="0"/>
    <m/>
    <s v="contact@britishsociety.org.br"/>
  </r>
  <r>
    <x v="232"/>
    <s v="2 anos"/>
    <d v="2020-06-20T00:00:00"/>
    <x v="1"/>
    <x v="227"/>
    <s v="Casa de Repouso Parque da Mooca"/>
    <x v="253"/>
    <x v="2"/>
    <m/>
    <m/>
    <x v="2"/>
    <x v="2"/>
    <m/>
    <s v="contato@casaderepousoparquedamooca.com.br"/>
  </r>
  <r>
    <x v="233"/>
    <s v="2 anos"/>
    <d v="2020-06-20T00:00:00"/>
    <x v="1"/>
    <x v="228"/>
    <m/>
    <x v="254"/>
    <x v="2"/>
    <m/>
    <m/>
    <x v="8"/>
    <x v="1"/>
    <m/>
    <s v="r.bosquedasflores@gmail.com"/>
  </r>
  <r>
    <x v="234"/>
    <s v="2 anos"/>
    <d v="2020-06-20T00:00:00"/>
    <x v="1"/>
    <x v="229"/>
    <s v="Residencial Parque das Flores"/>
    <x v="255"/>
    <x v="2"/>
    <m/>
    <m/>
    <x v="8"/>
    <x v="1"/>
    <m/>
    <s v="r-parquedasflores@uol.com.br"/>
  </r>
  <r>
    <x v="235"/>
    <s v="2 anos"/>
    <d v="2020-06-20T00:00:00"/>
    <x v="0"/>
    <x v="230"/>
    <s v="Centro Dia Vila Andrade"/>
    <x v="256"/>
    <x v="0"/>
    <m/>
    <m/>
    <x v="15"/>
    <x v="1"/>
    <m/>
    <s v="centrodia@paraisopolis.org"/>
  </r>
  <r>
    <x v="236"/>
    <s v="2 anos"/>
    <d v="2020-08-13T00:00:00"/>
    <x v="1"/>
    <x v="231"/>
    <m/>
    <x v="257"/>
    <x v="2"/>
    <m/>
    <m/>
    <x v="3"/>
    <x v="1"/>
    <m/>
    <m/>
  </r>
  <r>
    <x v="237"/>
    <s v="4 anos"/>
    <d v="2022-08-13T00:00:00"/>
    <x v="0"/>
    <x v="232"/>
    <m/>
    <x v="258"/>
    <x v="3"/>
    <m/>
    <m/>
    <x v="1"/>
    <x v="1"/>
    <m/>
    <s v="contato@institutopinheiro.org.br"/>
  </r>
  <r>
    <x v="238"/>
    <s v="2 anos"/>
    <d v="2020-08-13T00:00:00"/>
    <x v="1"/>
    <x v="233"/>
    <s v="Casa de Repouso Vovó Esperança"/>
    <x v="259"/>
    <x v="2"/>
    <m/>
    <m/>
    <x v="13"/>
    <x v="2"/>
    <m/>
    <s v="contato@casavovoesperanca.com"/>
  </r>
  <r>
    <x v="239"/>
    <s v="2 anos"/>
    <d v="2020-08-13T00:00:00"/>
    <x v="0"/>
    <x v="234"/>
    <s v="Recantos dos Avós"/>
    <x v="260"/>
    <x v="2"/>
    <m/>
    <m/>
    <x v="13"/>
    <x v="2"/>
    <m/>
    <s v="recantodosavosdevilare@gmail.com"/>
  </r>
  <r>
    <x v="240"/>
    <s v="4 anos"/>
    <d v="2022-09-14T00:00:00"/>
    <x v="1"/>
    <x v="235"/>
    <s v="Casa de Repouso Hospitalar"/>
    <x v="261"/>
    <x v="2"/>
    <m/>
    <m/>
    <x v="11"/>
    <x v="2"/>
    <m/>
    <s v="hospitalar.casaderepouso@gmail.com"/>
  </r>
  <r>
    <x v="241"/>
    <s v="4 anos"/>
    <d v="2022-09-14T00:00:00"/>
    <x v="1"/>
    <x v="236"/>
    <s v="Residencial Anapurus"/>
    <x v="262"/>
    <x v="2"/>
    <m/>
    <m/>
    <x v="1"/>
    <x v="1"/>
    <m/>
    <m/>
  </r>
  <r>
    <x v="242"/>
    <s v="4 anos"/>
    <d v="2022-09-14T00:00:00"/>
    <x v="1"/>
    <x v="237"/>
    <s v="Viver Bem"/>
    <x v="263"/>
    <x v="2"/>
    <m/>
    <m/>
    <x v="37"/>
    <x v="4"/>
    <m/>
    <s v="contato@centroviverbem.com.br"/>
  </r>
  <r>
    <x v="243"/>
    <s v="4 anos"/>
    <d v="2022-09-14T00:00:00"/>
    <x v="1"/>
    <x v="238"/>
    <s v="Marpe Casa de Repouso"/>
    <x v="264"/>
    <x v="2"/>
    <m/>
    <m/>
    <x v="8"/>
    <x v="1"/>
    <m/>
    <s v="marpe.casaderepouso@gmail.com"/>
  </r>
  <r>
    <x v="244"/>
    <s v="4 anos"/>
    <d v="2022-10-10T00:00:00"/>
    <x v="1"/>
    <x v="239"/>
    <s v="Solar da Mooca"/>
    <x v="265"/>
    <x v="2"/>
    <m/>
    <m/>
    <x v="2"/>
    <x v="2"/>
    <m/>
    <s v="administrativo@solardamooca.com.br"/>
  </r>
  <r>
    <x v="245"/>
    <s v="2 anos"/>
    <d v="2020-10-10T00:00:00"/>
    <x v="1"/>
    <x v="240"/>
    <s v="Casa de Repouso Reisdencial Ágape"/>
    <x v="266"/>
    <x v="2"/>
    <m/>
    <m/>
    <x v="11"/>
    <x v="2"/>
    <m/>
    <s v="luciana.enf@gmail.com"/>
  </r>
  <r>
    <x v="246"/>
    <s v="4 anos"/>
    <d v="2022-10-10T00:00:00"/>
    <x v="1"/>
    <x v="241"/>
    <m/>
    <x v="267"/>
    <x v="2"/>
    <m/>
    <m/>
    <x v="2"/>
    <x v="2"/>
    <m/>
    <s v="edununao31@gmail.com"/>
  </r>
  <r>
    <x v="247"/>
    <s v="2 anos"/>
    <d v="2020-10-10T00:00:00"/>
    <x v="1"/>
    <x v="242"/>
    <s v="Pensionato Residencial de Paula II"/>
    <x v="268"/>
    <x v="2"/>
    <m/>
    <m/>
    <x v="13"/>
    <x v="2"/>
    <m/>
    <s v="lpc_lm@hotmail.com"/>
  </r>
  <r>
    <x v="248"/>
    <s v="2 anos"/>
    <d v="2020-10-10T00:00:00"/>
    <x v="1"/>
    <x v="243"/>
    <s v="Golden Care"/>
    <x v="269"/>
    <x v="0"/>
    <m/>
    <m/>
    <x v="11"/>
    <x v="2"/>
    <m/>
    <s v="casagoldencare@gmail.com"/>
  </r>
  <r>
    <x v="249"/>
    <s v="2 anos"/>
    <d v="2020-10-10T00:00:00"/>
    <x v="1"/>
    <x v="244"/>
    <s v="Residencial Bem Cuidar "/>
    <x v="270"/>
    <x v="2"/>
    <m/>
    <m/>
    <x v="17"/>
    <x v="1"/>
    <m/>
    <s v="residencialbemcuidar@hotmail.com"/>
  </r>
  <r>
    <x v="250"/>
    <s v="2 anos"/>
    <d v="2020-10-10T00:00:00"/>
    <x v="1"/>
    <x v="245"/>
    <s v="Casa de Repouso Recanto Vó Elpídia "/>
    <x v="271"/>
    <x v="2"/>
    <m/>
    <m/>
    <x v="17"/>
    <x v="1"/>
    <m/>
    <s v="recantovoelpidia@gmail.com"/>
  </r>
  <r>
    <x v="251"/>
    <s v="2 anos "/>
    <d v="2020-10-10T00:00:00"/>
    <x v="1"/>
    <x v="246"/>
    <s v="Instituto Rosales "/>
    <x v="272"/>
    <x v="2"/>
    <m/>
    <m/>
    <x v="17"/>
    <x v="1"/>
    <m/>
    <s v="instituto-rosales@outlook.com"/>
  </r>
  <r>
    <x v="252"/>
    <s v="4 anos "/>
    <d v="2022-10-10T00:00:00"/>
    <x v="1"/>
    <x v="247"/>
    <s v="Residecial M.S São Gabriel "/>
    <x v="273"/>
    <x v="2"/>
    <m/>
    <m/>
    <x v="26"/>
    <x v="2"/>
    <m/>
    <s v="sandrareginagabriel@gmail.com"/>
  </r>
  <r>
    <x v="253"/>
    <s v="4 anos"/>
    <d v="2022-11-12T00:00:00"/>
    <x v="1"/>
    <x v="248"/>
    <m/>
    <x v="274"/>
    <x v="2"/>
    <m/>
    <m/>
    <x v="2"/>
    <x v="2"/>
    <m/>
    <s v="avidaebelaresidencial@gmail.com"/>
  </r>
  <r>
    <x v="254"/>
    <s v="2 anos"/>
    <d v="2020-11-12T00:00:00"/>
    <x v="1"/>
    <x v="249"/>
    <s v="Casa de Repouso Jaçana"/>
    <x v="275"/>
    <x v="2"/>
    <m/>
    <m/>
    <x v="38"/>
    <x v="1"/>
    <m/>
    <s v="casa-repouso-jaçana@hotmail.com.br"/>
  </r>
  <r>
    <x v="255"/>
    <s v="2 anos"/>
    <d v="2020-11-12T00:00:00"/>
    <x v="1"/>
    <x v="250"/>
    <s v="Casa de Repouso Elite Residencial"/>
    <x v="276"/>
    <x v="2"/>
    <m/>
    <m/>
    <x v="14"/>
    <x v="0"/>
    <m/>
    <s v="eliteresidencial@gmail.com"/>
  </r>
  <r>
    <x v="256"/>
    <s v="2 anos"/>
    <d v="2020-11-12T00:00:00"/>
    <x v="0"/>
    <x v="251"/>
    <s v="Centro Dia Bom Retiro"/>
    <x v="277"/>
    <x v="0"/>
    <m/>
    <m/>
    <x v="7"/>
    <x v="3"/>
    <m/>
    <s v="unibes@unibes.org.br"/>
  </r>
  <r>
    <x v="257"/>
    <s v="2 anos"/>
    <d v="2020-11-12T00:00:00"/>
    <x v="0"/>
    <x v="251"/>
    <m/>
    <x v="277"/>
    <x v="1"/>
    <m/>
    <m/>
    <x v="7"/>
    <x v="3"/>
    <m/>
    <s v="unibes@unibes.org.br"/>
  </r>
  <r>
    <x v="258"/>
    <s v="2 anos"/>
    <d v="2020-11-12T00:00:00"/>
    <x v="0"/>
    <x v="251"/>
    <s v="ILPI UNIBES Casa da Vila"/>
    <x v="278"/>
    <x v="2"/>
    <m/>
    <m/>
    <x v="1"/>
    <x v="1"/>
    <m/>
    <s v="unibes@unibes.org.br"/>
  </r>
  <r>
    <x v="259"/>
    <s v="2 anos"/>
    <d v="2020-11-12T00:00:00"/>
    <x v="0"/>
    <x v="251"/>
    <s v="ILPI UNIBES"/>
    <x v="279"/>
    <x v="2"/>
    <m/>
    <m/>
    <x v="5"/>
    <x v="0"/>
    <m/>
    <s v="unibes@unibes.org.br"/>
  </r>
  <r>
    <x v="260"/>
    <s v="2 anos"/>
    <d v="2020-11-12T00:00:00"/>
    <x v="0"/>
    <x v="252"/>
    <s v="Recanto Velha Guarda"/>
    <x v="280"/>
    <x v="2"/>
    <m/>
    <m/>
    <x v="37"/>
    <x v="4"/>
    <m/>
    <s v="jviana@recantovelhaguarda.com.br"/>
  </r>
  <r>
    <x v="261"/>
    <s v="2 anos"/>
    <d v="2020-11-12T00:00:00"/>
    <x v="1"/>
    <x v="253"/>
    <s v="Safe Care"/>
    <x v="281"/>
    <x v="2"/>
    <m/>
    <m/>
    <x v="37"/>
    <x v="4"/>
    <m/>
    <s v="adm@safecaresp.com.br"/>
  </r>
  <r>
    <x v="262"/>
    <s v="4 anos"/>
    <d v="2022-11-12T00:00:00"/>
    <x v="1"/>
    <x v="254"/>
    <s v="Casa de repouso Sant'Anna"/>
    <x v="282"/>
    <x v="2"/>
    <m/>
    <m/>
    <x v="37"/>
    <x v="4"/>
    <m/>
    <s v="casaderepousosantanna@hotmail.com"/>
  </r>
  <r>
    <x v="263"/>
    <s v="4 anos"/>
    <d v="2022-12-21T00:00:00"/>
    <x v="1"/>
    <x v="255"/>
    <s v="CASA DE REPOUSO ANÁLIA FRANCO"/>
    <x v="283"/>
    <x v="2"/>
    <m/>
    <m/>
    <x v="39"/>
    <x v="2"/>
    <m/>
    <s v="everton.pacini@consulthi.com.br"/>
  </r>
  <r>
    <x v="264"/>
    <s v="4 anos"/>
    <d v="2022-12-21T00:00:00"/>
    <x v="1"/>
    <x v="256"/>
    <s v="VITA CARE"/>
    <x v="284"/>
    <x v="2"/>
    <m/>
    <m/>
    <x v="2"/>
    <x v="2"/>
    <m/>
    <s v="anafontarba@gmail.com"/>
  </r>
  <r>
    <x v="265"/>
    <s v="4 anos"/>
    <d v="2022-12-21T00:00:00"/>
    <x v="1"/>
    <x v="257"/>
    <s v="CASA DE REPOUSO MÃOS QUE CUIDAM"/>
    <x v="285"/>
    <x v="2"/>
    <m/>
    <m/>
    <x v="39"/>
    <x v="2"/>
    <m/>
    <s v="maosquecuidam@gmail.com"/>
  </r>
  <r>
    <x v="266"/>
    <s v="2 anos"/>
    <d v="2020-12-21T00:00:00"/>
    <x v="0"/>
    <x v="258"/>
    <s v="TEREZA BUGOLIM"/>
    <x v="286"/>
    <x v="1"/>
    <m/>
    <m/>
    <x v="6"/>
    <x v="2"/>
    <m/>
    <s v="bugolim@gmail.com"/>
  </r>
  <r>
    <x v="267"/>
    <s v="2 anos"/>
    <d v="2020-12-21T00:00:00"/>
    <x v="0"/>
    <x v="259"/>
    <s v="NCI CASA DA MELHOR IDADE DONA DIVA"/>
    <x v="287"/>
    <x v="1"/>
    <m/>
    <m/>
    <x v="6"/>
    <x v="2"/>
    <m/>
    <s v="marachutti@hotmail.com"/>
  </r>
  <r>
    <x v="268"/>
    <s v="2 anos"/>
    <d v="2020-12-21T00:00:00"/>
    <x v="1"/>
    <x v="260"/>
    <s v="RESIDENCIAL TAMANDARÉ"/>
    <x v="288"/>
    <x v="2"/>
    <m/>
    <m/>
    <x v="7"/>
    <x v="3"/>
    <m/>
    <s v="edelcio@residencialtamandare.com.br"/>
  </r>
  <r>
    <x v="269"/>
    <s v="4 anos"/>
    <d v="2022-12-21T00:00:00"/>
    <x v="0"/>
    <x v="261"/>
    <m/>
    <x v="289"/>
    <x v="2"/>
    <m/>
    <m/>
    <x v="7"/>
    <x v="3"/>
    <m/>
    <s v="pequenojesus2013@gmail.com"/>
  </r>
  <r>
    <x v="270"/>
    <s v="4 anos"/>
    <d v="2022-12-21T00:00:00"/>
    <x v="1"/>
    <x v="262"/>
    <s v="RESIDENCIAL GERIÁTRICO ROSA"/>
    <x v="290"/>
    <x v="2"/>
    <m/>
    <m/>
    <x v="18"/>
    <x v="1"/>
    <m/>
    <s v="residencialrosa1@gmail.com"/>
  </r>
  <r>
    <x v="271"/>
    <s v="4 anos"/>
    <d v="2023-02-13T00:00:00"/>
    <x v="1"/>
    <x v="263"/>
    <m/>
    <x v="291"/>
    <x v="2"/>
    <m/>
    <m/>
    <x v="12"/>
    <x v="0"/>
    <m/>
    <s v="smm@grupoipcsaude.com.br"/>
  </r>
  <r>
    <x v="272"/>
    <s v="4 anos"/>
    <d v="2023-02-13T00:00:00"/>
    <x v="1"/>
    <x v="264"/>
    <m/>
    <x v="292"/>
    <x v="2"/>
    <m/>
    <m/>
    <x v="1"/>
    <x v="1"/>
    <m/>
    <s v="contato@clinicacherubins.com.br"/>
  </r>
  <r>
    <x v="273"/>
    <s v="2 anos"/>
    <d v="2023-02-13T00:00:00"/>
    <x v="1"/>
    <x v="265"/>
    <s v="PENSIONATO RESIDENCIAL MORADA DO SOL"/>
    <x v="293"/>
    <x v="2"/>
    <m/>
    <m/>
    <x v="26"/>
    <x v="2"/>
    <m/>
    <s v="alexandre.suzano@ig.com.br"/>
  </r>
  <r>
    <x v="274"/>
    <s v="4 anos"/>
    <d v="2023-02-13T00:00:00"/>
    <x v="1"/>
    <x v="266"/>
    <s v="RESIDENCIAL VIP SÊNIOR"/>
    <x v="294"/>
    <x v="2"/>
    <m/>
    <m/>
    <x v="0"/>
    <x v="4"/>
    <m/>
    <s v="residencialvipsenior@hotmail.com"/>
  </r>
  <r>
    <x v="275"/>
    <s v="4 anos"/>
    <d v="2023-02-13T00:00:00"/>
    <x v="1"/>
    <x v="267"/>
    <s v="CASA DE REPOUSO MENORAH"/>
    <x v="295"/>
    <x v="2"/>
    <m/>
    <m/>
    <x v="2"/>
    <x v="2"/>
    <m/>
    <s v="eltonvilar@gmail.com"/>
  </r>
  <r>
    <x v="276"/>
    <s v="4 anos"/>
    <d v="2023-02-13T00:00:00"/>
    <x v="1"/>
    <x v="268"/>
    <m/>
    <x v="296"/>
    <x v="2"/>
    <m/>
    <m/>
    <x v="11"/>
    <x v="2"/>
    <m/>
    <s v="congob_2000@yahoo.com.br"/>
  </r>
  <r>
    <x v="277"/>
    <s v="4 anos"/>
    <d v="2023-02-13T00:00:00"/>
    <x v="1"/>
    <x v="269"/>
    <m/>
    <x v="297"/>
    <x v="2"/>
    <m/>
    <m/>
    <x v="1"/>
    <x v="1"/>
    <m/>
    <s v="pro_idoso@hotmail.com"/>
  </r>
  <r>
    <x v="278"/>
    <s v="2 anos"/>
    <d v="2023-02-13T00:00:00"/>
    <x v="1"/>
    <x v="270"/>
    <s v="RESIDENCIAL ALBERT EINSTEIN"/>
    <x v="298"/>
    <x v="2"/>
    <m/>
    <m/>
    <x v="1"/>
    <x v="1"/>
    <m/>
    <m/>
  </r>
  <r>
    <x v="279"/>
    <s v="4 anos"/>
    <d v="2023-02-13T00:00:00"/>
    <x v="1"/>
    <x v="271"/>
    <s v="CASA DE REPOUSO SAN RAPHAEL"/>
    <x v="299"/>
    <x v="2"/>
    <m/>
    <m/>
    <x v="1"/>
    <x v="1"/>
    <m/>
    <s v="adenildes@casaderepousosanraphael.com.br"/>
  </r>
  <r>
    <x v="280"/>
    <s v="4 anos"/>
    <d v="2023-02-13T00:00:00"/>
    <x v="1"/>
    <x v="272"/>
    <s v="CASA DE REPOUSO RESIDENCIAL VITÓRIA"/>
    <x v="300"/>
    <x v="2"/>
    <m/>
    <m/>
    <x v="13"/>
    <x v="2"/>
    <m/>
    <s v="crrvitoria@hotmail.com"/>
  </r>
  <r>
    <x v="281"/>
    <s v="4 anos"/>
    <d v="2023-02-13T00:00:00"/>
    <x v="1"/>
    <x v="273"/>
    <s v="RESIDENCIAL DE PAULA"/>
    <x v="301"/>
    <x v="2"/>
    <m/>
    <m/>
    <x v="13"/>
    <x v="2"/>
    <m/>
    <s v="residencialdepaula1@hotmail.com"/>
  </r>
  <r>
    <x v="282"/>
    <s v="4 anos"/>
    <d v="2023-02-13T00:00:00"/>
    <x v="1"/>
    <x v="274"/>
    <s v="CASA DE REPOUSO NOVOS AMIGOS"/>
    <x v="302"/>
    <x v="2"/>
    <m/>
    <m/>
    <x v="17"/>
    <x v="1"/>
    <m/>
    <s v="crrnovosamigos@terra.com.br"/>
  </r>
  <r>
    <x v="283"/>
    <s v="4 anos"/>
    <d v="2023-02-13T00:00:00"/>
    <x v="1"/>
    <x v="275"/>
    <s v="RESIDENCIAL IPIRANGA"/>
    <x v="303"/>
    <x v="2"/>
    <m/>
    <m/>
    <x v="17"/>
    <x v="1"/>
    <m/>
    <s v="faleconosco@residencialipiranga.com.br"/>
  </r>
  <r>
    <x v="284"/>
    <s v="4 anos"/>
    <d v="2023-02-13T00:00:00"/>
    <x v="1"/>
    <x v="276"/>
    <s v="CLÍNICA DE REPOUSO SERENIDADE"/>
    <x v="304"/>
    <x v="2"/>
    <m/>
    <m/>
    <x v="17"/>
    <x v="1"/>
    <m/>
    <m/>
  </r>
  <r>
    <x v="285"/>
    <s v="2 anos"/>
    <d v="2021-02-13T00:00:00"/>
    <x v="1"/>
    <x v="277"/>
    <s v="D'PÁDUA RESIDENCIAL"/>
    <x v="305"/>
    <x v="2"/>
    <m/>
    <m/>
    <x v="5"/>
    <x v="0"/>
    <m/>
    <s v="contato@dpaduaresidencial.com.br"/>
  </r>
  <r>
    <x v="286"/>
    <s v="4 anos"/>
    <d v="2023-02-13T00:00:00"/>
    <x v="1"/>
    <x v="278"/>
    <m/>
    <x v="306"/>
    <x v="2"/>
    <m/>
    <m/>
    <x v="5"/>
    <x v="0"/>
    <m/>
    <s v="lu4060@hotmail.com"/>
  </r>
  <r>
    <x v="287"/>
    <s v="4 anos"/>
    <d v="2023-02-13T00:00:00"/>
    <x v="1"/>
    <x v="279"/>
    <s v="SENIOR VITA"/>
    <x v="307"/>
    <x v="0"/>
    <m/>
    <m/>
    <x v="5"/>
    <x v="0"/>
    <m/>
    <s v="ale.benitez@seniorvita.com.br"/>
  </r>
  <r>
    <x v="288"/>
    <s v="2 anos"/>
    <d v="2021-03-20T00:00:00"/>
    <x v="1"/>
    <x v="280"/>
    <s v="SOLAR DOS NOBRES"/>
    <x v="308"/>
    <x v="2"/>
    <m/>
    <m/>
    <x v="13"/>
    <x v="2"/>
    <m/>
    <s v="contato@solardosnobres.com.br"/>
  </r>
  <r>
    <x v="289"/>
    <s v="2 anos"/>
    <d v="2021-03-20T00:00:00"/>
    <x v="0"/>
    <x v="281"/>
    <s v="SBJ"/>
    <x v="309"/>
    <x v="1"/>
    <m/>
    <m/>
    <x v="19"/>
    <x v="1"/>
    <m/>
    <s v="ine@socialbomjesus.org.br"/>
  </r>
  <r>
    <x v="290"/>
    <s v="2 anos"/>
    <d v="2021-03-20T00:00:00"/>
    <x v="1"/>
    <x v="282"/>
    <s v="RESIDENCIAL PARA IDOSOS VELEIROS"/>
    <x v="310"/>
    <x v="2"/>
    <m/>
    <m/>
    <x v="3"/>
    <x v="1"/>
    <m/>
    <s v="residencialparaidososveleiros@gmail.com"/>
  </r>
  <r>
    <x v="291"/>
    <s v="2 anos"/>
    <d v="2021-03-20T00:00:00"/>
    <x v="1"/>
    <x v="283"/>
    <s v="CASA DE REPOUSO JARDIM DAS MARGARIDAS"/>
    <x v="311"/>
    <x v="2"/>
    <m/>
    <m/>
    <x v="3"/>
    <x v="1"/>
    <m/>
    <s v="elainedomingues46@yahoo.com.br"/>
  </r>
  <r>
    <x v="292"/>
    <s v="2 anos"/>
    <d v="2021-03-20T00:00:00"/>
    <x v="0"/>
    <x v="284"/>
    <s v="OASE"/>
    <x v="312"/>
    <x v="2"/>
    <m/>
    <m/>
    <x v="21"/>
    <x v="4"/>
    <m/>
    <s v="ordemoase@uol.com.br"/>
  </r>
  <r>
    <x v="293"/>
    <s v="4 anos"/>
    <d v="2023-03-20T00:00:00"/>
    <x v="1"/>
    <x v="285"/>
    <m/>
    <x v="313"/>
    <x v="2"/>
    <m/>
    <m/>
    <x v="23"/>
    <x v="4"/>
    <m/>
    <s v="gideon.melo98@gmail.com"/>
  </r>
  <r>
    <x v="294"/>
    <s v="2 anos"/>
    <d v="2021-03-20T00:00:00"/>
    <x v="0"/>
    <x v="286"/>
    <m/>
    <x v="314"/>
    <x v="2"/>
    <m/>
    <m/>
    <x v="3"/>
    <x v="1"/>
    <m/>
    <s v="ilpimadretereza@gmail.com"/>
  </r>
  <r>
    <x v="295"/>
    <s v="4 anos"/>
    <d v="2023-03-20T00:00:00"/>
    <x v="1"/>
    <x v="287"/>
    <m/>
    <x v="315"/>
    <x v="2"/>
    <m/>
    <m/>
    <x v="23"/>
    <x v="4"/>
    <m/>
    <s v="advleliabarris@gmail.com"/>
  </r>
  <r>
    <x v="296"/>
    <s v="4 anos"/>
    <d v="2023-03-20T00:00:00"/>
    <x v="1"/>
    <x v="288"/>
    <s v="D'VERAS"/>
    <x v="316"/>
    <x v="2"/>
    <m/>
    <m/>
    <x v="14"/>
    <x v="0"/>
    <m/>
    <s v="dverasresidencial@gmail.com"/>
  </r>
  <r>
    <x v="297"/>
    <s v="SEM EFEITO"/>
    <m/>
    <x v="2"/>
    <x v="289"/>
    <s v="SEM EFEITO"/>
    <x v="317"/>
    <x v="7"/>
    <m/>
    <m/>
    <x v="40"/>
    <x v="5"/>
    <m/>
    <s v="SEM EFEITO"/>
  </r>
  <r>
    <x v="298"/>
    <s v="2 anos"/>
    <d v="2021-03-20T00:00:00"/>
    <x v="1"/>
    <x v="290"/>
    <m/>
    <x v="318"/>
    <x v="2"/>
    <m/>
    <m/>
    <x v="12"/>
    <x v="0"/>
    <m/>
    <s v="sem email"/>
  </r>
  <r>
    <x v="299"/>
    <s v="2 anos"/>
    <d v="2021-03-20T00:00:00"/>
    <x v="1"/>
    <x v="291"/>
    <s v="RD DOCE LAR CASA DE REPOUSO"/>
    <x v="319"/>
    <x v="2"/>
    <m/>
    <m/>
    <x v="2"/>
    <x v="2"/>
    <m/>
    <s v="regina@casaderepousorddocelar.com.br"/>
  </r>
  <r>
    <x v="300"/>
    <s v="2 anos"/>
    <d v="2021-03-20T00:00:00"/>
    <x v="1"/>
    <x v="292"/>
    <s v="RESIDENCIAL D VILLA MATHILDE "/>
    <x v="320"/>
    <x v="2"/>
    <m/>
    <m/>
    <x v="13"/>
    <x v="2"/>
    <m/>
    <s v="residencialdvillamathilde@hotmail.com"/>
  </r>
  <r>
    <x v="301"/>
    <s v="2 anos"/>
    <d v="2021-04-03T00:00:00"/>
    <x v="1"/>
    <x v="293"/>
    <m/>
    <x v="321"/>
    <x v="0"/>
    <m/>
    <m/>
    <x v="41"/>
    <x v="4"/>
    <m/>
    <s v="centrodeconcivenciaparaidosos@gmail.com"/>
  </r>
  <r>
    <x v="302"/>
    <s v="2 anos "/>
    <d v="2021-04-03T00:00:00"/>
    <x v="0"/>
    <x v="294"/>
    <s v="Casa Comunitária São José "/>
    <x v="322"/>
    <x v="2"/>
    <m/>
    <m/>
    <x v="42"/>
    <x v="4"/>
    <m/>
    <m/>
  </r>
  <r>
    <x v="303"/>
    <s v="4 anos "/>
    <d v="2023-04-03T00:00:00"/>
    <x v="1"/>
    <x v="295"/>
    <s v="Lar Santa Ana "/>
    <x v="323"/>
    <x v="2"/>
    <m/>
    <m/>
    <x v="2"/>
    <x v="2"/>
    <m/>
    <s v="adm@larsantaana.com.br"/>
  </r>
  <r>
    <x v="304"/>
    <s v="2 anos "/>
    <d v="2021-04-03T00:00:00"/>
    <x v="1"/>
    <x v="296"/>
    <s v="NCI - Maria Cícera "/>
    <x v="324"/>
    <x v="1"/>
    <m/>
    <m/>
    <x v="17"/>
    <x v="6"/>
    <m/>
    <s v="colmeiaculturalesocial@gmail.com "/>
  </r>
  <r>
    <x v="305"/>
    <s v="2 anos "/>
    <d v="2021-04-03T00:00:00"/>
    <x v="1"/>
    <x v="297"/>
    <s v="Residencial Vida para Idosos "/>
    <x v="325"/>
    <x v="8"/>
    <m/>
    <m/>
    <x v="43"/>
    <x v="6"/>
    <m/>
    <s v="residencialvida2018@gmail.com "/>
  </r>
  <r>
    <x v="306"/>
    <s v="2 anos "/>
    <d v="2021-04-03T00:00:00"/>
    <x v="0"/>
    <x v="298"/>
    <s v="Grupo Viva Vida de Vila Curuçá Velha "/>
    <x v="326"/>
    <x v="1"/>
    <m/>
    <m/>
    <x v="44"/>
    <x v="2"/>
    <m/>
    <s v="gerencia.grupovivavida@hotmail.com "/>
  </r>
  <r>
    <x v="307"/>
    <s v="2 anos "/>
    <d v="2021-04-03T00:00:00"/>
    <x v="1"/>
    <x v="299"/>
    <s v="ILPI - Doce Lar Mariana "/>
    <x v="327"/>
    <x v="2"/>
    <m/>
    <m/>
    <x v="44"/>
    <x v="7"/>
    <m/>
    <s v="deniseoliveiracamargo@hotmail.com "/>
  </r>
  <r>
    <x v="308"/>
    <s v="4 anos"/>
    <d v="2021-05-27T00:00:00"/>
    <x v="0"/>
    <x v="300"/>
    <s v="NCI Lago Azul"/>
    <x v="328"/>
    <x v="1"/>
    <m/>
    <m/>
    <x v="3"/>
    <x v="1"/>
    <m/>
    <s v="centrosocialprimavera@gmail.com"/>
  </r>
  <r>
    <x v="309"/>
    <s v="2 anos"/>
    <d v="2021-06-10T00:00:00"/>
    <x v="1"/>
    <x v="301"/>
    <m/>
    <x v="329"/>
    <x v="2"/>
    <m/>
    <m/>
    <x v="45"/>
    <x v="4"/>
    <m/>
    <s v="anapaulamaciels@gmail.com"/>
  </r>
  <r>
    <x v="310"/>
    <s v="2 anos "/>
    <d v="2021-06-10T00:00:00"/>
    <x v="0"/>
    <x v="302"/>
    <s v="NCI Santo Expedito "/>
    <x v="330"/>
    <x v="1"/>
    <m/>
    <m/>
    <x v="46"/>
    <x v="4"/>
    <m/>
    <s v="nci@maranata.org.br"/>
  </r>
  <r>
    <x v="311"/>
    <s v="2 anos"/>
    <d v="2021-06-10T00:00:00"/>
    <x v="1"/>
    <x v="303"/>
    <s v="Residencial Estrela Brilhantes "/>
    <x v="331"/>
    <x v="2"/>
    <m/>
    <m/>
    <x v="13"/>
    <x v="2"/>
    <m/>
    <s v="restrelasbrilhantes@gmail.com"/>
  </r>
  <r>
    <x v="312"/>
    <s v="2 anos"/>
    <d v="2021-06-10T00:00:00"/>
    <x v="1"/>
    <x v="304"/>
    <s v="Casa de Repouso Novo Amanhecer"/>
    <x v="332"/>
    <x v="2"/>
    <m/>
    <m/>
    <x v="47"/>
    <x v="2"/>
    <m/>
    <s v="contato@casaderepousonovoamanhecer.com.br"/>
  </r>
  <r>
    <x v="313"/>
    <s v="2 anos"/>
    <d v="2021-06-10T00:00:00"/>
    <x v="1"/>
    <x v="305"/>
    <s v="Lar Bella Bento "/>
    <x v="333"/>
    <x v="2"/>
    <m/>
    <m/>
    <x v="42"/>
    <x v="4"/>
    <m/>
    <s v="larbellabento@hotmail.com"/>
  </r>
  <r>
    <x v="314"/>
    <s v="2 anos"/>
    <d v="2021-06-10T00:00:00"/>
    <x v="1"/>
    <x v="306"/>
    <s v="Repouso Horto Florestal "/>
    <x v="334"/>
    <x v="2"/>
    <m/>
    <m/>
    <x v="31"/>
    <x v="4"/>
    <m/>
    <s v="clinica.repouso@ig.com.br"/>
  </r>
  <r>
    <x v="315"/>
    <s v="2 anos"/>
    <d v="2021-06-10T00:00:00"/>
    <x v="1"/>
    <x v="307"/>
    <s v="Clinica Geriátrica Saúde e Bem Estar"/>
    <x v="335"/>
    <x v="2"/>
    <m/>
    <m/>
    <x v="2"/>
    <x v="2"/>
    <m/>
    <s v="raffaelalep@yahoo.com.br"/>
  </r>
  <r>
    <x v="316"/>
    <s v="2 anos "/>
    <d v="2021-06-10T00:00:00"/>
    <x v="0"/>
    <x v="308"/>
    <s v="Programa Viver Bem "/>
    <x v="336"/>
    <x v="1"/>
    <m/>
    <m/>
    <x v="2"/>
    <x v="2"/>
    <m/>
    <s v="ibm@institutobemmaior.org.br"/>
  </r>
  <r>
    <x v="317"/>
    <s v="2 anos"/>
    <d v="2021-06-10T00:00:00"/>
    <x v="1"/>
    <x v="309"/>
    <m/>
    <x v="337"/>
    <x v="2"/>
    <m/>
    <m/>
    <x v="16"/>
    <x v="1"/>
    <m/>
    <s v="gestao@apoiocr.com.br"/>
  </r>
  <r>
    <x v="318"/>
    <s v="4 anos"/>
    <d v="2023-06-10T00:00:00"/>
    <x v="1"/>
    <x v="310"/>
    <m/>
    <x v="338"/>
    <x v="2"/>
    <m/>
    <m/>
    <x v="43"/>
    <x v="6"/>
    <m/>
    <s v="contato@residencialmaisvida.com.br"/>
  </r>
  <r>
    <x v="319"/>
    <s v="2 anos"/>
    <d v="2021-07-18T00:00:00"/>
    <x v="1"/>
    <x v="311"/>
    <m/>
    <x v="339"/>
    <x v="2"/>
    <m/>
    <m/>
    <x v="30"/>
    <x v="4"/>
    <m/>
    <s v="roseralrepouso@gmail.com"/>
  </r>
  <r>
    <x v="320"/>
    <s v="2 anos"/>
    <d v="2021-07-18T00:00:00"/>
    <x v="1"/>
    <x v="312"/>
    <s v="Recanto da Felizidade"/>
    <x v="340"/>
    <x v="2"/>
    <m/>
    <m/>
    <x v="0"/>
    <x v="4"/>
    <m/>
    <s v="pris-fa@hotmail.com"/>
  </r>
  <r>
    <x v="321"/>
    <s v="4 anos"/>
    <d v="2023-08-12T00:00:00"/>
    <x v="1"/>
    <x v="313"/>
    <s v="Casa de Repouso Ideal"/>
    <x v="341"/>
    <x v="2"/>
    <m/>
    <m/>
    <x v="11"/>
    <x v="2"/>
    <m/>
    <s v="contato@casaderepousonocarrao.com.br"/>
  </r>
  <r>
    <x v="322"/>
    <s v="2 anos"/>
    <d v="2021-08-12T00:00:00"/>
    <x v="0"/>
    <x v="314"/>
    <s v="Centro Dia para Idosos - Solidariedade ABECAL"/>
    <x v="342"/>
    <x v="0"/>
    <m/>
    <m/>
    <x v="18"/>
    <x v="1"/>
    <m/>
    <s v="abecal@abecal.org.br"/>
  </r>
  <r>
    <x v="323"/>
    <s v="2 anos"/>
    <d v="2021-08-12T00:00:00"/>
    <x v="1"/>
    <x v="315"/>
    <s v="Residencial Premium Senior"/>
    <x v="343"/>
    <x v="2"/>
    <m/>
    <m/>
    <x v="16"/>
    <x v="1"/>
    <m/>
    <s v="residencialpremiumsenior@gmail.com"/>
  </r>
  <r>
    <x v="324"/>
    <s v="2 anos"/>
    <d v="2021-08-30T00:00:00"/>
    <x v="1"/>
    <x v="316"/>
    <s v="Casa de Repouso Dona Gracinha"/>
    <x v="344"/>
    <x v="2"/>
    <m/>
    <m/>
    <x v="28"/>
    <x v="2"/>
    <m/>
    <s v="ronyanderson35@gmail.com"/>
  </r>
  <r>
    <x v="325"/>
    <s v="2 anos"/>
    <d v="2021-08-30T00:00:00"/>
    <x v="1"/>
    <x v="317"/>
    <m/>
    <x v="345"/>
    <x v="2"/>
    <m/>
    <m/>
    <x v="20"/>
    <x v="2"/>
    <m/>
    <s v="residencialzelina@hotmail.com"/>
  </r>
  <r>
    <x v="326"/>
    <s v="4 anos"/>
    <d v="2023-08-30T00:00:00"/>
    <x v="1"/>
    <x v="318"/>
    <s v="Casa de Repouso Paraíso dos Pais - Matriz"/>
    <x v="346"/>
    <x v="2"/>
    <m/>
    <m/>
    <x v="0"/>
    <x v="4"/>
    <m/>
    <s v="paraisodospais@uol.com.br"/>
  </r>
  <r>
    <x v="327"/>
    <s v="4 anos"/>
    <d v="2023-08-30T00:00:00"/>
    <x v="1"/>
    <x v="318"/>
    <s v="Casa de Repouso Paraíso dos Pais - Filial"/>
    <x v="347"/>
    <x v="2"/>
    <m/>
    <m/>
    <x v="0"/>
    <x v="4"/>
    <m/>
    <s v="paraisodospais@uol.com.br"/>
  </r>
  <r>
    <x v="328"/>
    <s v="4 anos"/>
    <d v="2023-09-17T00:00:00"/>
    <x v="1"/>
    <x v="319"/>
    <s v="Projeto - A Terceira Idade Faz, Conhece, Aprende e Joga"/>
    <x v="348"/>
    <x v="3"/>
    <m/>
    <m/>
    <x v="2"/>
    <x v="2"/>
    <m/>
    <s v="www.nossoinstitutoanima.com.br"/>
  </r>
  <r>
    <x v="329"/>
    <s v="4 anos"/>
    <d v="2023-09-17T00:00:00"/>
    <x v="1"/>
    <x v="320"/>
    <s v="Recanto dos Nobres"/>
    <x v="349"/>
    <x v="2"/>
    <m/>
    <m/>
    <x v="13"/>
    <x v="2"/>
    <m/>
    <s v="abelinosouza@yahoo.com"/>
  </r>
  <r>
    <x v="330"/>
    <m/>
    <m/>
    <x v="3"/>
    <x v="289"/>
    <s v="SEM EFEITO "/>
    <x v="350"/>
    <x v="9"/>
    <m/>
    <m/>
    <x v="48"/>
    <x v="8"/>
    <m/>
    <s v="renatopcampos@gmail.com"/>
  </r>
  <r>
    <x v="331"/>
    <s v="2 anos"/>
    <d v="2021-09-17T00:00:00"/>
    <x v="1"/>
    <x v="321"/>
    <s v="Centro Geriátrico Paulista"/>
    <x v="351"/>
    <x v="2"/>
    <m/>
    <m/>
    <x v="10"/>
    <x v="4"/>
    <m/>
    <s v="gerencia@geriatrico.com.br"/>
  </r>
  <r>
    <x v="332"/>
    <s v="2 anos "/>
    <d v="2021-11-29T00:00:00"/>
    <x v="0"/>
    <x v="322"/>
    <s v="Ressignificando a Vida "/>
    <x v="352"/>
    <x v="4"/>
    <m/>
    <m/>
    <x v="14"/>
    <x v="0"/>
    <m/>
    <s v="servicosocial@adj.org.br "/>
  </r>
  <r>
    <x v="333"/>
    <s v="4 anos"/>
    <d v="2023-11-29T00:00:00"/>
    <x v="0"/>
    <x v="323"/>
    <s v="Centro Dia para Idosos São Franscisco de Assis "/>
    <x v="353"/>
    <x v="0"/>
    <m/>
    <m/>
    <x v="6"/>
    <x v="2"/>
    <m/>
    <s v="ongsamaritano.org.br"/>
  </r>
  <r>
    <x v="334"/>
    <s v="4 anos"/>
    <d v="2023-11-29T00:00:00"/>
    <x v="0"/>
    <x v="323"/>
    <s v="ILPI Tulipas Mooca"/>
    <x v="354"/>
    <x v="2"/>
    <m/>
    <m/>
    <x v="2"/>
    <x v="2"/>
    <m/>
    <s v="sfassis@terra.com.br"/>
  </r>
  <r>
    <x v="335"/>
    <s v="2 anos "/>
    <d v="2021-11-29T00:00:00"/>
    <x v="1"/>
    <x v="324"/>
    <s v="Residencial São Luis "/>
    <x v="355"/>
    <x v="2"/>
    <m/>
    <m/>
    <x v="2"/>
    <x v="2"/>
    <m/>
    <m/>
  </r>
  <r>
    <x v="336"/>
    <m/>
    <m/>
    <x v="3"/>
    <x v="289"/>
    <s v="SEM EFEITO "/>
    <x v="350"/>
    <x v="9"/>
    <m/>
    <m/>
    <x v="48"/>
    <x v="8"/>
    <m/>
    <m/>
  </r>
  <r>
    <x v="337"/>
    <s v="2 anos"/>
    <d v="2021-11-29T00:00:00"/>
    <x v="1"/>
    <x v="325"/>
    <s v="Residencial Viver Bem "/>
    <x v="356"/>
    <x v="2"/>
    <m/>
    <m/>
    <x v="19"/>
    <x v="1"/>
    <m/>
    <s v="residencial@residencialviverbem.com.br"/>
  </r>
  <r>
    <x v="338"/>
    <s v="2 anos"/>
    <d v="2021-11-29T00:00:00"/>
    <x v="1"/>
    <x v="326"/>
    <s v="Residencial Viva Bem "/>
    <x v="357"/>
    <x v="2"/>
    <m/>
    <m/>
    <x v="19"/>
    <x v="1"/>
    <m/>
    <s v="residencial@residencialviverbem.com.br"/>
  </r>
  <r>
    <x v="339"/>
    <s v="4 anos"/>
    <d v="2023-11-29T00:00:00"/>
    <x v="1"/>
    <x v="327"/>
    <s v="New Care Residencial "/>
    <x v="358"/>
    <x v="2"/>
    <m/>
    <m/>
    <x v="8"/>
    <x v="1"/>
    <m/>
    <s v="antonio@residencialnewcare.com.br"/>
  </r>
  <r>
    <x v="340"/>
    <s v="2 anos "/>
    <d v="2021-11-29T00:00:00"/>
    <x v="1"/>
    <x v="328"/>
    <s v="Casa de Repouso Recanto da Terceira Idade "/>
    <x v="359"/>
    <x v="2"/>
    <m/>
    <m/>
    <x v="31"/>
    <x v="4"/>
    <m/>
    <m/>
  </r>
  <r>
    <x v="341"/>
    <s v="2 anos"/>
    <d v="2021-11-29T00:00:00"/>
    <x v="1"/>
    <x v="329"/>
    <s v="Pensionato Laços Eternos "/>
    <x v="360"/>
    <x v="2"/>
    <m/>
    <m/>
    <x v="44"/>
    <x v="7"/>
    <m/>
    <s v="almeida.aguinaldo@hotmail.com"/>
  </r>
  <r>
    <x v="342"/>
    <s v="4 anos "/>
    <d v="2023-11-29T00:00:00"/>
    <x v="0"/>
    <x v="330"/>
    <s v="Lar Moderno - Viver a Vida - Unidade 1"/>
    <x v="361"/>
    <x v="2"/>
    <m/>
    <m/>
    <x v="44"/>
    <x v="2"/>
    <m/>
    <s v="institutoviveravida@yahoo.com.br "/>
  </r>
  <r>
    <x v="343"/>
    <s v="4 anos "/>
    <d v="2023-11-29T00:00:00"/>
    <x v="1"/>
    <x v="331"/>
    <s v="Residencial para Idosos José e Maria "/>
    <x v="362"/>
    <x v="2"/>
    <m/>
    <m/>
    <x v="42"/>
    <x v="4"/>
    <m/>
    <s v="b_carvalho2008@ig.com.br"/>
  </r>
  <r>
    <x v="344"/>
    <s v="2 anos"/>
    <d v="2021-11-29T00:00:00"/>
    <x v="1"/>
    <x v="332"/>
    <s v="Residencil Ray Of Light "/>
    <x v="363"/>
    <x v="2"/>
    <m/>
    <m/>
    <x v="42"/>
    <x v="4"/>
    <m/>
    <s v="rayoflight@outlook.com.br"/>
  </r>
  <r>
    <x v="345"/>
    <s v="2 anos "/>
    <d v="2021-11-29T00:00:00"/>
    <x v="0"/>
    <x v="333"/>
    <s v="Centro Espírit Jesus Redivivo "/>
    <x v="364"/>
    <x v="2"/>
    <m/>
    <m/>
    <x v="47"/>
    <x v="2"/>
    <m/>
    <s v="ml-marter@bol.com.br"/>
  </r>
  <r>
    <x v="346"/>
    <s v="4 anos"/>
    <d v="2023-11-29T00:00:00"/>
    <x v="1"/>
    <x v="334"/>
    <s v="Colibri Casa de Repouso "/>
    <x v="365"/>
    <x v="2"/>
    <m/>
    <m/>
    <x v="11"/>
    <x v="2"/>
    <m/>
    <s v="mari_medeiros@yahoo.com.br"/>
  </r>
  <r>
    <x v="347"/>
    <s v="4 anos"/>
    <d v="2023-11-29T00:00:00"/>
    <x v="1"/>
    <x v="335"/>
    <s v="Casa de Repouso Filó"/>
    <x v="366"/>
    <x v="2"/>
    <m/>
    <m/>
    <x v="8"/>
    <x v="1"/>
    <m/>
    <s v="contato@casaderepousofilo.com.br"/>
  </r>
  <r>
    <x v="348"/>
    <s v="4 anos"/>
    <d v="2023-11-29T00:00:00"/>
    <x v="1"/>
    <x v="335"/>
    <s v="Casa de Repouso Filó"/>
    <x v="366"/>
    <x v="2"/>
    <m/>
    <m/>
    <x v="8"/>
    <x v="1"/>
    <m/>
    <s v="contato@casaderepousofilo.com.br"/>
  </r>
  <r>
    <x v="349"/>
    <s v="2 anos "/>
    <d v="2021-11-29T00:00:00"/>
    <x v="1"/>
    <x v="336"/>
    <s v="Tricotando"/>
    <x v="367"/>
    <x v="2"/>
    <m/>
    <m/>
    <x v="8"/>
    <x v="1"/>
    <m/>
    <s v="contato@tricotandocasa.com.br"/>
  </r>
  <r>
    <x v="350"/>
    <s v="2 anos"/>
    <d v="2021-11-29T00:00:00"/>
    <x v="1"/>
    <x v="337"/>
    <m/>
    <x v="368"/>
    <x v="2"/>
    <m/>
    <m/>
    <x v="22"/>
    <x v="2"/>
    <m/>
    <s v="contato@casaderepousosirius.com.br"/>
  </r>
  <r>
    <x v="351"/>
    <s v="2 anos "/>
    <d v="2021-11-29T00:00:00"/>
    <x v="1"/>
    <x v="338"/>
    <s v="Casa de Repouso Maranata "/>
    <x v="369"/>
    <x v="2"/>
    <m/>
    <m/>
    <x v="22"/>
    <x v="2"/>
    <m/>
    <s v="fernadesidoso@gmail.com"/>
  </r>
  <r>
    <x v="352"/>
    <s v="2 anos"/>
    <d v="2021-11-29T00:00:00"/>
    <x v="1"/>
    <x v="339"/>
    <s v="Recanto do Aonchego "/>
    <x v="370"/>
    <x v="2"/>
    <m/>
    <m/>
    <x v="42"/>
    <x v="4"/>
    <m/>
    <s v="recantodoaconchego@yahoo.com.br"/>
  </r>
  <r>
    <x v="353"/>
    <s v="4 anos"/>
    <d v="2023-11-29T00:00:00"/>
    <x v="1"/>
    <x v="340"/>
    <s v="Casa de Repouso Vitória "/>
    <x v="371"/>
    <x v="2"/>
    <m/>
    <m/>
    <x v="42"/>
    <x v="4"/>
    <m/>
    <s v="contato@casaderepousovitoria.com.br"/>
  </r>
  <r>
    <x v="354"/>
    <s v="2 anos"/>
    <d v="2021-11-29T00:00:00"/>
    <x v="1"/>
    <x v="341"/>
    <s v="Casa de Repouso Oliveira "/>
    <x v="372"/>
    <x v="2"/>
    <m/>
    <m/>
    <x v="49"/>
    <x v="2"/>
    <m/>
    <s v="sil.cebolinha@gmail.com"/>
  </r>
  <r>
    <x v="355"/>
    <s v="2 anos"/>
    <d v="2021-11-29T00:00:00"/>
    <x v="1"/>
    <x v="342"/>
    <s v="Residencial Santana "/>
    <x v="373"/>
    <x v="2"/>
    <m/>
    <m/>
    <x v="11"/>
    <x v="2"/>
    <m/>
    <m/>
  </r>
  <r>
    <x v="356"/>
    <s v="4 anos"/>
    <d v="2023-11-29T00:00:00"/>
    <x v="1"/>
    <x v="343"/>
    <s v="Residencial Lares"/>
    <x v="374"/>
    <x v="2"/>
    <m/>
    <m/>
    <x v="2"/>
    <x v="2"/>
    <m/>
    <s v="susi.vitorino@yahoo.com.br"/>
  </r>
  <r>
    <x v="357"/>
    <s v="2 anos "/>
    <d v="2021-12-13T00:00:00"/>
    <x v="1"/>
    <x v="344"/>
    <s v="Residencial Villa Maná "/>
    <x v="375"/>
    <x v="2"/>
    <m/>
    <m/>
    <x v="16"/>
    <x v="1"/>
    <m/>
    <s v="villamana@outlook.com"/>
  </r>
  <r>
    <x v="358"/>
    <m/>
    <m/>
    <x v="3"/>
    <x v="345"/>
    <s v="SEM EFEITO "/>
    <x v="376"/>
    <x v="9"/>
    <m/>
    <m/>
    <x v="50"/>
    <x v="8"/>
    <m/>
    <m/>
  </r>
  <r>
    <x v="359"/>
    <s v="2 anos"/>
    <d v="2021-12-13T00:00:00"/>
    <x v="1"/>
    <x v="346"/>
    <s v="Top Senior"/>
    <x v="377"/>
    <x v="2"/>
    <m/>
    <m/>
    <x v="17"/>
    <x v="1"/>
    <m/>
    <s v="contato@residencialtopsenior.com.br"/>
  </r>
  <r>
    <x v="360"/>
    <s v="2 anos"/>
    <d v="2021-12-13T00:00:00"/>
    <x v="1"/>
    <x v="347"/>
    <s v="Residencial Real"/>
    <x v="378"/>
    <x v="2"/>
    <m/>
    <m/>
    <x v="51"/>
    <x v="4"/>
    <m/>
    <s v="maria.silva1904@gmail.com"/>
  </r>
  <r>
    <x v="361"/>
    <s v="2 anos"/>
    <d v="2021-12-13T00:00:00"/>
    <x v="1"/>
    <x v="348"/>
    <s v="Olhar Holístico"/>
    <x v="379"/>
    <x v="2"/>
    <m/>
    <m/>
    <x v="52"/>
    <x v="4"/>
    <m/>
    <m/>
  </r>
  <r>
    <x v="362"/>
    <s v="2 anos"/>
    <d v="2021-12-13T00:00:00"/>
    <x v="1"/>
    <x v="349"/>
    <s v="Casa de Repouso Amor ao Idoso"/>
    <x v="380"/>
    <x v="2"/>
    <m/>
    <m/>
    <x v="53"/>
    <x v="4"/>
    <m/>
    <s v="residencial.amoraoidoso@gmail.com"/>
  </r>
  <r>
    <x v="363"/>
    <s v="2 anos"/>
    <d v="2021-12-13T00:00:00"/>
    <x v="1"/>
    <x v="350"/>
    <s v="Clínica Geriátrica Saúde e Bem Estar "/>
    <x v="381"/>
    <x v="2"/>
    <m/>
    <m/>
    <x v="1"/>
    <x v="1"/>
    <m/>
    <s v="lucianomontlc11@gmail.com"/>
  </r>
  <r>
    <x v="364"/>
    <s v="2 anos "/>
    <d v="2021-12-13T00:00:00"/>
    <x v="1"/>
    <x v="351"/>
    <m/>
    <x v="382"/>
    <x v="2"/>
    <m/>
    <m/>
    <x v="54"/>
    <x v="4"/>
    <m/>
    <s v="ilpi4ever@yahoo.com"/>
  </r>
  <r>
    <x v="365"/>
    <s v="2 anos "/>
    <d v="2021-12-13T00:00:00"/>
    <x v="1"/>
    <x v="352"/>
    <m/>
    <x v="383"/>
    <x v="2"/>
    <m/>
    <m/>
    <x v="52"/>
    <x v="4"/>
    <m/>
    <s v="casaderepousojardimfranca@gmail.com "/>
  </r>
  <r>
    <x v="366"/>
    <s v="4 anos "/>
    <d v="2023-12-13T00:00:00"/>
    <x v="1"/>
    <x v="353"/>
    <m/>
    <x v="384"/>
    <x v="2"/>
    <m/>
    <m/>
    <x v="51"/>
    <x v="4"/>
    <m/>
    <s v="neto.gattolin@gmail.com"/>
  </r>
  <r>
    <x v="367"/>
    <s v="4 anos"/>
    <d v="2023-12-13T00:00:00"/>
    <x v="1"/>
    <x v="354"/>
    <m/>
    <x v="385"/>
    <x v="2"/>
    <m/>
    <m/>
    <x v="17"/>
    <x v="6"/>
    <m/>
    <s v="casastyllo@uol.com.br"/>
  </r>
  <r>
    <x v="368"/>
    <s v="4 anos"/>
    <d v="2023-12-13T00:00:00"/>
    <x v="1"/>
    <x v="355"/>
    <s v="Casa de Repouso Nossa Senhora Aparecida "/>
    <x v="386"/>
    <x v="2"/>
    <m/>
    <m/>
    <x v="52"/>
    <x v="4"/>
    <m/>
    <s v="cr.aparecida@hotmail.com"/>
  </r>
  <r>
    <x v="369"/>
    <s v="4 anos"/>
    <d v="2023-12-13T00:00:00"/>
    <x v="1"/>
    <x v="356"/>
    <m/>
    <x v="387"/>
    <x v="2"/>
    <m/>
    <m/>
    <x v="55"/>
    <x v="4"/>
    <m/>
    <s v="casaderepousoidacruz@gmail.com"/>
  </r>
  <r>
    <x v="370"/>
    <s v="2 anos"/>
    <d v="2021-12-13T00:00:00"/>
    <x v="1"/>
    <x v="357"/>
    <s v="Recanto da Vovó"/>
    <x v="388"/>
    <x v="2"/>
    <m/>
    <m/>
    <x v="51"/>
    <x v="4"/>
    <m/>
    <s v="neto.gattolin@gmail.com"/>
  </r>
  <r>
    <x v="371"/>
    <s v="2 anos"/>
    <d v="2021-12-13T00:00:00"/>
    <x v="1"/>
    <x v="358"/>
    <m/>
    <x v="389"/>
    <x v="2"/>
    <m/>
    <m/>
    <x v="42"/>
    <x v="4"/>
    <m/>
    <s v="cr.aparecida@superig.com.br"/>
  </r>
  <r>
    <x v="372"/>
    <s v="4 anos"/>
    <d v="2024-01-30T00:00:00"/>
    <x v="1"/>
    <x v="359"/>
    <m/>
    <x v="390"/>
    <x v="2"/>
    <m/>
    <m/>
    <x v="8"/>
    <x v="1"/>
    <m/>
    <s v="ariozorio@terra.com.br "/>
  </r>
  <r>
    <x v="373"/>
    <s v="2 anos"/>
    <d v="2022-01-30T00:00:00"/>
    <x v="0"/>
    <x v="360"/>
    <s v="Projeto: Guardiões do Brincar"/>
    <x v="391"/>
    <x v="3"/>
    <m/>
    <m/>
    <x v="48"/>
    <x v="8"/>
    <m/>
    <s v="contato@ipabrasil.org"/>
  </r>
  <r>
    <x v="374"/>
    <s v="2 anos"/>
    <d v="2022-01-30T00:00:00"/>
    <x v="1"/>
    <x v="361"/>
    <s v="Residencial para Idosos Royale"/>
    <x v="392"/>
    <x v="2"/>
    <m/>
    <m/>
    <x v="5"/>
    <x v="0"/>
    <m/>
    <s v="gloria@residencialroyale.com.br"/>
  </r>
  <r>
    <x v="375"/>
    <s v="2 anos"/>
    <d v="2022-01-30T00:00:00"/>
    <x v="1"/>
    <x v="362"/>
    <s v="Nosso Cantinho"/>
    <x v="393"/>
    <x v="2"/>
    <m/>
    <m/>
    <x v="14"/>
    <x v="0"/>
    <m/>
    <s v="nossocantinho.nossocantinho@gmail.com"/>
  </r>
  <r>
    <x v="376"/>
    <s v="4 anos"/>
    <d v="2024-02-18T00:00:00"/>
    <x v="1"/>
    <x v="363"/>
    <s v="Espaço Edem"/>
    <x v="350"/>
    <x v="0"/>
    <m/>
    <m/>
    <x v="48"/>
    <x v="8"/>
    <m/>
    <m/>
  </r>
  <r>
    <x v="377"/>
    <s v="4 anos"/>
    <d v="2024-02-18T00:00:00"/>
    <x v="1"/>
    <x v="364"/>
    <m/>
    <x v="350"/>
    <x v="0"/>
    <m/>
    <m/>
    <x v="48"/>
    <x v="8"/>
    <m/>
    <m/>
  </r>
  <r>
    <x v="378"/>
    <s v="2 anos"/>
    <d v="2022-02-18T00:00:00"/>
    <x v="1"/>
    <x v="365"/>
    <s v="Casa Rosada"/>
    <x v="394"/>
    <x v="2"/>
    <m/>
    <m/>
    <x v="56"/>
    <x v="0"/>
    <m/>
    <m/>
  </r>
  <r>
    <x v="379"/>
    <s v="2 anos"/>
    <d v="2022-02-18T00:00:00"/>
    <x v="1"/>
    <x v="366"/>
    <s v="Morada dos Pássaros"/>
    <x v="395"/>
    <x v="2"/>
    <m/>
    <m/>
    <x v="37"/>
    <x v="4"/>
    <m/>
    <s v="contato@moradadospassaros.com               "/>
  </r>
  <r>
    <x v="380"/>
    <s v="2 anos"/>
    <d v="2022-02-18T00:00:00"/>
    <x v="1"/>
    <x v="367"/>
    <s v="Guardiã da Melhor"/>
    <x v="396"/>
    <x v="2"/>
    <m/>
    <m/>
    <x v="37"/>
    <x v="4"/>
    <m/>
    <m/>
  </r>
  <r>
    <x v="381"/>
    <s v="4 anos"/>
    <d v="2024-02-18T00:00:00"/>
    <x v="1"/>
    <x v="368"/>
    <m/>
    <x v="397"/>
    <x v="2"/>
    <m/>
    <m/>
    <x v="17"/>
    <x v="1"/>
    <m/>
    <s v="casastyllo@uol.com.br"/>
  </r>
  <r>
    <x v="382"/>
    <s v="2 anos"/>
    <d v="2022-02-18T00:00:00"/>
    <x v="1"/>
    <x v="369"/>
    <s v="Residencial Pedra branca"/>
    <x v="398"/>
    <x v="2"/>
    <m/>
    <m/>
    <x v="37"/>
    <x v="4"/>
    <m/>
    <s v="casaderepousocidinha@gmail.com"/>
  </r>
  <r>
    <x v="383"/>
    <s v="2 anos"/>
    <d v="2022-02-18T00:00:00"/>
    <x v="1"/>
    <x v="370"/>
    <s v="Casa de Repouso Vila Mariana - Matriz"/>
    <x v="399"/>
    <x v="2"/>
    <m/>
    <m/>
    <x v="1"/>
    <x v="1"/>
    <m/>
    <s v="suporte@casadavilamariana.com.br"/>
  </r>
  <r>
    <x v="384"/>
    <s v="2 anos"/>
    <d v="2022-02-18T00:00:00"/>
    <x v="1"/>
    <x v="371"/>
    <s v="Casa de Repouso Vila Mariana - Filial 02"/>
    <x v="399"/>
    <x v="2"/>
    <m/>
    <m/>
    <x v="1"/>
    <x v="1"/>
    <m/>
    <s v="suporte@casadavilamariana.com.br"/>
  </r>
  <r>
    <x v="383"/>
    <s v="2 anos"/>
    <d v="2022-02-18T00:00:00"/>
    <x v="1"/>
    <x v="370"/>
    <s v="Casa de Repouso Vila Mariana - Filial 03"/>
    <x v="399"/>
    <x v="2"/>
    <m/>
    <m/>
    <x v="1"/>
    <x v="1"/>
    <m/>
    <s v="suporte@casadavilamariana.com.br"/>
  </r>
  <r>
    <x v="384"/>
    <s v="2 anos"/>
    <d v="2022-02-18T00:00:00"/>
    <x v="1"/>
    <x v="371"/>
    <s v="Casa de Repouso Vila Mariana - Filial 04"/>
    <x v="399"/>
    <x v="2"/>
    <m/>
    <m/>
    <x v="1"/>
    <x v="1"/>
    <m/>
    <s v="suporte@casadavilamariana.com.br"/>
  </r>
  <r>
    <x v="385"/>
    <s v="2 anos"/>
    <d v="2022-02-18T00:00:00"/>
    <x v="0"/>
    <x v="372"/>
    <s v="Capacitação do Fórum do Cidadão Idoso: Promovendo o  Protagonismo da Pessoa Idosa em Relação às Políticas Públicas"/>
    <x v="400"/>
    <x v="3"/>
    <m/>
    <m/>
    <x v="48"/>
    <x v="8"/>
    <m/>
    <s v="fiscal@hcor.com.br"/>
  </r>
  <r>
    <x v="386"/>
    <s v="2 anos"/>
    <d v="2022-02-18T00:00:00"/>
    <x v="0"/>
    <x v="372"/>
    <s v="Alimentação Cardioprotetora Como Estratégia de Educação Alimentar e Nutricional para Idosos com Fatores de Risco Cardiovascular"/>
    <x v="400"/>
    <x v="3"/>
    <m/>
    <m/>
    <x v="48"/>
    <x v="8"/>
    <m/>
    <s v="fiscal@hcor.com.br"/>
  </r>
  <r>
    <x v="387"/>
    <s v="2 anos"/>
    <d v="2022-02-18T00:00:00"/>
    <x v="0"/>
    <x v="373"/>
    <s v="Vida Ativa - Inclusão Digital"/>
    <x v="401"/>
    <x v="3"/>
    <m/>
    <m/>
    <x v="48"/>
    <x v="8"/>
    <m/>
    <s v="ireviver3projetos@gmail.com"/>
  </r>
  <r>
    <x v="388"/>
    <s v="2 anos"/>
    <d v="2022-02-18T00:00:00"/>
    <x v="0"/>
    <x v="374"/>
    <m/>
    <x v="402"/>
    <x v="1"/>
    <m/>
    <m/>
    <x v="26"/>
    <x v="2"/>
    <m/>
    <s v="adumdalvapaixao@yahoo.com.br"/>
  </r>
  <r>
    <x v="389"/>
    <s v="2 anos"/>
    <d v="2022-02-18T00:00:00"/>
    <x v="1"/>
    <x v="375"/>
    <s v="Recanto Viver a Vida"/>
    <x v="403"/>
    <x v="2"/>
    <m/>
    <m/>
    <x v="22"/>
    <x v="2"/>
    <m/>
    <s v="recantoviveravida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1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A1201" firstHeaderRow="1" firstDataRow="1" firstDataCol="1"/>
  <pivotFields count="14">
    <pivotField axis="axisRow" showAll="0">
      <items count="391">
        <item x="0"/>
        <item x="9"/>
        <item x="10"/>
        <item x="11"/>
        <item x="12"/>
        <item x="13"/>
        <item x="16"/>
        <item x="17"/>
        <item x="18"/>
        <item x="19"/>
        <item x="1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4"/>
        <item x="53"/>
        <item x="54"/>
        <item x="55"/>
        <item x="56"/>
        <item x="57"/>
        <item x="58"/>
        <item x="59"/>
        <item x="60"/>
        <item x="61"/>
        <item x="62"/>
        <item x="5"/>
        <item x="63"/>
        <item x="64"/>
        <item x="65"/>
        <item x="66"/>
        <item x="67"/>
        <item x="68"/>
        <item x="69"/>
        <item x="70"/>
        <item x="71"/>
        <item x="72"/>
        <item x="6"/>
        <item x="73"/>
        <item x="74"/>
        <item x="75"/>
        <item x="76"/>
        <item x="77"/>
        <item x="78"/>
        <item x="79"/>
        <item x="80"/>
        <item x="81"/>
        <item x="82"/>
        <item x="7"/>
        <item x="83"/>
        <item x="84"/>
        <item x="85"/>
        <item x="86"/>
        <item x="87"/>
        <item x="88"/>
        <item x="89"/>
        <item x="90"/>
        <item x="91"/>
        <item x="92"/>
        <item x="8"/>
        <item x="93"/>
        <item x="94"/>
        <item x="95"/>
        <item x="100"/>
        <item x="101"/>
        <item x="102"/>
        <item x="103"/>
        <item x="104"/>
        <item x="105"/>
        <item x="106"/>
        <item x="107"/>
        <item x="108"/>
        <item x="110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4"/>
        <item x="15"/>
        <item x="157"/>
        <item x="158"/>
        <item x="159"/>
        <item x="160"/>
        <item x="161"/>
        <item x="162"/>
        <item x="164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84"/>
        <item x="96"/>
        <item x="97"/>
        <item x="98"/>
        <item x="99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showAll="0"/>
    <pivotField showAll="0"/>
    <pivotField showAll="0"/>
    <pivotField axis="axisRow" showAll="0">
      <items count="377">
        <item x="156"/>
        <item x="351"/>
        <item x="248"/>
        <item x="168"/>
        <item x="212"/>
        <item x="220"/>
        <item x="95"/>
        <item x="17"/>
        <item x="262"/>
        <item x="150"/>
        <item x="166"/>
        <item x="309"/>
        <item x="125"/>
        <item x="223"/>
        <item x="86"/>
        <item x="218"/>
        <item x="124"/>
        <item x="37"/>
        <item x="99"/>
        <item x="47"/>
        <item x="314"/>
        <item x="132"/>
        <item x="27"/>
        <item x="136"/>
        <item x="167"/>
        <item x="28"/>
        <item x="128"/>
        <item x="372"/>
        <item x="190"/>
        <item x="176"/>
        <item x="96"/>
        <item x="374"/>
        <item x="6"/>
        <item x="322"/>
        <item x="160"/>
        <item x="197"/>
        <item x="1"/>
        <item x="111"/>
        <item x="2"/>
        <item x="39"/>
        <item x="298"/>
        <item x="225"/>
        <item x="23"/>
        <item x="123"/>
        <item x="0"/>
        <item x="67"/>
        <item x="82"/>
        <item x="175"/>
        <item x="30"/>
        <item x="102"/>
        <item x="183"/>
        <item x="331"/>
        <item x="78"/>
        <item x="361"/>
        <item x="158"/>
        <item x="157"/>
        <item x="280"/>
        <item x="66"/>
        <item x="196"/>
        <item x="151"/>
        <item x="258"/>
        <item x="286"/>
        <item x="313"/>
        <item x="215"/>
        <item x="240"/>
        <item x="162"/>
        <item x="195"/>
        <item x="349"/>
        <item x="189"/>
        <item x="26"/>
        <item x="181"/>
        <item x="76"/>
        <item x="75"/>
        <item x="87"/>
        <item x="172"/>
        <item x="359"/>
        <item x="217"/>
        <item x="83"/>
        <item x="144"/>
        <item x="51"/>
        <item x="114"/>
        <item x="301"/>
        <item x="307"/>
        <item x="54"/>
        <item x="350"/>
        <item x="92"/>
        <item x="119"/>
        <item x="177"/>
        <item x="250"/>
        <item x="239"/>
        <item x="343"/>
        <item x="171"/>
        <item x="61"/>
        <item x="235"/>
        <item x="249"/>
        <item x="357"/>
        <item x="352"/>
        <item x="340"/>
        <item x="221"/>
        <item x="356"/>
        <item x="80"/>
        <item x="118"/>
        <item x="97"/>
        <item x="21"/>
        <item x="140"/>
        <item x="257"/>
        <item x="46"/>
        <item x="204"/>
        <item x="42"/>
        <item x="60"/>
        <item x="65"/>
        <item x="358"/>
        <item x="164"/>
        <item x="179"/>
        <item x="191"/>
        <item x="11"/>
        <item x="12"/>
        <item x="187"/>
        <item x="36"/>
        <item x="328"/>
        <item x="38"/>
        <item x="7"/>
        <item x="339"/>
        <item x="85"/>
        <item x="312"/>
        <item x="245"/>
        <item x="107"/>
        <item x="272"/>
        <item x="275"/>
        <item x="117"/>
        <item x="174"/>
        <item x="317"/>
        <item x="311"/>
        <item x="271"/>
        <item x="149"/>
        <item x="193"/>
        <item x="254"/>
        <item x="129"/>
        <item x="341"/>
        <item x="337"/>
        <item x="159"/>
        <item x="354"/>
        <item x="31"/>
        <item x="200"/>
        <item x="285"/>
        <item x="126"/>
        <item x="57"/>
        <item x="139"/>
        <item x="142"/>
        <item x="269"/>
        <item x="365"/>
        <item x="49"/>
        <item x="154"/>
        <item x="294"/>
        <item x="8"/>
        <item x="370"/>
        <item x="371"/>
        <item x="333"/>
        <item x="133"/>
        <item x="300"/>
        <item x="84"/>
        <item x="264"/>
        <item x="305"/>
        <item x="101"/>
        <item x="306"/>
        <item x="276"/>
        <item x="209"/>
        <item x="296"/>
        <item x="222"/>
        <item x="69"/>
        <item x="122"/>
        <item x="58"/>
        <item x="22"/>
        <item x="143"/>
        <item x="375"/>
        <item x="299"/>
        <item x="277"/>
        <item x="303"/>
        <item x="288"/>
        <item x="34"/>
        <item x="121"/>
        <item x="363"/>
        <item x="100"/>
        <item x="283"/>
        <item x="74"/>
        <item x="137"/>
        <item x="145"/>
        <item x="231"/>
        <item x="72"/>
        <item x="255"/>
        <item x="367"/>
        <item x="33"/>
        <item x="89"/>
        <item x="216"/>
        <item x="335"/>
        <item x="88"/>
        <item x="226"/>
        <item x="71"/>
        <item x="98"/>
        <item x="55"/>
        <item x="155"/>
        <item x="170"/>
        <item x="161"/>
        <item x="243"/>
        <item x="173"/>
        <item x="79"/>
        <item x="50"/>
        <item x="77"/>
        <item x="199"/>
        <item x="105"/>
        <item x="263"/>
        <item x="287"/>
        <item x="278"/>
        <item x="241"/>
        <item x="203"/>
        <item x="147"/>
        <item x="373"/>
        <item x="130"/>
        <item x="192"/>
        <item x="319"/>
        <item x="308"/>
        <item x="25"/>
        <item x="146"/>
        <item x="205"/>
        <item x="232"/>
        <item x="103"/>
        <item x="246"/>
        <item x="4"/>
        <item x="115"/>
        <item x="48"/>
        <item x="330"/>
        <item x="360"/>
        <item x="304"/>
        <item x="163"/>
        <item x="93"/>
        <item x="110"/>
        <item x="252"/>
        <item x="64"/>
        <item x="318"/>
        <item x="290"/>
        <item x="355"/>
        <item x="273"/>
        <item x="148"/>
        <item x="135"/>
        <item x="366"/>
        <item x="234"/>
        <item x="109"/>
        <item x="90"/>
        <item x="165"/>
        <item x="188"/>
        <item x="208"/>
        <item x="211"/>
        <item x="242"/>
        <item x="201"/>
        <item x="219"/>
        <item x="338"/>
        <item x="207"/>
        <item x="127"/>
        <item x="15"/>
        <item x="16"/>
        <item x="238"/>
        <item x="52"/>
        <item x="59"/>
        <item x="184"/>
        <item x="327"/>
        <item x="81"/>
        <item x="362"/>
        <item x="213"/>
        <item x="94"/>
        <item x="104"/>
        <item x="120"/>
        <item x="348"/>
        <item x="284"/>
        <item x="153"/>
        <item x="5"/>
        <item x="56"/>
        <item x="329"/>
        <item x="369"/>
        <item x="180"/>
        <item x="265"/>
        <item x="233"/>
        <item x="134"/>
        <item x="73"/>
        <item x="91"/>
        <item x="138"/>
        <item x="353"/>
        <item x="41"/>
        <item x="268"/>
        <item x="169"/>
        <item x="13"/>
        <item x="291"/>
        <item x="24"/>
        <item x="45"/>
        <item x="18"/>
        <item x="210"/>
        <item x="63"/>
        <item x="244"/>
        <item x="228"/>
        <item x="334"/>
        <item x="53"/>
        <item x="236"/>
        <item x="185"/>
        <item x="116"/>
        <item x="321"/>
        <item x="315"/>
        <item x="310"/>
        <item x="274"/>
        <item x="368"/>
        <item x="198"/>
        <item x="260"/>
        <item x="282"/>
        <item x="229"/>
        <item x="29"/>
        <item x="224"/>
        <item x="347"/>
        <item x="214"/>
        <item x="70"/>
        <item x="324"/>
        <item x="35"/>
        <item x="194"/>
        <item x="297"/>
        <item x="112"/>
        <item x="68"/>
        <item x="344"/>
        <item x="292"/>
        <item x="332"/>
        <item x="182"/>
        <item x="316"/>
        <item x="253"/>
        <item x="323"/>
        <item x="178"/>
        <item x="247"/>
        <item x="295"/>
        <item x="342"/>
        <item x="289"/>
        <item x="345"/>
        <item x="279"/>
        <item x="106"/>
        <item x="10"/>
        <item x="281"/>
        <item x="259"/>
        <item x="32"/>
        <item x="3"/>
        <item x="270"/>
        <item x="302"/>
        <item x="108"/>
        <item x="261"/>
        <item x="62"/>
        <item x="206"/>
        <item x="14"/>
        <item x="320"/>
        <item x="346"/>
        <item x="336"/>
        <item x="251"/>
        <item x="230"/>
        <item x="19"/>
        <item x="20"/>
        <item x="152"/>
        <item x="9"/>
        <item x="131"/>
        <item x="113"/>
        <item x="202"/>
        <item x="364"/>
        <item x="43"/>
        <item x="186"/>
        <item x="266"/>
        <item x="256"/>
        <item x="267"/>
        <item x="326"/>
        <item x="293"/>
        <item x="40"/>
        <item x="237"/>
        <item x="325"/>
        <item x="141"/>
        <item x="44"/>
        <item x="227"/>
        <item t="default"/>
      </items>
    </pivotField>
    <pivotField showAll="0"/>
    <pivotField axis="axisRow" showAll="0">
      <items count="405">
        <item x="195"/>
        <item x="324"/>
        <item x="289"/>
        <item x="217"/>
        <item x="218"/>
        <item x="219"/>
        <item x="240"/>
        <item x="79"/>
        <item x="198"/>
        <item x="22"/>
        <item x="353"/>
        <item x="128"/>
        <item x="145"/>
        <item x="157"/>
        <item x="30"/>
        <item x="223"/>
        <item x="75"/>
        <item x="273"/>
        <item x="391"/>
        <item x="155"/>
        <item x="267"/>
        <item x="7"/>
        <item x="286"/>
        <item x="188"/>
        <item x="109"/>
        <item x="185"/>
        <item x="354"/>
        <item x="82"/>
        <item x="282"/>
        <item x="214"/>
        <item x="84"/>
        <item x="15"/>
        <item x="31"/>
        <item x="64"/>
        <item x="133"/>
        <item x="134"/>
        <item x="132"/>
        <item x="43"/>
        <item x="40"/>
        <item x="41"/>
        <item x="12"/>
        <item x="69"/>
        <item x="107"/>
        <item x="14"/>
        <item x="50"/>
        <item x="291"/>
        <item x="176"/>
        <item x="177"/>
        <item x="342"/>
        <item x="51"/>
        <item x="287"/>
        <item x="249"/>
        <item x="314"/>
        <item x="276"/>
        <item x="116"/>
        <item x="239"/>
        <item x="230"/>
        <item x="389"/>
        <item x="392"/>
        <item x="20"/>
        <item x="21"/>
        <item x="190"/>
        <item x="106"/>
        <item x="326"/>
        <item x="139"/>
        <item x="90"/>
        <item x="167"/>
        <item x="13"/>
        <item x="46"/>
        <item x="11"/>
        <item x="54"/>
        <item x="35"/>
        <item x="243"/>
        <item x="372"/>
        <item x="302"/>
        <item x="348"/>
        <item x="1"/>
        <item x="136"/>
        <item x="60"/>
        <item x="122"/>
        <item x="339"/>
        <item x="98"/>
        <item x="175"/>
        <item x="71"/>
        <item x="92"/>
        <item x="255"/>
        <item x="101"/>
        <item x="102"/>
        <item x="103"/>
        <item x="215"/>
        <item x="241"/>
        <item x="242"/>
        <item x="28"/>
        <item x="398"/>
        <item x="316"/>
        <item x="42"/>
        <item x="370"/>
        <item x="356"/>
        <item x="349"/>
        <item x="137"/>
        <item x="340"/>
        <item x="57"/>
        <item x="34"/>
        <item x="59"/>
        <item x="397"/>
        <item x="86"/>
        <item x="62"/>
        <item x="68"/>
        <item x="246"/>
        <item x="44"/>
        <item x="192"/>
        <item x="193"/>
        <item x="284"/>
        <item x="129"/>
        <item x="315"/>
        <item x="290"/>
        <item x="265"/>
        <item x="351"/>
        <item x="125"/>
        <item x="207"/>
        <item x="38"/>
        <item x="244"/>
        <item x="19"/>
        <item x="275"/>
        <item x="144"/>
        <item x="119"/>
        <item x="56"/>
        <item x="258"/>
        <item x="360"/>
        <item x="357"/>
        <item x="97"/>
        <item x="140"/>
        <item x="141"/>
        <item x="52"/>
        <item x="292"/>
        <item x="165"/>
        <item x="336"/>
        <item x="204"/>
        <item x="2"/>
        <item x="359"/>
        <item x="227"/>
        <item x="228"/>
        <item x="130"/>
        <item x="262"/>
        <item x="371"/>
        <item x="124"/>
        <item x="87"/>
        <item x="55"/>
        <item x="187"/>
        <item x="80"/>
        <item x="319"/>
        <item x="29"/>
        <item x="323"/>
        <item x="121"/>
        <item x="373"/>
        <item x="361"/>
        <item x="196"/>
        <item x="206"/>
        <item x="89"/>
        <item x="295"/>
        <item x="306"/>
        <item x="63"/>
        <item x="161"/>
        <item x="94"/>
        <item x="194"/>
        <item x="127"/>
        <item x="152"/>
        <item x="212"/>
        <item x="259"/>
        <item x="39"/>
        <item x="73"/>
        <item x="83"/>
        <item x="250"/>
        <item x="318"/>
        <item x="186"/>
        <item x="65"/>
        <item x="47"/>
        <item x="48"/>
        <item x="199"/>
        <item x="268"/>
        <item x="335"/>
        <item x="105"/>
        <item x="126"/>
        <item x="358"/>
        <item x="221"/>
        <item x="61"/>
        <item x="172"/>
        <item x="168"/>
        <item x="169"/>
        <item x="170"/>
        <item x="171"/>
        <item x="173"/>
        <item x="174"/>
        <item x="271"/>
        <item x="49"/>
        <item x="224"/>
        <item x="225"/>
        <item x="18"/>
        <item x="74"/>
        <item x="285"/>
        <item x="300"/>
        <item x="197"/>
        <item x="332"/>
        <item x="99"/>
        <item x="257"/>
        <item x="78"/>
        <item x="143"/>
        <item x="346"/>
        <item x="347"/>
        <item x="274"/>
        <item x="208"/>
        <item x="162"/>
        <item x="164"/>
        <item x="100"/>
        <item x="58"/>
        <item x="293"/>
        <item x="327"/>
        <item x="304"/>
        <item x="181"/>
        <item x="182"/>
        <item x="153"/>
        <item x="313"/>
        <item x="123"/>
        <item x="369"/>
        <item x="388"/>
        <item x="299"/>
        <item x="375"/>
        <item x="202"/>
        <item x="200"/>
        <item x="235"/>
        <item x="70"/>
        <item x="110"/>
        <item x="303"/>
        <item x="301"/>
        <item x="329"/>
        <item x="45"/>
        <item x="113"/>
        <item x="154"/>
        <item x="296"/>
        <item x="149"/>
        <item x="108"/>
        <item x="27"/>
        <item x="363"/>
        <item x="366"/>
        <item x="147"/>
        <item x="95"/>
        <item x="226"/>
        <item x="237"/>
        <item x="321"/>
        <item x="81"/>
        <item x="270"/>
        <item x="344"/>
        <item x="178"/>
        <item x="367"/>
        <item x="387"/>
        <item x="254"/>
        <item x="189"/>
        <item x="341"/>
        <item x="238"/>
        <item x="180"/>
        <item x="211"/>
        <item x="210"/>
        <item x="269"/>
        <item x="163"/>
        <item x="236"/>
        <item x="261"/>
        <item x="381"/>
        <item x="294"/>
        <item x="393"/>
        <item x="138"/>
        <item x="191"/>
        <item x="229"/>
        <item x="179"/>
        <item x="260"/>
        <item x="159"/>
        <item x="338"/>
        <item x="283"/>
        <item x="333"/>
        <item x="396"/>
        <item x="395"/>
        <item x="201"/>
        <item x="220"/>
        <item x="320"/>
        <item x="383"/>
        <item x="253"/>
        <item x="368"/>
        <item x="280"/>
        <item x="307"/>
        <item x="160"/>
        <item x="378"/>
        <item x="231"/>
        <item x="362"/>
        <item x="247"/>
        <item x="183"/>
        <item x="266"/>
        <item x="205"/>
        <item x="331"/>
        <item x="222"/>
        <item x="272"/>
        <item x="308"/>
        <item x="156"/>
        <item x="203"/>
        <item x="365"/>
        <item x="386"/>
        <item x="281"/>
        <item x="384"/>
        <item x="311"/>
        <item x="288"/>
        <item x="345"/>
        <item x="263"/>
        <item x="343"/>
        <item x="380"/>
        <item x="305"/>
        <item x="403"/>
        <item x="377"/>
        <item x="325"/>
        <item x="379"/>
        <item x="382"/>
        <item x="310"/>
        <item x="374"/>
        <item x="401"/>
        <item x="355"/>
        <item x="32"/>
        <item x="9"/>
        <item x="93"/>
        <item x="334"/>
        <item x="24"/>
        <item x="26"/>
        <item x="25"/>
        <item x="23"/>
        <item x="352"/>
        <item x="66"/>
        <item x="117"/>
        <item x="328"/>
        <item x="309"/>
        <item x="142"/>
        <item x="10"/>
        <item x="111"/>
        <item x="297"/>
        <item x="216"/>
        <item x="67"/>
        <item x="364"/>
        <item x="248"/>
        <item x="33"/>
        <item x="4"/>
        <item x="3"/>
        <item x="5"/>
        <item x="256"/>
        <item x="85"/>
        <item x="213"/>
        <item x="264"/>
        <item x="114"/>
        <item x="115"/>
        <item x="399"/>
        <item x="337"/>
        <item x="158"/>
        <item x="166"/>
        <item x="385"/>
        <item x="400"/>
        <item x="135"/>
        <item x="252"/>
        <item x="232"/>
        <item x="233"/>
        <item x="322"/>
        <item x="77"/>
        <item x="312"/>
        <item x="298"/>
        <item x="131"/>
        <item x="36"/>
        <item x="104"/>
        <item x="277"/>
        <item x="278"/>
        <item x="279"/>
        <item x="8"/>
        <item x="148"/>
        <item x="72"/>
        <item x="390"/>
        <item x="209"/>
        <item x="37"/>
        <item x="120"/>
        <item x="112"/>
        <item x="0"/>
        <item x="53"/>
        <item x="234"/>
        <item x="150"/>
        <item x="151"/>
        <item x="118"/>
        <item x="245"/>
        <item x="394"/>
        <item x="402"/>
        <item x="88"/>
        <item x="91"/>
        <item x="76"/>
        <item x="146"/>
        <item x="251"/>
        <item x="16"/>
        <item x="17"/>
        <item x="96"/>
        <item x="184"/>
        <item x="330"/>
        <item x="6"/>
        <item x="317"/>
        <item x="376"/>
        <item x="35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6"/>
  </rowFields>
  <rowItems count="1198">
    <i>
      <x/>
    </i>
    <i r="1">
      <x v="44"/>
    </i>
    <i r="2">
      <x v="381"/>
    </i>
    <i>
      <x v="1"/>
    </i>
    <i r="1">
      <x v="358"/>
    </i>
    <i r="2">
      <x v="69"/>
    </i>
    <i>
      <x v="2"/>
    </i>
    <i r="1">
      <x v="338"/>
    </i>
    <i r="2">
      <x v="40"/>
    </i>
    <i>
      <x v="3"/>
    </i>
    <i r="1">
      <x v="115"/>
    </i>
    <i r="2">
      <x v="67"/>
    </i>
    <i r="1">
      <x v="116"/>
    </i>
    <i r="2">
      <x v="67"/>
    </i>
    <i>
      <x v="4"/>
    </i>
    <i r="1">
      <x v="289"/>
    </i>
    <i r="2">
      <x v="43"/>
    </i>
    <i>
      <x v="5"/>
    </i>
    <i r="1">
      <x v="349"/>
    </i>
    <i r="2">
      <x v="31"/>
    </i>
    <i>
      <x v="6"/>
    </i>
    <i r="1">
      <x v="7"/>
    </i>
    <i r="2">
      <x v="197"/>
    </i>
    <i>
      <x v="7"/>
    </i>
    <i r="1">
      <x v="293"/>
    </i>
    <i r="2">
      <x v="122"/>
    </i>
    <i>
      <x v="8"/>
    </i>
    <i r="1">
      <x v="355"/>
    </i>
    <i r="2">
      <x v="59"/>
    </i>
    <i r="1">
      <x v="356"/>
    </i>
    <i r="2">
      <x v="60"/>
    </i>
    <i>
      <x v="9"/>
    </i>
    <i r="1">
      <x v="103"/>
    </i>
    <i r="2">
      <x v="9"/>
    </i>
    <i>
      <x v="10"/>
    </i>
    <i r="1">
      <x v="36"/>
    </i>
    <i r="2">
      <x v="76"/>
    </i>
    <i>
      <x v="11"/>
    </i>
    <i r="1">
      <x v="172"/>
    </i>
    <i r="2">
      <x v="329"/>
    </i>
    <i>
      <x v="12"/>
    </i>
    <i r="1">
      <x v="172"/>
    </i>
    <i r="2">
      <x v="326"/>
    </i>
    <i>
      <x v="13"/>
    </i>
    <i r="1">
      <x v="172"/>
    </i>
    <i r="2">
      <x v="328"/>
    </i>
    <i>
      <x v="14"/>
    </i>
    <i r="1">
      <x v="172"/>
    </i>
    <i r="2">
      <x v="327"/>
    </i>
    <i>
      <x v="15"/>
    </i>
    <i r="1">
      <x v="42"/>
    </i>
    <i r="2">
      <x v="241"/>
    </i>
    <i>
      <x v="16"/>
    </i>
    <i r="1">
      <x v="291"/>
    </i>
    <i r="2">
      <x v="92"/>
    </i>
    <i>
      <x v="17"/>
    </i>
    <i r="1">
      <x v="221"/>
    </i>
    <i r="2">
      <x v="151"/>
    </i>
    <i>
      <x v="18"/>
    </i>
    <i r="1">
      <x v="69"/>
    </i>
    <i r="2">
      <x v="14"/>
    </i>
    <i>
      <x v="19"/>
    </i>
    <i r="1">
      <x v="22"/>
    </i>
    <i r="2">
      <x v="32"/>
    </i>
    <i>
      <x v="20"/>
    </i>
    <i r="1">
      <x v="25"/>
    </i>
    <i r="2">
      <x v="322"/>
    </i>
    <i>
      <x v="21"/>
    </i>
    <i r="1">
      <x v="312"/>
    </i>
    <i r="2">
      <x v="343"/>
    </i>
    <i>
      <x v="22"/>
    </i>
    <i r="1">
      <x v="48"/>
    </i>
    <i r="2">
      <x v="102"/>
    </i>
    <i>
      <x v="23"/>
    </i>
    <i r="1">
      <x v="142"/>
    </i>
    <i r="2">
      <x v="71"/>
    </i>
    <i>
      <x v="24"/>
    </i>
    <i r="1">
      <x v="38"/>
    </i>
    <i r="2">
      <x v="138"/>
    </i>
    <i>
      <x v="25"/>
    </i>
    <i r="1">
      <x v="341"/>
    </i>
    <i r="2">
      <x v="368"/>
    </i>
    <i>
      <x v="26"/>
    </i>
    <i r="1">
      <x v="191"/>
    </i>
    <i r="2">
      <x v="378"/>
    </i>
    <i>
      <x v="27"/>
    </i>
    <i r="1">
      <x v="179"/>
    </i>
    <i r="2">
      <x v="120"/>
    </i>
    <i>
      <x v="28"/>
    </i>
    <i r="1">
      <x v="318"/>
    </i>
    <i r="2">
      <x v="169"/>
    </i>
    <i>
      <x v="29"/>
    </i>
    <i r="1">
      <x v="118"/>
    </i>
    <i r="2">
      <x v="38"/>
    </i>
    <i r="2">
      <x v="39"/>
    </i>
    <i>
      <x v="30"/>
    </i>
    <i r="1">
      <x v="17"/>
    </i>
    <i r="2">
      <x v="95"/>
    </i>
    <i>
      <x v="31"/>
    </i>
    <i r="1">
      <x v="120"/>
    </i>
    <i r="2">
      <x v="37"/>
    </i>
    <i>
      <x v="32"/>
    </i>
    <i r="1">
      <x v="39"/>
    </i>
    <i r="2">
      <x v="109"/>
    </i>
    <i>
      <x v="33"/>
    </i>
    <i r="1">
      <x v="370"/>
    </i>
    <i r="2">
      <x v="235"/>
    </i>
    <i>
      <x v="34"/>
    </i>
    <i r="1">
      <x v="286"/>
    </i>
    <i r="2">
      <x v="68"/>
    </i>
    <i>
      <x v="35"/>
    </i>
    <i r="1">
      <x v="342"/>
    </i>
    <i r="2">
      <x v="344"/>
    </i>
    <i r="2">
      <x v="345"/>
    </i>
    <i r="2">
      <x v="346"/>
    </i>
    <i>
      <x v="36"/>
    </i>
    <i r="1">
      <x v="108"/>
    </i>
    <i r="2">
      <x v="176"/>
    </i>
    <i r="2">
      <x v="177"/>
    </i>
    <i>
      <x v="37"/>
    </i>
    <i r="1">
      <x v="363"/>
    </i>
    <i r="2">
      <x v="194"/>
    </i>
    <i>
      <x v="38"/>
    </i>
    <i r="1">
      <x v="374"/>
    </i>
    <i r="2">
      <x v="44"/>
    </i>
    <i>
      <x v="39"/>
    </i>
    <i r="1">
      <x v="292"/>
    </i>
    <i r="2">
      <x v="49"/>
    </i>
    <i>
      <x v="40"/>
    </i>
    <i r="1">
      <x v="106"/>
    </i>
    <i r="2">
      <x v="133"/>
    </i>
    <i>
      <x v="41"/>
    </i>
    <i r="1">
      <x v="19"/>
    </i>
    <i r="2">
      <x v="382"/>
    </i>
    <i>
      <x v="42"/>
    </i>
    <i r="1">
      <x v="229"/>
    </i>
    <i r="2">
      <x v="70"/>
    </i>
    <i>
      <x v="43"/>
    </i>
    <i r="1">
      <x v="151"/>
    </i>
    <i r="2">
      <x v="147"/>
    </i>
    <i>
      <x v="44"/>
    </i>
    <i r="1">
      <x v="206"/>
    </i>
    <i r="2">
      <x v="126"/>
    </i>
    <i>
      <x v="45"/>
    </i>
    <i r="1">
      <x v="79"/>
    </i>
    <i r="2">
      <x v="101"/>
    </i>
    <i>
      <x v="46"/>
    </i>
    <i r="1">
      <x v="227"/>
    </i>
    <i r="2">
      <x v="400"/>
    </i>
    <i>
      <x v="47"/>
    </i>
    <i r="1">
      <x v="261"/>
    </i>
    <i r="2">
      <x v="214"/>
    </i>
    <i>
      <x v="48"/>
    </i>
    <i r="1">
      <x v="299"/>
    </i>
    <i r="2">
      <x v="103"/>
    </i>
    <i>
      <x v="49"/>
    </i>
    <i r="1">
      <x v="83"/>
    </i>
    <i r="2">
      <x v="78"/>
    </i>
    <i>
      <x v="50"/>
    </i>
    <i r="1">
      <x v="199"/>
    </i>
    <i r="2">
      <x v="185"/>
    </i>
    <i>
      <x v="51"/>
    </i>
    <i r="1">
      <x v="275"/>
    </i>
    <i r="2">
      <x v="106"/>
    </i>
    <i>
      <x v="52"/>
    </i>
    <i r="1">
      <x v="146"/>
    </i>
    <i r="2">
      <x v="161"/>
    </i>
    <i>
      <x v="53"/>
    </i>
    <i r="1">
      <x v="171"/>
    </i>
    <i r="2">
      <x v="33"/>
    </i>
    <i>
      <x v="54"/>
    </i>
    <i r="1">
      <x v="262"/>
    </i>
    <i r="2">
      <x v="175"/>
    </i>
    <i>
      <x v="55"/>
    </i>
    <i r="1">
      <x v="109"/>
    </i>
    <i r="2">
      <x v="331"/>
    </i>
    <i>
      <x v="56"/>
    </i>
    <i r="1">
      <x v="92"/>
    </i>
    <i r="2">
      <x v="340"/>
    </i>
    <i>
      <x v="57"/>
    </i>
    <i r="1">
      <x v="274"/>
    </i>
    <i r="2">
      <x v="21"/>
    </i>
    <i>
      <x v="58"/>
    </i>
    <i r="1">
      <x v="347"/>
    </i>
    <i r="2">
      <x v="107"/>
    </i>
    <i>
      <x v="59"/>
    </i>
    <i r="1">
      <x v="295"/>
    </i>
    <i r="2">
      <x v="41"/>
    </i>
    <i>
      <x v="60"/>
    </i>
    <i r="1">
      <x v="237"/>
    </i>
    <i r="2">
      <x v="230"/>
    </i>
    <i>
      <x v="61"/>
    </i>
    <i r="1">
      <x v="110"/>
    </i>
    <i r="2">
      <x v="83"/>
    </i>
    <i>
      <x v="62"/>
    </i>
    <i r="1">
      <x v="57"/>
    </i>
    <i r="2">
      <x v="375"/>
    </i>
    <i>
      <x v="63"/>
    </i>
    <i r="1">
      <x v="45"/>
    </i>
    <i r="2">
      <x v="170"/>
    </i>
    <i>
      <x v="64"/>
    </i>
    <i r="1">
      <x v="322"/>
    </i>
    <i r="2">
      <x v="198"/>
    </i>
    <i>
      <x v="65"/>
    </i>
    <i r="1">
      <x v="169"/>
    </i>
    <i r="2">
      <x v="16"/>
    </i>
    <i>
      <x v="66"/>
    </i>
    <i r="1">
      <x v="316"/>
    </i>
    <i r="2">
      <x v="392"/>
    </i>
    <i>
      <x v="67"/>
    </i>
    <i r="1">
      <x v="197"/>
    </i>
    <i r="2">
      <x v="364"/>
    </i>
    <i>
      <x v="68"/>
    </i>
    <i r="1">
      <x v="32"/>
    </i>
    <i r="2">
      <x v="373"/>
    </i>
    <i>
      <x v="69"/>
    </i>
    <i r="1">
      <x v="188"/>
    </i>
    <i r="2">
      <x v="205"/>
    </i>
    <i>
      <x v="70"/>
    </i>
    <i r="1">
      <x v="282"/>
    </i>
    <i r="2">
      <x v="7"/>
    </i>
    <i>
      <x v="71"/>
    </i>
    <i r="1">
      <x v="184"/>
    </i>
    <i r="2">
      <x v="149"/>
    </i>
    <i>
      <x v="72"/>
    </i>
    <i r="1">
      <x v="72"/>
    </i>
    <i r="2">
      <x v="249"/>
    </i>
    <i>
      <x v="73"/>
    </i>
    <i r="1">
      <x v="71"/>
    </i>
    <i r="2">
      <x v="27"/>
    </i>
    <i>
      <x v="74"/>
    </i>
    <i r="1">
      <x v="207"/>
    </i>
    <i r="2">
      <x v="171"/>
    </i>
    <i>
      <x v="75"/>
    </i>
    <i r="1">
      <x v="52"/>
    </i>
    <i r="2">
      <x v="30"/>
    </i>
    <i>
      <x v="76"/>
    </i>
    <i r="1">
      <x v="205"/>
    </i>
    <i r="2">
      <x v="348"/>
    </i>
    <i>
      <x v="77"/>
    </i>
    <i r="1">
      <x v="100"/>
    </i>
    <i r="2">
      <x v="105"/>
    </i>
    <i>
      <x v="78"/>
    </i>
    <i r="1">
      <x v="265"/>
    </i>
    <i r="2">
      <x v="146"/>
    </i>
    <i>
      <x v="79"/>
    </i>
    <i r="1">
      <x v="121"/>
    </i>
    <i r="2">
      <x v="323"/>
    </i>
    <i>
      <x v="80"/>
    </i>
    <i r="1">
      <x v="46"/>
    </i>
    <i r="2">
      <x v="390"/>
    </i>
    <i>
      <x v="81"/>
    </i>
    <i r="1">
      <x v="77"/>
    </i>
    <i r="2">
      <x v="158"/>
    </i>
    <i>
      <x v="82"/>
    </i>
    <i r="1">
      <x v="160"/>
    </i>
    <i r="2">
      <x v="65"/>
    </i>
    <i>
      <x v="83"/>
    </i>
    <i r="1">
      <x v="123"/>
    </i>
    <i r="2">
      <x v="391"/>
    </i>
    <i>
      <x v="84"/>
    </i>
    <i r="1">
      <x v="14"/>
    </i>
    <i r="2">
      <x v="84"/>
    </i>
    <i>
      <x v="85"/>
    </i>
    <i r="1">
      <x v="73"/>
    </i>
    <i r="2">
      <x v="324"/>
    </i>
    <i>
      <x v="86"/>
    </i>
    <i r="1">
      <x v="195"/>
    </i>
    <i r="2">
      <x v="163"/>
    </i>
    <i>
      <x v="87"/>
    </i>
    <i r="1">
      <x v="192"/>
    </i>
    <i r="2">
      <x v="245"/>
    </i>
    <i>
      <x v="88"/>
    </i>
    <i r="1">
      <x v="247"/>
    </i>
    <i r="2">
      <x v="397"/>
    </i>
    <i>
      <x v="89"/>
    </i>
    <i r="1">
      <x v="283"/>
    </i>
    <i r="2">
      <x v="130"/>
    </i>
    <i>
      <x v="90"/>
    </i>
    <i r="1">
      <x v="154"/>
    </i>
    <i r="2">
      <x v="336"/>
    </i>
    <i>
      <x v="91"/>
    </i>
    <i r="1">
      <x v="85"/>
    </i>
    <i r="2">
      <x v="81"/>
    </i>
    <i>
      <x v="92"/>
    </i>
    <i r="1">
      <x v="234"/>
    </i>
    <i r="2">
      <x v="203"/>
    </i>
    <i>
      <x v="93"/>
    </i>
    <i r="1">
      <x v="268"/>
    </i>
    <i r="2">
      <x v="213"/>
    </i>
    <i>
      <x v="94"/>
    </i>
    <i r="1">
      <x v="102"/>
    </i>
    <i r="2">
      <x v="181"/>
    </i>
    <i>
      <x v="95"/>
    </i>
    <i r="1">
      <x v="198"/>
    </i>
    <i r="2">
      <x v="62"/>
    </i>
    <i>
      <x v="96"/>
    </i>
    <i r="1">
      <x v="18"/>
    </i>
    <i r="2">
      <x v="42"/>
    </i>
    <i>
      <x v="97"/>
    </i>
    <i r="1">
      <x v="182"/>
    </i>
    <i r="2">
      <x v="240"/>
    </i>
    <i>
      <x v="98"/>
    </i>
    <i r="1">
      <x v="163"/>
    </i>
    <i r="2">
      <x v="24"/>
    </i>
    <i>
      <x v="99"/>
    </i>
    <i r="1">
      <x v="49"/>
    </i>
    <i r="2">
      <x v="231"/>
    </i>
    <i>
      <x v="100"/>
    </i>
    <i r="1">
      <x v="225"/>
    </i>
    <i r="2">
      <x v="337"/>
    </i>
    <i>
      <x v="101"/>
    </i>
    <i r="1">
      <x v="269"/>
    </i>
    <i r="2">
      <x v="380"/>
    </i>
    <i>
      <x v="102"/>
    </i>
    <i r="1">
      <x v="209"/>
    </i>
    <i r="2">
      <x v="236"/>
    </i>
    <i>
      <x v="103"/>
    </i>
    <i r="1">
      <x v="337"/>
    </i>
    <i r="2">
      <x v="352"/>
    </i>
    <i>
      <x v="104"/>
    </i>
    <i r="1">
      <x v="337"/>
    </i>
    <i r="2">
      <x v="351"/>
    </i>
    <i>
      <x v="105"/>
    </i>
    <i r="1">
      <x v="126"/>
    </i>
    <i r="2">
      <x v="54"/>
    </i>
    <i>
      <x v="106"/>
    </i>
    <i r="1">
      <x v="345"/>
    </i>
    <i r="2">
      <x v="332"/>
    </i>
    <i>
      <x v="107"/>
    </i>
    <i r="1">
      <x v="345"/>
    </i>
    <i r="2">
      <x v="332"/>
    </i>
    <i>
      <x v="108"/>
    </i>
    <i r="1">
      <x v="246"/>
    </i>
    <i r="2">
      <x v="386"/>
    </i>
    <i>
      <x v="109"/>
    </i>
    <i r="1">
      <x v="235"/>
    </i>
    <i r="2">
      <x v="125"/>
    </i>
    <i>
      <x v="110"/>
    </i>
    <i r="1">
      <x v="37"/>
    </i>
    <i r="2">
      <x v="379"/>
    </i>
    <i>
      <x v="111"/>
    </i>
    <i r="1">
      <x v="321"/>
    </i>
    <i r="2">
      <x v="153"/>
    </i>
    <i>
      <x v="112"/>
    </i>
    <i r="1">
      <x v="360"/>
    </i>
    <i r="2">
      <x v="79"/>
    </i>
    <i>
      <x v="113"/>
    </i>
    <i r="1">
      <x v="80"/>
    </i>
    <i r="2">
      <x v="222"/>
    </i>
    <i>
      <x v="114"/>
    </i>
    <i r="1">
      <x v="228"/>
    </i>
    <i r="2">
      <x v="145"/>
    </i>
    <i>
      <x v="115"/>
    </i>
    <i r="1">
      <x v="302"/>
    </i>
    <i r="2">
      <x v="118"/>
    </i>
    <i>
      <x v="116"/>
    </i>
    <i r="1">
      <x v="129"/>
    </i>
    <i r="2">
      <x v="182"/>
    </i>
    <i>
      <x v="117"/>
    </i>
    <i r="1">
      <x v="101"/>
    </i>
    <i r="2">
      <x v="165"/>
    </i>
    <i>
      <x v="118"/>
    </i>
    <i r="1">
      <x v="86"/>
    </i>
    <i r="2">
      <x v="11"/>
    </i>
    <i>
      <x v="119"/>
    </i>
    <i r="1">
      <x v="270"/>
    </i>
    <i r="2">
      <x v="113"/>
    </i>
    <i>
      <x v="120"/>
    </i>
    <i r="1">
      <x v="180"/>
    </i>
    <i r="2">
      <x v="142"/>
    </i>
    <i>
      <x v="121"/>
    </i>
    <i r="1">
      <x v="170"/>
    </i>
    <i r="2">
      <x v="367"/>
    </i>
    <i>
      <x v="122"/>
    </i>
    <i r="1">
      <x v="43"/>
    </i>
    <i r="2">
      <x v="34"/>
    </i>
    <i r="2">
      <x v="35"/>
    </i>
    <i r="2">
      <x v="36"/>
    </i>
    <i>
      <x v="123"/>
    </i>
    <i r="1">
      <x v="16"/>
    </i>
    <i r="2">
      <x v="359"/>
    </i>
    <i>
      <x v="124"/>
    </i>
    <i r="1">
      <x v="12"/>
    </i>
    <i r="2">
      <x v="77"/>
    </i>
    <i>
      <x v="125"/>
    </i>
    <i r="1">
      <x v="145"/>
    </i>
    <i r="2">
      <x v="99"/>
    </i>
    <i>
      <x v="126"/>
    </i>
    <i r="1">
      <x v="257"/>
    </i>
    <i r="2">
      <x v="269"/>
    </i>
    <i>
      <x v="127"/>
    </i>
    <i r="1">
      <x v="26"/>
    </i>
    <i r="2">
      <x v="64"/>
    </i>
    <i>
      <x v="128"/>
    </i>
    <i r="1">
      <x v="137"/>
    </i>
    <i r="2">
      <x v="131"/>
    </i>
    <i r="2">
      <x v="132"/>
    </i>
    <i>
      <x v="129"/>
    </i>
    <i r="1">
      <x v="217"/>
    </i>
    <i r="2">
      <x v="335"/>
    </i>
    <i>
      <x v="130"/>
    </i>
    <i r="1">
      <x v="359"/>
    </i>
    <i r="2">
      <x v="206"/>
    </i>
    <i>
      <x v="131"/>
    </i>
    <i r="1">
      <x v="21"/>
    </i>
    <i r="2">
      <x v="124"/>
    </i>
    <i>
      <x v="132"/>
    </i>
    <i r="1">
      <x v="158"/>
    </i>
    <i r="2">
      <x v="12"/>
    </i>
    <i>
      <x v="133"/>
    </i>
    <i r="1">
      <x v="281"/>
    </i>
    <i r="2">
      <x v="393"/>
    </i>
    <i>
      <x v="134"/>
    </i>
    <i r="1">
      <x v="243"/>
    </i>
    <i r="2">
      <x v="244"/>
    </i>
    <i>
      <x v="135"/>
    </i>
    <i r="1">
      <x v="23"/>
    </i>
    <i r="2">
      <x v="374"/>
    </i>
    <i>
      <x v="136"/>
    </i>
    <i r="1">
      <x v="185"/>
    </i>
    <i r="2">
      <x v="239"/>
    </i>
    <i>
      <x v="137"/>
    </i>
    <i r="1">
      <x v="284"/>
    </i>
    <i r="2">
      <x v="384"/>
    </i>
    <i>
      <x v="138"/>
    </i>
    <i r="1">
      <x v="147"/>
    </i>
    <i r="2">
      <x v="385"/>
    </i>
    <i>
      <x v="139"/>
    </i>
    <i r="1">
      <x v="104"/>
    </i>
    <i r="2">
      <x v="166"/>
    </i>
    <i>
      <x v="140"/>
    </i>
    <i r="1">
      <x v="373"/>
    </i>
    <i r="2">
      <x v="220"/>
    </i>
    <i>
      <x v="141"/>
    </i>
    <i r="1">
      <x v="148"/>
    </i>
    <i r="2">
      <x v="237"/>
    </i>
    <i>
      <x v="142"/>
    </i>
    <i r="1">
      <x v="173"/>
    </i>
    <i r="2">
      <x v="19"/>
    </i>
    <i>
      <x v="143"/>
    </i>
    <i r="1">
      <x v="78"/>
    </i>
    <i r="2">
      <x v="300"/>
    </i>
    <i>
      <x v="144"/>
    </i>
    <i r="1">
      <x v="186"/>
    </i>
    <i r="2">
      <x v="13"/>
    </i>
    <i>
      <x v="145"/>
    </i>
    <i r="1">
      <x v="222"/>
    </i>
    <i r="2">
      <x v="355"/>
    </i>
    <i>
      <x v="146"/>
    </i>
    <i r="1">
      <x v="215"/>
    </i>
    <i r="2">
      <x v="274"/>
    </i>
    <i>
      <x v="147"/>
    </i>
    <i r="1">
      <x v="242"/>
    </i>
    <i r="2">
      <x v="288"/>
    </i>
    <i>
      <x v="148"/>
    </i>
    <i r="1">
      <x v="134"/>
    </i>
    <i r="2">
      <x v="162"/>
    </i>
    <i>
      <x v="149"/>
    </i>
    <i r="1">
      <x v="9"/>
    </i>
    <i r="2">
      <x v="211"/>
    </i>
    <i>
      <x v="150"/>
    </i>
    <i r="1">
      <x v="59"/>
    </i>
    <i r="2">
      <x v="263"/>
    </i>
    <i>
      <x v="151"/>
    </i>
    <i r="1">
      <x v="258"/>
    </i>
    <i r="2">
      <x v="395"/>
    </i>
    <i>
      <x v="152"/>
    </i>
    <i r="1">
      <x v="259"/>
    </i>
    <i r="2">
      <x v="396"/>
    </i>
    <i>
      <x v="153"/>
    </i>
    <i r="1">
      <x v="357"/>
    </i>
    <i r="2">
      <x v="212"/>
    </i>
    <i>
      <x v="154"/>
    </i>
    <i r="1">
      <x v="273"/>
    </i>
    <i r="2">
      <x v="135"/>
    </i>
    <i>
      <x v="155"/>
    </i>
    <i r="1">
      <x v="152"/>
    </i>
    <i r="2">
      <x v="356"/>
    </i>
    <i>
      <x v="156"/>
    </i>
    <i r="1">
      <x v="200"/>
    </i>
    <i r="2">
      <x v="66"/>
    </i>
    <i>
      <x v="157"/>
    </i>
    <i r="1">
      <x/>
    </i>
    <i r="2">
      <x v="186"/>
    </i>
    <i r="2">
      <x v="187"/>
    </i>
    <i r="2">
      <x v="188"/>
    </i>
    <i r="2">
      <x v="189"/>
    </i>
    <i r="2">
      <x v="190"/>
    </i>
    <i r="1">
      <x v="54"/>
    </i>
    <i r="2">
      <x v="192"/>
    </i>
    <i r="1">
      <x v="55"/>
    </i>
    <i r="2">
      <x v="191"/>
    </i>
    <i>
      <x v="158"/>
    </i>
    <i r="1">
      <x v="140"/>
    </i>
    <i r="2">
      <x v="82"/>
    </i>
    <i>
      <x v="159"/>
    </i>
    <i r="1">
      <x v="34"/>
    </i>
    <i r="2">
      <x v="47"/>
    </i>
    <i>
      <x v="160"/>
    </i>
    <i r="1">
      <x v="34"/>
    </i>
    <i r="2">
      <x v="46"/>
    </i>
    <i>
      <x v="161"/>
    </i>
    <i r="1">
      <x v="202"/>
    </i>
    <i r="2">
      <x v="252"/>
    </i>
    <i>
      <x v="162"/>
    </i>
    <i r="1">
      <x v="65"/>
    </i>
    <i r="2">
      <x v="272"/>
    </i>
    <i>
      <x v="163"/>
    </i>
    <i r="1">
      <x v="233"/>
    </i>
    <i r="2">
      <x v="259"/>
    </i>
    <i>
      <x v="164"/>
    </i>
    <i r="1">
      <x v="112"/>
    </i>
    <i r="2">
      <x v="218"/>
    </i>
    <i r="2">
      <x v="219"/>
    </i>
    <i>
      <x v="165"/>
    </i>
    <i r="1">
      <x v="248"/>
    </i>
    <i r="2">
      <x v="293"/>
    </i>
    <i>
      <x v="166"/>
    </i>
    <i r="1">
      <x v="10"/>
    </i>
    <i r="2">
      <x v="398"/>
    </i>
    <i>
      <x v="167"/>
    </i>
    <i r="1">
      <x v="24"/>
    </i>
    <i r="2">
      <x v="25"/>
    </i>
    <i>
      <x v="168"/>
    </i>
    <i r="1">
      <x v="3"/>
    </i>
    <i r="2">
      <x v="174"/>
    </i>
    <i>
      <x v="169"/>
    </i>
    <i r="1">
      <x v="288"/>
    </i>
    <i r="2">
      <x v="148"/>
    </i>
    <i>
      <x v="170"/>
    </i>
    <i r="1">
      <x v="201"/>
    </i>
    <i r="2">
      <x v="23"/>
    </i>
    <i>
      <x v="171"/>
    </i>
    <i r="1">
      <x v="91"/>
    </i>
    <i r="2">
      <x v="256"/>
    </i>
    <i>
      <x v="172"/>
    </i>
    <i r="1">
      <x v="74"/>
    </i>
    <i r="2">
      <x v="61"/>
    </i>
    <i>
      <x v="173"/>
    </i>
    <i r="1">
      <x v="204"/>
    </i>
    <i r="2">
      <x v="270"/>
    </i>
    <i>
      <x v="174"/>
    </i>
    <i r="1">
      <x v="130"/>
    </i>
    <i r="2">
      <x v="110"/>
    </i>
    <i r="2">
      <x v="111"/>
    </i>
    <i>
      <x v="175"/>
    </i>
    <i r="1">
      <x v="47"/>
    </i>
    <i r="2">
      <x v="164"/>
    </i>
    <i>
      <x v="176"/>
    </i>
    <i r="1">
      <x v="29"/>
    </i>
    <i r="2">
      <x/>
    </i>
    <i>
      <x v="177"/>
    </i>
    <i r="1">
      <x v="87"/>
    </i>
    <i r="2">
      <x v="156"/>
    </i>
    <i>
      <x v="178"/>
    </i>
    <i r="1">
      <x v="330"/>
    </i>
    <i r="2">
      <x v="201"/>
    </i>
    <i>
      <x v="179"/>
    </i>
    <i r="1">
      <x v="113"/>
    </i>
    <i r="2">
      <x v="8"/>
    </i>
    <i>
      <x v="180"/>
    </i>
    <i r="1">
      <x v="70"/>
    </i>
    <i r="2">
      <x v="228"/>
    </i>
    <i>
      <x v="181"/>
    </i>
    <i r="1">
      <x v="326"/>
    </i>
    <i r="2">
      <x v="280"/>
    </i>
    <i>
      <x v="182"/>
    </i>
    <i r="1">
      <x v="50"/>
    </i>
    <i r="2">
      <x v="227"/>
    </i>
    <i>
      <x v="183"/>
    </i>
    <i r="1">
      <x v="263"/>
    </i>
    <i r="2">
      <x v="301"/>
    </i>
    <i>
      <x v="184"/>
    </i>
    <i r="1">
      <x v="301"/>
    </i>
    <i r="2">
      <x v="137"/>
    </i>
    <i>
      <x v="185"/>
    </i>
    <i r="1">
      <x v="364"/>
    </i>
    <i r="2">
      <x v="295"/>
    </i>
    <i>
      <x v="186"/>
    </i>
    <i r="1">
      <x v="117"/>
    </i>
    <i r="2">
      <x v="157"/>
    </i>
    <i>
      <x v="187"/>
    </i>
    <i r="1">
      <x v="249"/>
    </i>
    <i r="2">
      <x v="119"/>
    </i>
    <i>
      <x v="188"/>
    </i>
    <i r="1">
      <x v="68"/>
    </i>
    <i r="2">
      <x v="210"/>
    </i>
    <i>
      <x v="189"/>
    </i>
    <i r="1">
      <x v="28"/>
    </i>
    <i r="2">
      <x v="377"/>
    </i>
    <i>
      <x v="190"/>
    </i>
    <i r="1">
      <x v="114"/>
    </i>
    <i r="2">
      <x v="260"/>
    </i>
    <i r="2">
      <x v="261"/>
    </i>
    <i>
      <x v="191"/>
    </i>
    <i r="1">
      <x v="218"/>
    </i>
    <i r="2">
      <x v="167"/>
    </i>
    <i>
      <x v="192"/>
    </i>
    <i r="1">
      <x v="135"/>
    </i>
    <i r="2">
      <x v="349"/>
    </i>
    <i>
      <x v="193"/>
    </i>
    <i r="1">
      <x v="319"/>
    </i>
    <i r="2">
      <x v="29"/>
    </i>
    <i>
      <x v="194"/>
    </i>
    <i r="1">
      <x v="66"/>
    </i>
    <i r="2">
      <x v="89"/>
    </i>
    <i>
      <x v="195"/>
    </i>
    <i r="1">
      <x v="58"/>
    </i>
    <i r="2">
      <x v="339"/>
    </i>
    <i>
      <x v="196"/>
    </i>
    <i r="1">
      <x v="35"/>
    </i>
    <i r="2">
      <x v="3"/>
    </i>
    <i r="2">
      <x v="4"/>
    </i>
    <i r="2">
      <x v="5"/>
    </i>
    <i>
      <x v="197"/>
    </i>
    <i r="1">
      <x v="308"/>
    </i>
    <i r="2">
      <x v="281"/>
    </i>
    <i>
      <x v="198"/>
    </i>
    <i r="1">
      <x v="208"/>
    </i>
    <i r="2">
      <x v="184"/>
    </i>
    <i>
      <x v="199"/>
    </i>
    <i r="1">
      <x v="143"/>
    </i>
    <i r="2">
      <x v="297"/>
    </i>
    <i>
      <x v="200"/>
    </i>
    <i r="1">
      <x v="253"/>
    </i>
    <i r="2">
      <x v="15"/>
    </i>
    <i>
      <x v="201"/>
    </i>
    <i r="1">
      <x v="361"/>
    </i>
    <i r="2">
      <x v="195"/>
    </i>
    <i r="2">
      <x v="196"/>
    </i>
    <i>
      <x v="202"/>
    </i>
    <i r="1">
      <x v="214"/>
    </i>
    <i r="2">
      <x v="246"/>
    </i>
    <i>
      <x v="203"/>
    </i>
    <i r="1">
      <x v="107"/>
    </i>
    <i r="2">
      <x v="140"/>
    </i>
    <i r="2">
      <x v="141"/>
    </i>
    <i>
      <x v="204"/>
    </i>
    <i r="1">
      <x v="223"/>
    </i>
    <i r="2">
      <x v="271"/>
    </i>
    <i>
      <x v="205"/>
    </i>
    <i r="1">
      <x v="348"/>
    </i>
    <i r="2">
      <x v="56"/>
    </i>
    <i>
      <x v="206"/>
    </i>
    <i r="1">
      <x v="256"/>
    </i>
    <i r="2">
      <x v="290"/>
    </i>
    <i>
      <x v="207"/>
    </i>
    <i r="1">
      <x v="250"/>
    </i>
    <i r="2">
      <x v="361"/>
    </i>
    <i r="2">
      <x v="362"/>
    </i>
    <i>
      <x v="208"/>
    </i>
    <i r="1">
      <x v="166"/>
    </i>
    <i r="2">
      <x v="383"/>
    </i>
    <i>
      <x v="209"/>
    </i>
    <i r="1">
      <x v="278"/>
    </i>
    <i r="2">
      <x v="178"/>
    </i>
    <i>
      <x v="210"/>
    </i>
    <i r="1">
      <x v="6"/>
    </i>
    <i r="2">
      <x v="86"/>
    </i>
    <i>
      <x v="211"/>
    </i>
    <i r="1">
      <x v="6"/>
    </i>
    <i r="2">
      <x v="87"/>
    </i>
    <i>
      <x v="212"/>
    </i>
    <i r="1">
      <x v="6"/>
    </i>
    <i r="2">
      <x v="88"/>
    </i>
    <i>
      <x v="213"/>
    </i>
    <i r="1">
      <x v="30"/>
    </i>
    <i r="2">
      <x v="369"/>
    </i>
    <i>
      <x v="214"/>
    </i>
    <i r="1">
      <x v="294"/>
    </i>
    <i r="2">
      <x v="229"/>
    </i>
    <i>
      <x v="215"/>
    </i>
    <i r="1">
      <x v="251"/>
    </i>
    <i r="2">
      <x v="264"/>
    </i>
    <i>
      <x v="216"/>
    </i>
    <i r="1">
      <x v="4"/>
    </i>
    <i r="2">
      <x v="247"/>
    </i>
    <i>
      <x v="217"/>
    </i>
    <i r="1">
      <x v="267"/>
    </i>
    <i r="2">
      <x v="258"/>
    </i>
    <i>
      <x v="218"/>
    </i>
    <i r="1">
      <x v="315"/>
    </i>
    <i r="2">
      <x v="55"/>
    </i>
    <i>
      <x v="219"/>
    </i>
    <i r="1">
      <x v="63"/>
    </i>
    <i r="2">
      <x v="6"/>
    </i>
    <i>
      <x v="220"/>
    </i>
    <i r="1">
      <x v="193"/>
    </i>
    <i r="2">
      <x v="90"/>
    </i>
    <i>
      <x v="221"/>
    </i>
    <i r="1">
      <x v="193"/>
    </i>
    <i r="2">
      <x v="91"/>
    </i>
    <i>
      <x v="222"/>
    </i>
    <i r="1">
      <x v="76"/>
    </i>
    <i r="2">
      <x v="72"/>
    </i>
    <i>
      <x v="223"/>
    </i>
    <i r="1">
      <x v="15"/>
    </i>
    <i r="2">
      <x v="121"/>
    </i>
    <i>
      <x v="224"/>
    </i>
    <i r="1">
      <x v="254"/>
    </i>
    <i r="2">
      <x v="387"/>
    </i>
    <i>
      <x v="225"/>
    </i>
    <i r="1">
      <x v="5"/>
    </i>
    <i r="2">
      <x v="108"/>
    </i>
    <i>
      <x v="226"/>
    </i>
    <i r="1">
      <x v="98"/>
    </i>
    <i r="2">
      <x v="292"/>
    </i>
    <i>
      <x v="227"/>
    </i>
    <i r="1">
      <x v="168"/>
    </i>
    <i r="2">
      <x v="342"/>
    </i>
    <i>
      <x v="228"/>
    </i>
    <i r="1">
      <x v="13"/>
    </i>
    <i r="2">
      <x v="51"/>
    </i>
    <i>
      <x v="229"/>
    </i>
    <i r="1">
      <x v="313"/>
    </i>
    <i r="2">
      <x v="172"/>
    </i>
    <i>
      <x v="230"/>
    </i>
    <i r="1">
      <x v="41"/>
    </i>
    <i r="2">
      <x v="394"/>
    </i>
    <i>
      <x v="231"/>
    </i>
    <i r="1">
      <x v="196"/>
    </i>
    <i r="2">
      <x v="360"/>
    </i>
    <i>
      <x v="232"/>
    </i>
    <i r="1">
      <x v="375"/>
    </i>
    <i r="2">
      <x v="284"/>
    </i>
    <i>
      <x v="233"/>
    </i>
    <i r="1">
      <x v="297"/>
    </i>
    <i r="2">
      <x v="255"/>
    </i>
    <i>
      <x v="234"/>
    </i>
    <i r="1">
      <x v="311"/>
    </i>
    <i r="2">
      <x v="85"/>
    </i>
    <i>
      <x v="235"/>
    </i>
    <i r="1">
      <x v="354"/>
    </i>
    <i r="2">
      <x v="347"/>
    </i>
    <i>
      <x v="236"/>
    </i>
    <i r="1">
      <x v="187"/>
    </i>
    <i r="2">
      <x v="204"/>
    </i>
    <i>
      <x v="237"/>
    </i>
    <i r="1">
      <x v="224"/>
    </i>
    <i r="2">
      <x v="127"/>
    </i>
    <i>
      <x v="238"/>
    </i>
    <i r="1">
      <x v="280"/>
    </i>
    <i r="2">
      <x v="168"/>
    </i>
    <i>
      <x v="239"/>
    </i>
    <i r="1">
      <x v="245"/>
    </i>
    <i r="2">
      <x v="273"/>
    </i>
    <i>
      <x v="240"/>
    </i>
    <i r="1">
      <x v="93"/>
    </i>
    <i r="2">
      <x v="265"/>
    </i>
    <i>
      <x v="241"/>
    </i>
    <i r="1">
      <x v="300"/>
    </i>
    <i r="2">
      <x v="143"/>
    </i>
    <i>
      <x v="242"/>
    </i>
    <i r="1">
      <x v="371"/>
    </i>
    <i r="2">
      <x v="309"/>
    </i>
    <i>
      <x v="243"/>
    </i>
    <i r="1">
      <x v="260"/>
    </i>
    <i r="2">
      <x v="350"/>
    </i>
    <i>
      <x v="244"/>
    </i>
    <i r="1">
      <x v="89"/>
    </i>
    <i r="2">
      <x v="116"/>
    </i>
    <i>
      <x v="245"/>
    </i>
    <i r="1">
      <x v="64"/>
    </i>
    <i r="2">
      <x v="294"/>
    </i>
    <i>
      <x v="246"/>
    </i>
    <i r="1">
      <x v="213"/>
    </i>
    <i r="2">
      <x v="20"/>
    </i>
    <i>
      <x v="247"/>
    </i>
    <i r="1">
      <x v="252"/>
    </i>
    <i r="2">
      <x v="179"/>
    </i>
    <i>
      <x v="248"/>
    </i>
    <i r="1">
      <x v="203"/>
    </i>
    <i r="2">
      <x v="262"/>
    </i>
    <i>
      <x v="249"/>
    </i>
    <i r="1">
      <x v="296"/>
    </i>
    <i r="2">
      <x v="250"/>
    </i>
    <i>
      <x v="250"/>
    </i>
    <i r="1">
      <x v="125"/>
    </i>
    <i r="2">
      <x v="193"/>
    </i>
    <i>
      <x v="251"/>
    </i>
    <i r="1">
      <x v="226"/>
    </i>
    <i r="2">
      <x v="298"/>
    </i>
    <i>
      <x v="252"/>
    </i>
    <i r="1">
      <x v="331"/>
    </i>
    <i r="2">
      <x v="17"/>
    </i>
    <i>
      <x v="253"/>
    </i>
    <i r="1">
      <x v="2"/>
    </i>
    <i r="2">
      <x v="209"/>
    </i>
    <i>
      <x v="254"/>
    </i>
    <i r="1">
      <x v="94"/>
    </i>
    <i r="2">
      <x v="123"/>
    </i>
    <i>
      <x v="255"/>
    </i>
    <i r="1">
      <x v="88"/>
    </i>
    <i r="2">
      <x v="53"/>
    </i>
    <i>
      <x v="256"/>
    </i>
    <i r="1">
      <x v="353"/>
    </i>
    <i r="2">
      <x v="370"/>
    </i>
    <i>
      <x v="257"/>
    </i>
    <i r="1">
      <x v="353"/>
    </i>
    <i r="2">
      <x v="370"/>
    </i>
    <i>
      <x v="258"/>
    </i>
    <i r="1">
      <x v="353"/>
    </i>
    <i r="2">
      <x v="371"/>
    </i>
    <i>
      <x v="259"/>
    </i>
    <i r="1">
      <x v="353"/>
    </i>
    <i r="2">
      <x v="372"/>
    </i>
    <i>
      <x v="260"/>
    </i>
    <i r="1">
      <x v="236"/>
    </i>
    <i r="2">
      <x v="286"/>
    </i>
    <i>
      <x v="261"/>
    </i>
    <i r="1">
      <x v="328"/>
    </i>
    <i r="2">
      <x v="304"/>
    </i>
    <i>
      <x v="262"/>
    </i>
    <i r="1">
      <x v="136"/>
    </i>
    <i r="2">
      <x v="28"/>
    </i>
    <i>
      <x v="263"/>
    </i>
    <i r="1">
      <x v="189"/>
    </i>
    <i r="2">
      <x v="276"/>
    </i>
    <i>
      <x v="264"/>
    </i>
    <i r="1">
      <x v="366"/>
    </i>
    <i r="2">
      <x v="112"/>
    </i>
    <i>
      <x v="265"/>
    </i>
    <i r="1">
      <x v="105"/>
    </i>
    <i r="2">
      <x v="199"/>
    </i>
    <i>
      <x v="266"/>
    </i>
    <i r="1">
      <x v="60"/>
    </i>
    <i r="2">
      <x v="22"/>
    </i>
    <i>
      <x v="267"/>
    </i>
    <i r="1">
      <x v="340"/>
    </i>
    <i r="2">
      <x v="50"/>
    </i>
    <i>
      <x v="268"/>
    </i>
    <i r="1">
      <x v="309"/>
    </i>
    <i r="2">
      <x v="307"/>
    </i>
    <i>
      <x v="269"/>
    </i>
    <i r="1">
      <x v="346"/>
    </i>
    <i r="2">
      <x v="2"/>
    </i>
    <i>
      <x v="270"/>
    </i>
    <i r="1">
      <x v="8"/>
    </i>
    <i r="2">
      <x v="115"/>
    </i>
    <i>
      <x v="271"/>
    </i>
    <i r="1">
      <x v="210"/>
    </i>
    <i r="2">
      <x v="45"/>
    </i>
    <i>
      <x v="272"/>
    </i>
    <i r="1">
      <x v="161"/>
    </i>
    <i r="2">
      <x v="134"/>
    </i>
    <i>
      <x v="273"/>
    </i>
    <i r="1">
      <x v="279"/>
    </i>
    <i r="2">
      <x v="215"/>
    </i>
    <i>
      <x v="274"/>
    </i>
    <i r="1">
      <x v="365"/>
    </i>
    <i r="2">
      <x v="267"/>
    </i>
    <i>
      <x v="275"/>
    </i>
    <i r="1">
      <x v="367"/>
    </i>
    <i r="2">
      <x v="159"/>
    </i>
    <i>
      <x v="276"/>
    </i>
    <i r="1">
      <x v="287"/>
    </i>
    <i r="2">
      <x v="238"/>
    </i>
    <i>
      <x v="277"/>
    </i>
    <i r="1">
      <x v="149"/>
    </i>
    <i r="2">
      <x v="338"/>
    </i>
    <i>
      <x v="278"/>
    </i>
    <i r="1">
      <x v="343"/>
    </i>
    <i r="2">
      <x v="366"/>
    </i>
    <i>
      <x v="279"/>
    </i>
    <i r="1">
      <x v="133"/>
    </i>
    <i r="2">
      <x v="225"/>
    </i>
    <i>
      <x v="280"/>
    </i>
    <i r="1">
      <x v="127"/>
    </i>
    <i r="2">
      <x v="200"/>
    </i>
    <i>
      <x v="281"/>
    </i>
    <i r="1">
      <x v="241"/>
    </i>
    <i r="2">
      <x v="233"/>
    </i>
    <i>
      <x v="282"/>
    </i>
    <i r="1">
      <x v="306"/>
    </i>
    <i r="2">
      <x v="74"/>
    </i>
    <i>
      <x v="283"/>
    </i>
    <i r="1">
      <x v="128"/>
    </i>
    <i r="2">
      <x v="232"/>
    </i>
    <i>
      <x v="284"/>
    </i>
    <i r="1">
      <x v="165"/>
    </i>
    <i r="2">
      <x v="217"/>
    </i>
    <i>
      <x v="285"/>
    </i>
    <i r="1">
      <x v="176"/>
    </i>
    <i r="2">
      <x v="312"/>
    </i>
    <i>
      <x v="286"/>
    </i>
    <i r="1">
      <x v="212"/>
    </i>
    <i r="2">
      <x v="160"/>
    </i>
    <i>
      <x v="287"/>
    </i>
    <i r="1">
      <x v="336"/>
    </i>
    <i r="2">
      <x v="287"/>
    </i>
    <i>
      <x v="288"/>
    </i>
    <i r="1">
      <x v="56"/>
    </i>
    <i r="2">
      <x v="299"/>
    </i>
    <i>
      <x v="289"/>
    </i>
    <i r="1">
      <x v="339"/>
    </i>
    <i r="2">
      <x v="334"/>
    </i>
    <i>
      <x v="290"/>
    </i>
    <i r="1">
      <x v="310"/>
    </i>
    <i r="2">
      <x v="318"/>
    </i>
    <i>
      <x v="291"/>
    </i>
    <i r="1">
      <x v="183"/>
    </i>
    <i r="2">
      <x v="306"/>
    </i>
    <i>
      <x v="292"/>
    </i>
    <i r="1">
      <x v="272"/>
    </i>
    <i r="2">
      <x v="365"/>
    </i>
    <i>
      <x v="293"/>
    </i>
    <i r="1">
      <x v="144"/>
    </i>
    <i r="2">
      <x v="221"/>
    </i>
    <i>
      <x v="294"/>
    </i>
    <i r="1">
      <x v="61"/>
    </i>
    <i r="2">
      <x v="52"/>
    </i>
    <i>
      <x v="295"/>
    </i>
    <i r="1">
      <x v="211"/>
    </i>
    <i r="2">
      <x v="114"/>
    </i>
    <i>
      <x v="296"/>
    </i>
    <i r="1">
      <x v="178"/>
    </i>
    <i r="2">
      <x v="94"/>
    </i>
    <i>
      <x v="297"/>
    </i>
    <i r="1">
      <x v="334"/>
    </i>
    <i r="2">
      <x v="401"/>
    </i>
    <i>
      <x v="298"/>
    </i>
    <i r="1">
      <x v="239"/>
    </i>
    <i r="2">
      <x v="173"/>
    </i>
    <i>
      <x v="299"/>
    </i>
    <i r="1">
      <x v="290"/>
    </i>
    <i r="2">
      <x v="150"/>
    </i>
    <i>
      <x v="300"/>
    </i>
    <i r="1">
      <x v="324"/>
    </i>
    <i r="2">
      <x v="282"/>
    </i>
    <i>
      <x v="301"/>
    </i>
    <i r="1">
      <x v="369"/>
    </i>
    <i r="2">
      <x v="248"/>
    </i>
    <i>
      <x v="302"/>
    </i>
    <i r="1">
      <x v="153"/>
    </i>
    <i r="2">
      <x v="363"/>
    </i>
    <i>
      <x v="303"/>
    </i>
    <i r="1">
      <x v="332"/>
    </i>
    <i r="2">
      <x v="152"/>
    </i>
    <i>
      <x v="304"/>
    </i>
    <i r="1">
      <x v="167"/>
    </i>
    <i r="2">
      <x v="1"/>
    </i>
    <i>
      <x v="305"/>
    </i>
    <i r="1">
      <x v="320"/>
    </i>
    <i r="2">
      <x v="315"/>
    </i>
    <i>
      <x v="306"/>
    </i>
    <i r="1">
      <x v="40"/>
    </i>
    <i r="2">
      <x v="63"/>
    </i>
    <i>
      <x v="307"/>
    </i>
    <i r="1">
      <x v="175"/>
    </i>
    <i r="2">
      <x v="216"/>
    </i>
    <i>
      <x v="308"/>
    </i>
    <i r="1">
      <x v="159"/>
    </i>
    <i r="2">
      <x v="333"/>
    </i>
    <i>
      <x v="309"/>
    </i>
    <i r="1">
      <x v="81"/>
    </i>
    <i r="2">
      <x v="234"/>
    </i>
    <i>
      <x v="310"/>
    </i>
    <i r="1">
      <x v="344"/>
    </i>
    <i r="2">
      <x v="399"/>
    </i>
    <i>
      <x v="311"/>
    </i>
    <i r="1">
      <x v="177"/>
    </i>
    <i r="2">
      <x v="296"/>
    </i>
    <i>
      <x v="312"/>
    </i>
    <i r="1">
      <x v="232"/>
    </i>
    <i r="2">
      <x v="202"/>
    </i>
    <i>
      <x v="313"/>
    </i>
    <i r="1">
      <x v="162"/>
    </i>
    <i r="2">
      <x v="277"/>
    </i>
    <i>
      <x v="314"/>
    </i>
    <i r="1">
      <x v="164"/>
    </i>
    <i r="2">
      <x v="325"/>
    </i>
    <i>
      <x v="315"/>
    </i>
    <i r="1">
      <x v="82"/>
    </i>
    <i r="2">
      <x v="180"/>
    </i>
    <i>
      <x v="316"/>
    </i>
    <i r="1">
      <x v="220"/>
    </i>
    <i r="2">
      <x v="136"/>
    </i>
    <i>
      <x v="317"/>
    </i>
    <i r="1">
      <x v="11"/>
    </i>
    <i r="2">
      <x v="354"/>
    </i>
    <i>
      <x v="318"/>
    </i>
    <i r="1">
      <x v="305"/>
    </i>
    <i r="2">
      <x v="275"/>
    </i>
    <i>
      <x v="319"/>
    </i>
    <i r="1">
      <x v="132"/>
    </i>
    <i r="2">
      <x v="80"/>
    </i>
    <i>
      <x v="320"/>
    </i>
    <i r="1">
      <x v="124"/>
    </i>
    <i r="2">
      <x v="100"/>
    </i>
    <i>
      <x v="321"/>
    </i>
    <i r="1">
      <x v="62"/>
    </i>
    <i r="2">
      <x v="257"/>
    </i>
    <i>
      <x v="322"/>
    </i>
    <i r="1">
      <x v="20"/>
    </i>
    <i r="2">
      <x v="48"/>
    </i>
    <i>
      <x v="323"/>
    </i>
    <i r="1">
      <x v="304"/>
    </i>
    <i r="2">
      <x v="310"/>
    </i>
    <i>
      <x v="324"/>
    </i>
    <i r="1">
      <x v="327"/>
    </i>
    <i r="2">
      <x v="251"/>
    </i>
    <i>
      <x v="325"/>
    </i>
    <i r="1">
      <x v="131"/>
    </i>
    <i r="2">
      <x v="308"/>
    </i>
    <i>
      <x v="326"/>
    </i>
    <i r="1">
      <x v="238"/>
    </i>
    <i r="2">
      <x v="207"/>
    </i>
    <i>
      <x v="327"/>
    </i>
    <i r="1">
      <x v="238"/>
    </i>
    <i r="2">
      <x v="208"/>
    </i>
    <i>
      <x v="328"/>
    </i>
    <i r="1">
      <x v="219"/>
    </i>
    <i r="2">
      <x v="75"/>
    </i>
    <i>
      <x v="329"/>
    </i>
    <i r="1">
      <x v="350"/>
    </i>
    <i r="2">
      <x v="98"/>
    </i>
    <i>
      <x v="330"/>
    </i>
    <i r="1">
      <x v="334"/>
    </i>
    <i r="2">
      <x v="403"/>
    </i>
    <i>
      <x v="331"/>
    </i>
    <i r="1">
      <x v="303"/>
    </i>
    <i r="2">
      <x v="117"/>
    </i>
    <i>
      <x v="332"/>
    </i>
    <i r="1">
      <x v="33"/>
    </i>
    <i r="2">
      <x v="330"/>
    </i>
    <i>
      <x v="333"/>
    </i>
    <i r="1">
      <x v="329"/>
    </i>
    <i r="2">
      <x v="10"/>
    </i>
    <i>
      <x v="334"/>
    </i>
    <i r="1">
      <x v="329"/>
    </i>
    <i r="2">
      <x v="26"/>
    </i>
    <i>
      <x v="335"/>
    </i>
    <i r="1">
      <x v="317"/>
    </i>
    <i r="2">
      <x v="321"/>
    </i>
    <i>
      <x v="336"/>
    </i>
    <i r="1">
      <x v="334"/>
    </i>
    <i r="2">
      <x v="403"/>
    </i>
    <i>
      <x v="337"/>
    </i>
    <i r="1">
      <x v="372"/>
    </i>
    <i r="2">
      <x v="97"/>
    </i>
    <i>
      <x v="338"/>
    </i>
    <i r="1">
      <x v="368"/>
    </i>
    <i r="2">
      <x v="129"/>
    </i>
    <i>
      <x v="339"/>
    </i>
    <i r="1">
      <x v="264"/>
    </i>
    <i r="2">
      <x v="183"/>
    </i>
    <i>
      <x v="340"/>
    </i>
    <i r="1">
      <x v="119"/>
    </i>
    <i r="2">
      <x v="139"/>
    </i>
    <i>
      <x v="341"/>
    </i>
    <i r="1">
      <x v="276"/>
    </i>
    <i r="2">
      <x v="128"/>
    </i>
    <i>
      <x v="342"/>
    </i>
    <i r="1">
      <x v="230"/>
    </i>
    <i r="2">
      <x v="155"/>
    </i>
    <i>
      <x v="343"/>
    </i>
    <i r="1">
      <x v="51"/>
    </i>
    <i r="2">
      <x v="291"/>
    </i>
    <i>
      <x v="344"/>
    </i>
    <i r="1">
      <x v="325"/>
    </i>
    <i r="2">
      <x v="242"/>
    </i>
    <i>
      <x v="345"/>
    </i>
    <i r="1">
      <x v="157"/>
    </i>
    <i r="2">
      <x v="341"/>
    </i>
    <i>
      <x v="346"/>
    </i>
    <i r="1">
      <x v="298"/>
    </i>
    <i r="2">
      <x v="302"/>
    </i>
    <i>
      <x v="347"/>
    </i>
    <i r="1">
      <x v="194"/>
    </i>
    <i r="2">
      <x v="243"/>
    </i>
    <i>
      <x v="348"/>
    </i>
    <i r="1">
      <x v="194"/>
    </i>
    <i r="2">
      <x v="243"/>
    </i>
    <i>
      <x v="349"/>
    </i>
    <i r="1">
      <x v="352"/>
    </i>
    <i r="2">
      <x v="253"/>
    </i>
    <i>
      <x v="350"/>
    </i>
    <i r="1">
      <x v="139"/>
    </i>
    <i r="2">
      <x v="285"/>
    </i>
    <i>
      <x v="351"/>
    </i>
    <i r="1">
      <x v="255"/>
    </i>
    <i r="2">
      <x v="223"/>
    </i>
    <i>
      <x v="352"/>
    </i>
    <i r="1">
      <x v="122"/>
    </i>
    <i r="2">
      <x v="96"/>
    </i>
    <i>
      <x v="353"/>
    </i>
    <i r="1">
      <x v="97"/>
    </i>
    <i r="2">
      <x v="144"/>
    </i>
    <i>
      <x v="354"/>
    </i>
    <i r="1">
      <x v="138"/>
    </i>
    <i r="2">
      <x v="73"/>
    </i>
    <i>
      <x v="355"/>
    </i>
    <i r="1">
      <x v="333"/>
    </i>
    <i r="2">
      <x v="154"/>
    </i>
    <i>
      <x v="356"/>
    </i>
    <i r="1">
      <x v="90"/>
    </i>
    <i r="2">
      <x v="319"/>
    </i>
    <i>
      <x v="357"/>
    </i>
    <i r="1">
      <x v="323"/>
    </i>
    <i r="2">
      <x v="226"/>
    </i>
    <i>
      <x v="358"/>
    </i>
    <i r="1">
      <x v="335"/>
    </i>
    <i r="2">
      <x v="402"/>
    </i>
    <i>
      <x v="359"/>
    </i>
    <i r="1">
      <x v="351"/>
    </i>
    <i r="2">
      <x v="314"/>
    </i>
    <i>
      <x v="360"/>
    </i>
    <i r="1">
      <x v="314"/>
    </i>
    <i r="2">
      <x v="289"/>
    </i>
    <i>
      <x v="361"/>
    </i>
    <i r="1">
      <x v="271"/>
    </i>
    <i r="2">
      <x v="316"/>
    </i>
    <i>
      <x v="362"/>
    </i>
    <i r="1">
      <x v="67"/>
    </i>
    <i r="2">
      <x v="311"/>
    </i>
    <i>
      <x v="363"/>
    </i>
    <i r="1">
      <x v="84"/>
    </i>
    <i r="2">
      <x v="266"/>
    </i>
    <i>
      <x v="364"/>
    </i>
    <i r="1">
      <x v="1"/>
    </i>
    <i r="2">
      <x v="317"/>
    </i>
    <i>
      <x v="365"/>
    </i>
    <i r="1">
      <x v="96"/>
    </i>
    <i r="2">
      <x v="283"/>
    </i>
    <i>
      <x v="366"/>
    </i>
    <i r="1">
      <x v="285"/>
    </i>
    <i r="2">
      <x v="305"/>
    </i>
    <i>
      <x v="367"/>
    </i>
    <i r="1">
      <x v="141"/>
    </i>
    <i r="2">
      <x v="357"/>
    </i>
    <i>
      <x v="368"/>
    </i>
    <i r="1">
      <x v="240"/>
    </i>
    <i r="2">
      <x v="303"/>
    </i>
    <i>
      <x v="369"/>
    </i>
    <i r="1">
      <x v="99"/>
    </i>
    <i r="2">
      <x v="254"/>
    </i>
    <i>
      <x v="370"/>
    </i>
    <i r="1">
      <x v="95"/>
    </i>
    <i r="2">
      <x v="224"/>
    </i>
    <i>
      <x v="371"/>
    </i>
    <i r="1">
      <x v="111"/>
    </i>
    <i r="2">
      <x v="57"/>
    </i>
    <i>
      <x v="372"/>
    </i>
    <i r="1">
      <x v="75"/>
    </i>
    <i r="2">
      <x v="376"/>
    </i>
    <i>
      <x v="373"/>
    </i>
    <i r="1">
      <x v="231"/>
    </i>
    <i r="2">
      <x v="18"/>
    </i>
    <i>
      <x v="374"/>
    </i>
    <i r="1">
      <x v="53"/>
    </i>
    <i r="2">
      <x v="58"/>
    </i>
    <i>
      <x v="375"/>
    </i>
    <i r="1">
      <x v="266"/>
    </i>
    <i r="2">
      <x v="268"/>
    </i>
    <i>
      <x v="376"/>
    </i>
    <i r="1">
      <x v="181"/>
    </i>
    <i r="2">
      <x v="403"/>
    </i>
    <i>
      <x v="377"/>
    </i>
    <i r="1">
      <x v="362"/>
    </i>
    <i r="2">
      <x v="403"/>
    </i>
    <i>
      <x v="378"/>
    </i>
    <i r="1">
      <x v="150"/>
    </i>
    <i r="2">
      <x v="388"/>
    </i>
    <i>
      <x v="379"/>
    </i>
    <i r="1">
      <x v="244"/>
    </i>
    <i r="2">
      <x v="279"/>
    </i>
    <i>
      <x v="380"/>
    </i>
    <i r="1">
      <x v="190"/>
    </i>
    <i r="2">
      <x v="278"/>
    </i>
    <i>
      <x v="381"/>
    </i>
    <i r="1">
      <x v="307"/>
    </i>
    <i r="2">
      <x v="104"/>
    </i>
    <i>
      <x v="382"/>
    </i>
    <i r="1">
      <x v="277"/>
    </i>
    <i r="2">
      <x v="93"/>
    </i>
    <i>
      <x v="383"/>
    </i>
    <i r="1">
      <x v="155"/>
    </i>
    <i r="2">
      <x v="353"/>
    </i>
    <i>
      <x v="384"/>
    </i>
    <i r="1">
      <x v="156"/>
    </i>
    <i r="2">
      <x v="353"/>
    </i>
    <i>
      <x v="385"/>
    </i>
    <i r="1">
      <x v="27"/>
    </i>
    <i r="2">
      <x v="358"/>
    </i>
    <i>
      <x v="386"/>
    </i>
    <i r="1">
      <x v="27"/>
    </i>
    <i r="2">
      <x v="358"/>
    </i>
    <i>
      <x v="387"/>
    </i>
    <i r="1">
      <x v="216"/>
    </i>
    <i r="2">
      <x v="320"/>
    </i>
    <i>
      <x v="388"/>
    </i>
    <i r="1">
      <x v="31"/>
    </i>
    <i r="2">
      <x v="389"/>
    </i>
    <i>
      <x v="389"/>
    </i>
    <i r="1">
      <x v="174"/>
    </i>
    <i r="2">
      <x v="3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2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A6" firstHeaderRow="1" firstDataRow="1" firstDataCol="1" rowPageCount="1" colPageCount="1"/>
  <pivotFields count="14">
    <pivotField axis="axisPage" showAll="0">
      <items count="391">
        <item x="0"/>
        <item x="9"/>
        <item x="10"/>
        <item x="11"/>
        <item x="12"/>
        <item x="13"/>
        <item x="16"/>
        <item x="17"/>
        <item x="18"/>
        <item x="19"/>
        <item x="1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4"/>
        <item x="53"/>
        <item x="54"/>
        <item x="55"/>
        <item x="56"/>
        <item x="57"/>
        <item x="58"/>
        <item x="59"/>
        <item x="60"/>
        <item x="61"/>
        <item x="62"/>
        <item x="5"/>
        <item x="63"/>
        <item x="64"/>
        <item x="65"/>
        <item x="66"/>
        <item x="67"/>
        <item x="68"/>
        <item x="69"/>
        <item x="70"/>
        <item x="71"/>
        <item x="72"/>
        <item x="6"/>
        <item x="73"/>
        <item x="74"/>
        <item x="75"/>
        <item x="76"/>
        <item x="77"/>
        <item x="78"/>
        <item x="79"/>
        <item x="80"/>
        <item x="81"/>
        <item x="82"/>
        <item x="7"/>
        <item x="83"/>
        <item x="84"/>
        <item x="85"/>
        <item x="86"/>
        <item x="87"/>
        <item x="88"/>
        <item x="89"/>
        <item x="90"/>
        <item x="91"/>
        <item x="92"/>
        <item x="8"/>
        <item x="93"/>
        <item x="94"/>
        <item x="95"/>
        <item x="100"/>
        <item x="101"/>
        <item x="102"/>
        <item x="103"/>
        <item x="104"/>
        <item x="105"/>
        <item x="106"/>
        <item x="107"/>
        <item x="108"/>
        <item x="110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4"/>
        <item x="15"/>
        <item x="157"/>
        <item x="158"/>
        <item x="159"/>
        <item x="160"/>
        <item x="161"/>
        <item x="162"/>
        <item x="164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84"/>
        <item x="96"/>
        <item x="97"/>
        <item x="98"/>
        <item x="99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showAll="0"/>
    <pivotField showAll="0"/>
    <pivotField showAll="0"/>
    <pivotField axis="axisRow" showAll="0">
      <items count="377">
        <item x="156"/>
        <item x="351"/>
        <item x="248"/>
        <item x="168"/>
        <item x="212"/>
        <item x="220"/>
        <item x="95"/>
        <item x="17"/>
        <item x="262"/>
        <item x="150"/>
        <item x="166"/>
        <item x="309"/>
        <item x="125"/>
        <item x="223"/>
        <item x="86"/>
        <item x="218"/>
        <item x="124"/>
        <item x="37"/>
        <item x="99"/>
        <item x="47"/>
        <item x="314"/>
        <item x="132"/>
        <item x="27"/>
        <item x="136"/>
        <item x="167"/>
        <item x="28"/>
        <item x="128"/>
        <item x="372"/>
        <item x="190"/>
        <item x="176"/>
        <item x="96"/>
        <item x="374"/>
        <item x="6"/>
        <item x="322"/>
        <item x="160"/>
        <item x="197"/>
        <item x="1"/>
        <item x="111"/>
        <item x="2"/>
        <item x="39"/>
        <item x="298"/>
        <item x="225"/>
        <item x="23"/>
        <item x="123"/>
        <item x="0"/>
        <item x="67"/>
        <item x="82"/>
        <item x="175"/>
        <item x="30"/>
        <item x="102"/>
        <item x="183"/>
        <item x="331"/>
        <item x="78"/>
        <item x="361"/>
        <item x="158"/>
        <item x="157"/>
        <item x="280"/>
        <item x="66"/>
        <item x="196"/>
        <item x="151"/>
        <item x="258"/>
        <item x="286"/>
        <item x="313"/>
        <item x="215"/>
        <item x="240"/>
        <item x="162"/>
        <item x="195"/>
        <item x="349"/>
        <item x="189"/>
        <item x="26"/>
        <item x="181"/>
        <item x="76"/>
        <item x="75"/>
        <item x="87"/>
        <item x="172"/>
        <item x="359"/>
        <item x="217"/>
        <item x="83"/>
        <item x="144"/>
        <item x="51"/>
        <item x="114"/>
        <item x="301"/>
        <item x="307"/>
        <item x="54"/>
        <item x="350"/>
        <item x="92"/>
        <item x="119"/>
        <item x="177"/>
        <item x="250"/>
        <item x="239"/>
        <item x="343"/>
        <item x="171"/>
        <item x="61"/>
        <item x="235"/>
        <item x="249"/>
        <item x="357"/>
        <item x="352"/>
        <item x="340"/>
        <item x="221"/>
        <item x="356"/>
        <item x="80"/>
        <item x="118"/>
        <item x="97"/>
        <item x="21"/>
        <item x="140"/>
        <item x="257"/>
        <item x="46"/>
        <item x="204"/>
        <item x="42"/>
        <item x="60"/>
        <item x="65"/>
        <item x="358"/>
        <item x="164"/>
        <item x="179"/>
        <item x="191"/>
        <item x="11"/>
        <item x="12"/>
        <item x="187"/>
        <item x="36"/>
        <item x="328"/>
        <item x="38"/>
        <item x="7"/>
        <item x="339"/>
        <item x="85"/>
        <item x="312"/>
        <item x="245"/>
        <item x="107"/>
        <item x="272"/>
        <item x="275"/>
        <item x="117"/>
        <item x="174"/>
        <item x="317"/>
        <item x="311"/>
        <item x="271"/>
        <item x="149"/>
        <item x="193"/>
        <item x="254"/>
        <item x="129"/>
        <item x="341"/>
        <item x="337"/>
        <item x="159"/>
        <item x="354"/>
        <item x="31"/>
        <item x="200"/>
        <item x="285"/>
        <item x="126"/>
        <item x="57"/>
        <item x="139"/>
        <item x="142"/>
        <item x="269"/>
        <item x="365"/>
        <item x="49"/>
        <item x="154"/>
        <item x="294"/>
        <item x="8"/>
        <item x="370"/>
        <item x="371"/>
        <item x="333"/>
        <item x="133"/>
        <item x="300"/>
        <item x="84"/>
        <item x="264"/>
        <item x="305"/>
        <item x="101"/>
        <item x="306"/>
        <item x="276"/>
        <item x="209"/>
        <item x="296"/>
        <item x="222"/>
        <item x="69"/>
        <item x="122"/>
        <item x="58"/>
        <item x="22"/>
        <item x="143"/>
        <item x="375"/>
        <item x="299"/>
        <item x="277"/>
        <item x="303"/>
        <item x="288"/>
        <item x="34"/>
        <item x="121"/>
        <item x="363"/>
        <item x="100"/>
        <item x="283"/>
        <item x="74"/>
        <item x="137"/>
        <item x="145"/>
        <item x="231"/>
        <item x="72"/>
        <item x="255"/>
        <item x="367"/>
        <item x="33"/>
        <item x="89"/>
        <item x="216"/>
        <item x="335"/>
        <item x="88"/>
        <item x="226"/>
        <item x="71"/>
        <item x="98"/>
        <item x="55"/>
        <item x="155"/>
        <item x="170"/>
        <item x="161"/>
        <item x="243"/>
        <item x="173"/>
        <item x="79"/>
        <item x="50"/>
        <item x="77"/>
        <item x="199"/>
        <item x="105"/>
        <item x="263"/>
        <item x="287"/>
        <item x="278"/>
        <item x="241"/>
        <item x="203"/>
        <item x="147"/>
        <item x="373"/>
        <item x="130"/>
        <item x="192"/>
        <item x="319"/>
        <item x="308"/>
        <item x="25"/>
        <item x="146"/>
        <item x="205"/>
        <item x="232"/>
        <item x="103"/>
        <item x="246"/>
        <item x="4"/>
        <item x="115"/>
        <item x="48"/>
        <item x="330"/>
        <item x="360"/>
        <item x="304"/>
        <item x="163"/>
        <item x="93"/>
        <item x="110"/>
        <item x="252"/>
        <item x="64"/>
        <item x="318"/>
        <item x="290"/>
        <item x="355"/>
        <item x="273"/>
        <item x="148"/>
        <item x="135"/>
        <item x="366"/>
        <item x="234"/>
        <item x="109"/>
        <item x="90"/>
        <item x="165"/>
        <item x="188"/>
        <item x="208"/>
        <item x="211"/>
        <item x="242"/>
        <item x="201"/>
        <item x="219"/>
        <item x="338"/>
        <item x="207"/>
        <item x="127"/>
        <item x="15"/>
        <item x="16"/>
        <item x="238"/>
        <item x="52"/>
        <item x="59"/>
        <item x="184"/>
        <item x="327"/>
        <item x="81"/>
        <item x="362"/>
        <item x="213"/>
        <item x="94"/>
        <item x="104"/>
        <item x="120"/>
        <item x="348"/>
        <item x="284"/>
        <item x="153"/>
        <item x="5"/>
        <item x="56"/>
        <item x="329"/>
        <item x="369"/>
        <item x="180"/>
        <item x="265"/>
        <item x="233"/>
        <item x="134"/>
        <item x="73"/>
        <item x="91"/>
        <item x="138"/>
        <item x="353"/>
        <item x="41"/>
        <item x="268"/>
        <item x="169"/>
        <item x="13"/>
        <item x="291"/>
        <item x="24"/>
        <item x="45"/>
        <item x="18"/>
        <item x="210"/>
        <item x="63"/>
        <item x="244"/>
        <item x="228"/>
        <item x="334"/>
        <item x="53"/>
        <item x="236"/>
        <item x="185"/>
        <item x="116"/>
        <item x="321"/>
        <item x="315"/>
        <item x="310"/>
        <item x="274"/>
        <item x="368"/>
        <item x="198"/>
        <item x="260"/>
        <item x="282"/>
        <item x="229"/>
        <item x="29"/>
        <item x="224"/>
        <item x="347"/>
        <item x="214"/>
        <item x="70"/>
        <item x="324"/>
        <item x="35"/>
        <item x="194"/>
        <item x="297"/>
        <item x="112"/>
        <item x="68"/>
        <item x="344"/>
        <item x="292"/>
        <item x="332"/>
        <item x="182"/>
        <item x="316"/>
        <item x="253"/>
        <item x="323"/>
        <item x="178"/>
        <item x="247"/>
        <item x="295"/>
        <item x="342"/>
        <item x="289"/>
        <item x="345"/>
        <item x="279"/>
        <item x="106"/>
        <item x="10"/>
        <item x="281"/>
        <item x="259"/>
        <item x="32"/>
        <item x="3"/>
        <item x="270"/>
        <item x="302"/>
        <item x="108"/>
        <item x="261"/>
        <item x="62"/>
        <item x="206"/>
        <item x="14"/>
        <item x="320"/>
        <item x="346"/>
        <item x="336"/>
        <item x="251"/>
        <item x="230"/>
        <item x="19"/>
        <item x="20"/>
        <item x="152"/>
        <item x="9"/>
        <item x="131"/>
        <item x="113"/>
        <item x="202"/>
        <item x="364"/>
        <item x="43"/>
        <item x="186"/>
        <item x="266"/>
        <item x="256"/>
        <item x="267"/>
        <item x="326"/>
        <item x="293"/>
        <item x="40"/>
        <item x="237"/>
        <item x="325"/>
        <item x="141"/>
        <item x="44"/>
        <item x="227"/>
        <item t="default"/>
      </items>
    </pivotField>
    <pivotField showAll="0"/>
    <pivotField axis="axisRow" showAll="0">
      <items count="405">
        <item x="195"/>
        <item x="324"/>
        <item x="289"/>
        <item x="217"/>
        <item x="218"/>
        <item x="219"/>
        <item x="240"/>
        <item x="79"/>
        <item x="198"/>
        <item x="22"/>
        <item x="353"/>
        <item x="128"/>
        <item x="145"/>
        <item x="157"/>
        <item x="30"/>
        <item x="223"/>
        <item x="75"/>
        <item x="273"/>
        <item x="391"/>
        <item x="155"/>
        <item x="267"/>
        <item x="7"/>
        <item x="286"/>
        <item x="188"/>
        <item x="109"/>
        <item x="185"/>
        <item x="354"/>
        <item x="82"/>
        <item x="282"/>
        <item x="214"/>
        <item x="84"/>
        <item x="15"/>
        <item x="31"/>
        <item x="64"/>
        <item x="133"/>
        <item x="134"/>
        <item x="132"/>
        <item x="43"/>
        <item x="40"/>
        <item x="41"/>
        <item x="12"/>
        <item x="69"/>
        <item x="107"/>
        <item x="14"/>
        <item x="50"/>
        <item x="291"/>
        <item x="176"/>
        <item x="177"/>
        <item x="342"/>
        <item x="51"/>
        <item x="287"/>
        <item x="249"/>
        <item x="314"/>
        <item x="276"/>
        <item x="116"/>
        <item x="239"/>
        <item x="230"/>
        <item x="389"/>
        <item x="392"/>
        <item x="20"/>
        <item x="21"/>
        <item x="190"/>
        <item x="106"/>
        <item x="326"/>
        <item x="139"/>
        <item x="90"/>
        <item x="167"/>
        <item x="13"/>
        <item x="46"/>
        <item x="11"/>
        <item x="54"/>
        <item x="35"/>
        <item x="243"/>
        <item x="372"/>
        <item x="302"/>
        <item x="348"/>
        <item x="1"/>
        <item x="136"/>
        <item x="60"/>
        <item x="122"/>
        <item x="339"/>
        <item x="98"/>
        <item x="175"/>
        <item x="71"/>
        <item x="92"/>
        <item x="255"/>
        <item x="101"/>
        <item x="102"/>
        <item x="103"/>
        <item x="215"/>
        <item x="241"/>
        <item x="242"/>
        <item x="28"/>
        <item x="398"/>
        <item x="316"/>
        <item x="42"/>
        <item x="370"/>
        <item x="356"/>
        <item x="349"/>
        <item x="137"/>
        <item x="340"/>
        <item x="57"/>
        <item x="34"/>
        <item x="59"/>
        <item x="397"/>
        <item x="86"/>
        <item x="62"/>
        <item x="68"/>
        <item x="246"/>
        <item x="44"/>
        <item x="192"/>
        <item x="193"/>
        <item x="284"/>
        <item x="129"/>
        <item x="315"/>
        <item x="290"/>
        <item x="265"/>
        <item x="351"/>
        <item x="125"/>
        <item x="207"/>
        <item x="38"/>
        <item x="244"/>
        <item x="19"/>
        <item x="275"/>
        <item x="144"/>
        <item x="119"/>
        <item x="56"/>
        <item x="258"/>
        <item x="360"/>
        <item x="357"/>
        <item x="97"/>
        <item x="140"/>
        <item x="141"/>
        <item x="52"/>
        <item x="292"/>
        <item x="165"/>
        <item x="336"/>
        <item x="204"/>
        <item x="2"/>
        <item x="359"/>
        <item x="227"/>
        <item x="228"/>
        <item x="130"/>
        <item x="262"/>
        <item x="371"/>
        <item x="124"/>
        <item x="87"/>
        <item x="55"/>
        <item x="187"/>
        <item x="80"/>
        <item x="319"/>
        <item x="29"/>
        <item x="323"/>
        <item x="121"/>
        <item x="373"/>
        <item x="361"/>
        <item x="196"/>
        <item x="206"/>
        <item x="89"/>
        <item x="295"/>
        <item x="306"/>
        <item x="63"/>
        <item x="161"/>
        <item x="94"/>
        <item x="194"/>
        <item x="127"/>
        <item x="152"/>
        <item x="212"/>
        <item x="259"/>
        <item x="39"/>
        <item x="73"/>
        <item x="83"/>
        <item x="250"/>
        <item x="318"/>
        <item x="186"/>
        <item x="65"/>
        <item x="47"/>
        <item x="48"/>
        <item x="199"/>
        <item x="268"/>
        <item x="335"/>
        <item x="105"/>
        <item x="126"/>
        <item x="358"/>
        <item x="221"/>
        <item x="61"/>
        <item x="172"/>
        <item x="168"/>
        <item x="169"/>
        <item x="170"/>
        <item x="171"/>
        <item x="173"/>
        <item x="174"/>
        <item x="271"/>
        <item x="49"/>
        <item x="224"/>
        <item x="225"/>
        <item x="18"/>
        <item x="74"/>
        <item x="285"/>
        <item x="300"/>
        <item x="197"/>
        <item x="332"/>
        <item x="99"/>
        <item x="257"/>
        <item x="78"/>
        <item x="143"/>
        <item x="346"/>
        <item x="347"/>
        <item x="274"/>
        <item x="208"/>
        <item x="162"/>
        <item x="164"/>
        <item x="100"/>
        <item x="58"/>
        <item x="293"/>
        <item x="327"/>
        <item x="304"/>
        <item x="181"/>
        <item x="182"/>
        <item x="153"/>
        <item x="313"/>
        <item x="123"/>
        <item x="369"/>
        <item x="388"/>
        <item x="299"/>
        <item x="375"/>
        <item x="202"/>
        <item x="200"/>
        <item x="235"/>
        <item x="70"/>
        <item x="110"/>
        <item x="303"/>
        <item x="301"/>
        <item x="329"/>
        <item x="45"/>
        <item x="113"/>
        <item x="154"/>
        <item x="296"/>
        <item x="149"/>
        <item x="108"/>
        <item x="27"/>
        <item x="363"/>
        <item x="366"/>
        <item x="147"/>
        <item x="95"/>
        <item x="226"/>
        <item x="237"/>
        <item x="321"/>
        <item x="81"/>
        <item x="270"/>
        <item x="344"/>
        <item x="178"/>
        <item x="367"/>
        <item x="387"/>
        <item x="254"/>
        <item x="189"/>
        <item x="341"/>
        <item x="238"/>
        <item x="180"/>
        <item x="211"/>
        <item x="210"/>
        <item x="269"/>
        <item x="163"/>
        <item x="236"/>
        <item x="261"/>
        <item x="381"/>
        <item x="294"/>
        <item x="393"/>
        <item x="138"/>
        <item x="191"/>
        <item x="229"/>
        <item x="179"/>
        <item x="260"/>
        <item x="159"/>
        <item x="338"/>
        <item x="283"/>
        <item x="333"/>
        <item x="396"/>
        <item x="395"/>
        <item x="201"/>
        <item x="220"/>
        <item x="320"/>
        <item x="383"/>
        <item x="253"/>
        <item x="368"/>
        <item x="280"/>
        <item x="307"/>
        <item x="160"/>
        <item x="378"/>
        <item x="231"/>
        <item x="362"/>
        <item x="247"/>
        <item x="183"/>
        <item x="266"/>
        <item x="205"/>
        <item x="331"/>
        <item x="222"/>
        <item x="272"/>
        <item x="308"/>
        <item x="156"/>
        <item x="203"/>
        <item x="365"/>
        <item x="386"/>
        <item x="281"/>
        <item x="384"/>
        <item x="311"/>
        <item x="288"/>
        <item x="345"/>
        <item x="263"/>
        <item x="343"/>
        <item x="380"/>
        <item x="305"/>
        <item x="403"/>
        <item x="377"/>
        <item x="325"/>
        <item x="379"/>
        <item x="382"/>
        <item x="310"/>
        <item x="374"/>
        <item x="401"/>
        <item x="355"/>
        <item x="32"/>
        <item x="9"/>
        <item x="93"/>
        <item x="334"/>
        <item x="24"/>
        <item x="26"/>
        <item x="25"/>
        <item x="23"/>
        <item x="352"/>
        <item x="66"/>
        <item x="117"/>
        <item x="328"/>
        <item x="309"/>
        <item x="142"/>
        <item x="10"/>
        <item x="111"/>
        <item x="297"/>
        <item x="216"/>
        <item x="67"/>
        <item x="364"/>
        <item x="248"/>
        <item x="33"/>
        <item x="4"/>
        <item x="3"/>
        <item x="5"/>
        <item x="256"/>
        <item x="85"/>
        <item x="213"/>
        <item x="264"/>
        <item x="114"/>
        <item x="115"/>
        <item x="399"/>
        <item x="337"/>
        <item x="158"/>
        <item x="166"/>
        <item x="385"/>
        <item x="400"/>
        <item x="135"/>
        <item x="252"/>
        <item x="232"/>
        <item x="233"/>
        <item x="322"/>
        <item x="77"/>
        <item x="312"/>
        <item x="298"/>
        <item x="131"/>
        <item x="36"/>
        <item x="104"/>
        <item x="277"/>
        <item x="278"/>
        <item x="279"/>
        <item x="8"/>
        <item x="148"/>
        <item x="72"/>
        <item x="390"/>
        <item x="209"/>
        <item x="37"/>
        <item x="120"/>
        <item x="112"/>
        <item x="0"/>
        <item x="53"/>
        <item x="234"/>
        <item x="150"/>
        <item x="151"/>
        <item x="118"/>
        <item x="245"/>
        <item x="394"/>
        <item x="402"/>
        <item x="88"/>
        <item x="91"/>
        <item x="76"/>
        <item x="146"/>
        <item x="251"/>
        <item x="16"/>
        <item x="17"/>
        <item x="96"/>
        <item x="184"/>
        <item x="330"/>
        <item x="6"/>
        <item x="317"/>
        <item x="376"/>
        <item x="35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3">
    <i>
      <x v="293"/>
    </i>
    <i r="1">
      <x v="122"/>
    </i>
    <i t="grand">
      <x/>
    </i>
  </rowItems>
  <colItems count="1">
    <i/>
  </colItems>
  <pageFields count="1">
    <pageField fld="0" item="7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dinâ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3:B20" firstHeaderRow="1" firstDataRow="1" firstDataCol="1"/>
  <pivotFields count="14">
    <pivotField dataField="1" showAll="0">
      <items count="391">
        <item x="0"/>
        <item x="9"/>
        <item x="10"/>
        <item x="11"/>
        <item x="12"/>
        <item x="13"/>
        <item x="16"/>
        <item x="17"/>
        <item x="18"/>
        <item x="19"/>
        <item x="1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4"/>
        <item x="53"/>
        <item x="54"/>
        <item x="55"/>
        <item x="56"/>
        <item x="57"/>
        <item x="58"/>
        <item x="59"/>
        <item x="60"/>
        <item x="61"/>
        <item x="62"/>
        <item x="5"/>
        <item x="63"/>
        <item x="64"/>
        <item x="65"/>
        <item x="66"/>
        <item x="67"/>
        <item x="68"/>
        <item x="69"/>
        <item x="70"/>
        <item x="71"/>
        <item x="72"/>
        <item x="6"/>
        <item x="73"/>
        <item x="74"/>
        <item x="75"/>
        <item x="76"/>
        <item x="77"/>
        <item x="78"/>
        <item x="79"/>
        <item x="80"/>
        <item x="81"/>
        <item x="82"/>
        <item x="7"/>
        <item x="83"/>
        <item x="84"/>
        <item x="85"/>
        <item x="86"/>
        <item x="87"/>
        <item x="88"/>
        <item x="89"/>
        <item x="90"/>
        <item x="91"/>
        <item x="92"/>
        <item x="8"/>
        <item x="93"/>
        <item x="94"/>
        <item x="95"/>
        <item x="100"/>
        <item x="101"/>
        <item x="102"/>
        <item x="103"/>
        <item x="104"/>
        <item x="105"/>
        <item x="106"/>
        <item x="107"/>
        <item x="108"/>
        <item x="110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4"/>
        <item x="15"/>
        <item x="157"/>
        <item x="158"/>
        <item x="159"/>
        <item x="160"/>
        <item x="161"/>
        <item x="162"/>
        <item x="164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84"/>
        <item x="96"/>
        <item x="97"/>
        <item x="98"/>
        <item x="99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377">
        <item x="156"/>
        <item x="351"/>
        <item x="248"/>
        <item x="168"/>
        <item x="212"/>
        <item x="220"/>
        <item x="95"/>
        <item x="17"/>
        <item x="262"/>
        <item x="150"/>
        <item x="166"/>
        <item x="309"/>
        <item x="125"/>
        <item x="223"/>
        <item x="86"/>
        <item x="218"/>
        <item x="124"/>
        <item x="37"/>
        <item x="99"/>
        <item x="47"/>
        <item x="314"/>
        <item x="132"/>
        <item x="27"/>
        <item x="136"/>
        <item x="167"/>
        <item x="28"/>
        <item x="128"/>
        <item x="372"/>
        <item x="190"/>
        <item x="176"/>
        <item x="96"/>
        <item x="374"/>
        <item x="6"/>
        <item x="322"/>
        <item x="160"/>
        <item x="197"/>
        <item x="1"/>
        <item x="111"/>
        <item x="2"/>
        <item x="39"/>
        <item x="298"/>
        <item x="225"/>
        <item x="23"/>
        <item x="123"/>
        <item x="0"/>
        <item x="67"/>
        <item x="82"/>
        <item x="175"/>
        <item x="30"/>
        <item x="102"/>
        <item x="183"/>
        <item x="331"/>
        <item x="78"/>
        <item x="361"/>
        <item x="158"/>
        <item x="157"/>
        <item x="280"/>
        <item x="66"/>
        <item x="196"/>
        <item x="151"/>
        <item x="258"/>
        <item x="286"/>
        <item x="313"/>
        <item x="215"/>
        <item x="240"/>
        <item x="162"/>
        <item x="195"/>
        <item x="349"/>
        <item x="189"/>
        <item x="26"/>
        <item x="181"/>
        <item x="76"/>
        <item x="75"/>
        <item x="87"/>
        <item x="172"/>
        <item x="359"/>
        <item x="217"/>
        <item x="83"/>
        <item x="144"/>
        <item x="51"/>
        <item x="114"/>
        <item x="301"/>
        <item x="307"/>
        <item x="54"/>
        <item x="350"/>
        <item x="92"/>
        <item x="119"/>
        <item x="177"/>
        <item x="250"/>
        <item x="239"/>
        <item x="343"/>
        <item x="171"/>
        <item x="61"/>
        <item x="235"/>
        <item x="249"/>
        <item x="357"/>
        <item x="352"/>
        <item x="340"/>
        <item x="221"/>
        <item x="356"/>
        <item x="80"/>
        <item x="118"/>
        <item x="97"/>
        <item x="21"/>
        <item x="140"/>
        <item x="257"/>
        <item x="46"/>
        <item x="204"/>
        <item x="42"/>
        <item x="60"/>
        <item x="65"/>
        <item x="358"/>
        <item x="164"/>
        <item x="179"/>
        <item x="191"/>
        <item x="11"/>
        <item x="12"/>
        <item x="187"/>
        <item x="36"/>
        <item x="328"/>
        <item x="38"/>
        <item x="7"/>
        <item x="339"/>
        <item x="85"/>
        <item x="312"/>
        <item x="245"/>
        <item x="107"/>
        <item x="272"/>
        <item x="275"/>
        <item x="117"/>
        <item x="174"/>
        <item x="317"/>
        <item x="311"/>
        <item x="271"/>
        <item x="149"/>
        <item x="193"/>
        <item x="254"/>
        <item x="129"/>
        <item x="341"/>
        <item x="337"/>
        <item x="159"/>
        <item x="354"/>
        <item x="31"/>
        <item x="200"/>
        <item x="285"/>
        <item x="126"/>
        <item x="57"/>
        <item x="139"/>
        <item x="142"/>
        <item x="269"/>
        <item x="365"/>
        <item x="49"/>
        <item x="154"/>
        <item x="294"/>
        <item x="8"/>
        <item x="370"/>
        <item x="371"/>
        <item x="333"/>
        <item x="133"/>
        <item x="300"/>
        <item x="84"/>
        <item x="264"/>
        <item x="305"/>
        <item x="101"/>
        <item x="306"/>
        <item x="276"/>
        <item x="209"/>
        <item x="296"/>
        <item x="222"/>
        <item x="69"/>
        <item x="122"/>
        <item x="58"/>
        <item x="22"/>
        <item x="143"/>
        <item x="375"/>
        <item x="299"/>
        <item x="277"/>
        <item x="303"/>
        <item x="288"/>
        <item x="34"/>
        <item x="121"/>
        <item x="363"/>
        <item x="100"/>
        <item x="283"/>
        <item x="74"/>
        <item x="137"/>
        <item x="145"/>
        <item x="231"/>
        <item x="72"/>
        <item x="255"/>
        <item x="367"/>
        <item x="33"/>
        <item x="89"/>
        <item x="216"/>
        <item x="335"/>
        <item x="88"/>
        <item x="226"/>
        <item x="71"/>
        <item x="98"/>
        <item x="55"/>
        <item x="155"/>
        <item x="170"/>
        <item x="161"/>
        <item x="243"/>
        <item x="173"/>
        <item x="79"/>
        <item x="50"/>
        <item x="77"/>
        <item x="199"/>
        <item x="105"/>
        <item x="263"/>
        <item x="287"/>
        <item x="278"/>
        <item x="241"/>
        <item x="203"/>
        <item x="147"/>
        <item x="373"/>
        <item x="130"/>
        <item x="192"/>
        <item x="319"/>
        <item x="308"/>
        <item x="25"/>
        <item x="146"/>
        <item x="205"/>
        <item x="232"/>
        <item x="103"/>
        <item x="246"/>
        <item x="4"/>
        <item x="115"/>
        <item x="48"/>
        <item x="330"/>
        <item x="360"/>
        <item x="304"/>
        <item x="163"/>
        <item x="93"/>
        <item x="110"/>
        <item x="252"/>
        <item x="64"/>
        <item x="318"/>
        <item x="290"/>
        <item x="355"/>
        <item x="273"/>
        <item x="148"/>
        <item x="135"/>
        <item x="366"/>
        <item x="234"/>
        <item x="109"/>
        <item x="90"/>
        <item x="165"/>
        <item x="188"/>
        <item x="208"/>
        <item x="211"/>
        <item x="242"/>
        <item x="201"/>
        <item x="219"/>
        <item x="338"/>
        <item x="207"/>
        <item x="127"/>
        <item x="15"/>
        <item x="16"/>
        <item x="238"/>
        <item x="52"/>
        <item x="59"/>
        <item x="184"/>
        <item x="327"/>
        <item x="81"/>
        <item x="362"/>
        <item x="213"/>
        <item x="94"/>
        <item x="104"/>
        <item x="120"/>
        <item x="348"/>
        <item x="284"/>
        <item x="153"/>
        <item x="5"/>
        <item x="56"/>
        <item x="329"/>
        <item x="369"/>
        <item x="180"/>
        <item x="265"/>
        <item x="233"/>
        <item x="134"/>
        <item x="73"/>
        <item x="91"/>
        <item x="138"/>
        <item x="353"/>
        <item x="41"/>
        <item x="268"/>
        <item x="169"/>
        <item x="13"/>
        <item x="291"/>
        <item x="24"/>
        <item x="45"/>
        <item x="18"/>
        <item x="210"/>
        <item x="63"/>
        <item x="244"/>
        <item x="228"/>
        <item x="334"/>
        <item x="53"/>
        <item x="236"/>
        <item x="185"/>
        <item x="116"/>
        <item x="321"/>
        <item x="315"/>
        <item x="310"/>
        <item x="274"/>
        <item x="368"/>
        <item x="198"/>
        <item x="260"/>
        <item x="282"/>
        <item x="229"/>
        <item x="29"/>
        <item x="224"/>
        <item x="347"/>
        <item x="214"/>
        <item x="70"/>
        <item x="324"/>
        <item x="35"/>
        <item x="194"/>
        <item x="297"/>
        <item x="112"/>
        <item x="68"/>
        <item x="344"/>
        <item x="292"/>
        <item x="332"/>
        <item x="182"/>
        <item x="316"/>
        <item x="253"/>
        <item x="323"/>
        <item x="178"/>
        <item x="247"/>
        <item x="295"/>
        <item x="342"/>
        <item x="289"/>
        <item x="345"/>
        <item x="279"/>
        <item x="106"/>
        <item x="10"/>
        <item x="281"/>
        <item x="259"/>
        <item x="32"/>
        <item x="3"/>
        <item x="270"/>
        <item x="302"/>
        <item x="108"/>
        <item x="261"/>
        <item x="62"/>
        <item x="206"/>
        <item x="14"/>
        <item x="320"/>
        <item x="346"/>
        <item x="336"/>
        <item x="251"/>
        <item x="230"/>
        <item x="19"/>
        <item x="20"/>
        <item x="152"/>
        <item x="9"/>
        <item x="131"/>
        <item x="113"/>
        <item x="202"/>
        <item x="364"/>
        <item x="43"/>
        <item x="186"/>
        <item x="266"/>
        <item x="256"/>
        <item x="267"/>
        <item x="326"/>
        <item x="293"/>
        <item x="40"/>
        <item x="237"/>
        <item x="325"/>
        <item x="141"/>
        <item x="44"/>
        <item x="227"/>
        <item t="default"/>
      </items>
    </pivotField>
    <pivotField showAll="0"/>
    <pivotField showAll="0"/>
    <pivotField axis="axisRow" showAll="0">
      <items count="11">
        <item x="5"/>
        <item x="0"/>
        <item x="6"/>
        <item x="2"/>
        <item x="8"/>
        <item x="1"/>
        <item x="4"/>
        <item sd="0" x="3"/>
        <item x="7"/>
        <item sd="0" x="9"/>
        <item t="default"/>
      </items>
    </pivotField>
    <pivotField showAll="0"/>
    <pivotField showAll="0"/>
    <pivotField axis="axisRow" showAll="0">
      <items count="58">
        <item x="11"/>
        <item x="47"/>
        <item x="39"/>
        <item x="12"/>
        <item x="15"/>
        <item x="3"/>
        <item x="54"/>
        <item x="24"/>
        <item x="46"/>
        <item x="18"/>
        <item x="6"/>
        <item x="21"/>
        <item x="45"/>
        <item x="36"/>
        <item x="17"/>
        <item x="32"/>
        <item x="44"/>
        <item x="26"/>
        <item x="16"/>
        <item x="27"/>
        <item x="30"/>
        <item x="35"/>
        <item x="31"/>
        <item x="25"/>
        <item x="38"/>
        <item x="14"/>
        <item x="19"/>
        <item x="2"/>
        <item x="29"/>
        <item x="4"/>
        <item x="13"/>
        <item x="9"/>
        <item x="5"/>
        <item x="56"/>
        <item x="23"/>
        <item x="51"/>
        <item x="55"/>
        <item x="0"/>
        <item x="52"/>
        <item x="42"/>
        <item x="34"/>
        <item x="37"/>
        <item x="8"/>
        <item x="33"/>
        <item x="22"/>
        <item x="28"/>
        <item x="7"/>
        <item x="40"/>
        <item x="50"/>
        <item x="41"/>
        <item x="10"/>
        <item x="53"/>
        <item x="1"/>
        <item x="43"/>
        <item x="20"/>
        <item x="49"/>
        <item x="48"/>
        <item t="default"/>
      </items>
    </pivotField>
    <pivotField axis="axisRow" showAll="0">
      <items count="10">
        <item sd="0" x="3"/>
        <item sd="0" x="2"/>
        <item sd="0" x="7"/>
        <item sd="0" x="4"/>
        <item sd="0" x="0"/>
        <item sd="0" x="5"/>
        <item sd="0" x="1"/>
        <item sd="0" x="6"/>
        <item x="8"/>
        <item t="default"/>
      </items>
    </pivotField>
    <pivotField showAll="0"/>
    <pivotField showAll="0"/>
  </pivotFields>
  <rowFields count="4">
    <field x="11"/>
    <field x="7"/>
    <field x="4"/>
    <field x="1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 v="1"/>
    </i>
    <i r="2">
      <x v="181"/>
    </i>
    <i r="3">
      <x v="56"/>
    </i>
    <i r="2">
      <x v="362"/>
    </i>
    <i r="3">
      <x v="56"/>
    </i>
    <i r="1">
      <x v="7"/>
    </i>
    <i r="1">
      <x v="9"/>
    </i>
    <i t="grand">
      <x/>
    </i>
  </rowItems>
  <colItems count="1">
    <i/>
  </colItems>
  <dataFields count="1">
    <dataField name="Contar de REGISTRO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2:X1387" totalsRowShown="0" headerRowDxfId="28" dataDxfId="27">
  <autoFilter ref="A2:X1387" xr:uid="{00000000-0009-0000-0100-000002000000}"/>
  <sortState xmlns:xlrd2="http://schemas.microsoft.com/office/spreadsheetml/2017/richdata2" ref="A3:X1359">
    <sortCondition ref="X2:X1359"/>
  </sortState>
  <tableColumns count="24">
    <tableColumn id="1" xr3:uid="{00000000-0010-0000-0000-000001000000}" name="Nº REGISTRO" dataDxfId="26"/>
    <tableColumn id="2" xr3:uid="{00000000-0010-0000-0000-000002000000}" name="VIGÊNCIA" dataDxfId="25"/>
    <tableColumn id="3" xr3:uid="{00000000-0010-0000-0000-000003000000}" name="DATA" dataDxfId="24"/>
    <tableColumn id="4" xr3:uid="{00000000-0010-0000-0000-000004000000}" name="MODALIDADE" dataDxfId="23"/>
    <tableColumn id="5" xr3:uid="{00000000-0010-0000-0000-000005000000}" name="NOME INSTITUCIONAL" dataDxfId="22"/>
    <tableColumn id="6" xr3:uid="{00000000-0010-0000-0000-000006000000}" name="NOME FANTASIA" dataDxfId="21"/>
    <tableColumn id="7" xr3:uid="{00000000-0010-0000-0000-000007000000}" name="CNPJ Matriz" dataDxfId="20"/>
    <tableColumn id="20" xr3:uid="{00000000-0010-0000-0000-000014000000}" name="CNPJ Filial" dataDxfId="19"/>
    <tableColumn id="8" xr3:uid="{00000000-0010-0000-0000-000008000000}" name="PROGRAMA" dataDxfId="18"/>
    <tableColumn id="23" xr3:uid="{00000000-0010-0000-0000-000017000000}" name="RES" dataDxfId="17"/>
    <tableColumn id="9" xr3:uid="{00000000-0010-0000-0000-000009000000}" name="CONVÊNIO" dataDxfId="16"/>
    <tableColumn id="10" xr3:uid="{00000000-0010-0000-0000-00000A000000}" name="ENDEREÇO DO PROGRAMA" dataDxfId="15"/>
    <tableColumn id="17" xr3:uid="{00000000-0010-0000-0000-000011000000}" name="CEP" dataDxfId="14"/>
    <tableColumn id="18" xr3:uid="{00000000-0010-0000-0000-000012000000}" name="BAIRRO" dataDxfId="13"/>
    <tableColumn id="11" xr3:uid="{00000000-0010-0000-0000-00000B000000}" name="SUBPREFEITURA" dataDxfId="12"/>
    <tableColumn id="12" xr3:uid="{00000000-0010-0000-0000-00000C000000}" name="REGIÃO" dataDxfId="11"/>
    <tableColumn id="13" xr3:uid="{00000000-0010-0000-0000-00000D000000}" name="TELEFONE" dataDxfId="10"/>
    <tableColumn id="16" xr3:uid="{00000000-0010-0000-0000-000010000000}" name="E-MAIL" dataDxfId="9" dataCellStyle="Hiperlink"/>
    <tableColumn id="19" xr3:uid="{00000000-0010-0000-0000-000013000000}" name="SITE" dataDxfId="8" dataCellStyle="Hiperlink"/>
    <tableColumn id="15" xr3:uid="{00000000-0010-0000-0000-00000F000000}" name="CAPACIDADE" dataDxfId="7" dataCellStyle="Hiperlink"/>
    <tableColumn id="21" xr3:uid="{00000000-0010-0000-0000-000015000000}" name="ATENDIDOS" dataDxfId="6" dataCellStyle="Hiperlink"/>
    <tableColumn id="14" xr3:uid="{00000000-0010-0000-0000-00000E000000}" name="SEI" dataDxfId="5"/>
    <tableColumn id="22" xr3:uid="{00000000-0010-0000-0000-000016000000}" name="Para encerramento" dataDxfId="4"/>
    <tableColumn id="25" xr3:uid="{00000000-0010-0000-0000-000019000000}" name="ID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aamec10@yahoo.com.br" TargetMode="External"/><Relationship Id="rId1827" Type="http://schemas.openxmlformats.org/officeDocument/2006/relationships/hyperlink" Target="http://www.casaderepousopordosol.com.br/" TargetMode="External"/><Relationship Id="rId21" Type="http://schemas.openxmlformats.org/officeDocument/2006/relationships/hyperlink" Target="http://www.bompar.org.br/" TargetMode="External"/><Relationship Id="rId170" Type="http://schemas.openxmlformats.org/officeDocument/2006/relationships/hyperlink" Target="mailto:mclregularizacoes@gmail.com" TargetMode="External"/><Relationship Id="rId268" Type="http://schemas.openxmlformats.org/officeDocument/2006/relationships/hyperlink" Target="http://www.centroviverbem.com.br/" TargetMode="External"/><Relationship Id="rId475" Type="http://schemas.openxmlformats.org/officeDocument/2006/relationships/hyperlink" Target="mailto:aspromatina@aspromatina.org.br" TargetMode="External"/><Relationship Id="rId682" Type="http://schemas.openxmlformats.org/officeDocument/2006/relationships/hyperlink" Target="http://www.casaderepousofilo.com.br/" TargetMode="External"/><Relationship Id="rId128" Type="http://schemas.openxmlformats.org/officeDocument/2006/relationships/hyperlink" Target="http://www.casaderepousopordosol.com.br/" TargetMode="External"/><Relationship Id="rId335" Type="http://schemas.openxmlformats.org/officeDocument/2006/relationships/hyperlink" Target="mailto:residencialseniorpi@terra.com.br" TargetMode="External"/><Relationship Id="rId542" Type="http://schemas.openxmlformats.org/officeDocument/2006/relationships/hyperlink" Target="http://www.residencialroyale.com.br/" TargetMode="External"/><Relationship Id="rId987" Type="http://schemas.openxmlformats.org/officeDocument/2006/relationships/hyperlink" Target="mailto:maisviver@maisviver.org.br" TargetMode="External"/><Relationship Id="rId1172" Type="http://schemas.openxmlformats.org/officeDocument/2006/relationships/hyperlink" Target="mailto:larevidabueno@gmail.com" TargetMode="External"/><Relationship Id="rId402" Type="http://schemas.openxmlformats.org/officeDocument/2006/relationships/hyperlink" Target="http://www.casaviladeifiori.com/" TargetMode="External"/><Relationship Id="rId847" Type="http://schemas.openxmlformats.org/officeDocument/2006/relationships/hyperlink" Target="http://www.gmail.com/" TargetMode="External"/><Relationship Id="rId1032" Type="http://schemas.openxmlformats.org/officeDocument/2006/relationships/hyperlink" Target="mailto:projetos@ijc.org.br" TargetMode="External"/><Relationship Id="rId1477" Type="http://schemas.openxmlformats.org/officeDocument/2006/relationships/hyperlink" Target="mailto:contato@moradacanaa.com.br" TargetMode="External"/><Relationship Id="rId1684" Type="http://schemas.openxmlformats.org/officeDocument/2006/relationships/hyperlink" Target="mailto:residencialparaidososveleiros@gmail.com" TargetMode="External"/><Relationship Id="rId1891" Type="http://schemas.openxmlformats.org/officeDocument/2006/relationships/hyperlink" Target="mailto:chendechristo@terra.com.br" TargetMode="External"/><Relationship Id="rId707" Type="http://schemas.openxmlformats.org/officeDocument/2006/relationships/hyperlink" Target="http://www.yahoo.com/" TargetMode="External"/><Relationship Id="rId914" Type="http://schemas.openxmlformats.org/officeDocument/2006/relationships/hyperlink" Target="mailto:contato@sorrirparavida.org.br" TargetMode="External"/><Relationship Id="rId1337" Type="http://schemas.openxmlformats.org/officeDocument/2006/relationships/hyperlink" Target="mailto:juridico@ligasolidaria.org.br" TargetMode="External"/><Relationship Id="rId1544" Type="http://schemas.openxmlformats.org/officeDocument/2006/relationships/hyperlink" Target="mailto:residencialvidas@outlook.com" TargetMode="External"/><Relationship Id="rId1751" Type="http://schemas.openxmlformats.org/officeDocument/2006/relationships/hyperlink" Target="mailto:int.anajuliaidosos@gmail.com" TargetMode="External"/><Relationship Id="rId43" Type="http://schemas.openxmlformats.org/officeDocument/2006/relationships/hyperlink" Target="http://www.casaderepousosaopaulo.com.br/" TargetMode="External"/><Relationship Id="rId1404" Type="http://schemas.openxmlformats.org/officeDocument/2006/relationships/hyperlink" Target="mailto:institutohandmaria@gmail.com" TargetMode="External"/><Relationship Id="rId1611" Type="http://schemas.openxmlformats.org/officeDocument/2006/relationships/hyperlink" Target="mailto:secretaria@velhoamigo.org.br" TargetMode="External"/><Relationship Id="rId1849" Type="http://schemas.openxmlformats.org/officeDocument/2006/relationships/hyperlink" Target="http://www.casavilladeifiori.com/" TargetMode="External"/><Relationship Id="rId192" Type="http://schemas.openxmlformats.org/officeDocument/2006/relationships/hyperlink" Target="mailto:luis@villa4estacoes.com.br" TargetMode="External"/><Relationship Id="rId1709" Type="http://schemas.openxmlformats.org/officeDocument/2006/relationships/hyperlink" Target="mailto:apoio@apoio-sp.org.br" TargetMode="External"/><Relationship Id="rId1916" Type="http://schemas.openxmlformats.org/officeDocument/2006/relationships/hyperlink" Target="mailto:institutoikigai@gmail.com" TargetMode="External"/><Relationship Id="rId497" Type="http://schemas.openxmlformats.org/officeDocument/2006/relationships/hyperlink" Target="http://www.clinicacherubins.com.br/" TargetMode="External"/><Relationship Id="rId357" Type="http://schemas.openxmlformats.org/officeDocument/2006/relationships/hyperlink" Target="http://www.recantodoidoso.com.br/" TargetMode="External"/><Relationship Id="rId1194" Type="http://schemas.openxmlformats.org/officeDocument/2006/relationships/hyperlink" Target="mailto:canaaresidencial@gmail.com" TargetMode="External"/><Relationship Id="rId217" Type="http://schemas.openxmlformats.org/officeDocument/2006/relationships/hyperlink" Target="http://www.cogitaresenior.com.br/" TargetMode="External"/><Relationship Id="rId564" Type="http://schemas.openxmlformats.org/officeDocument/2006/relationships/hyperlink" Target="http://www.asatransforma.org.br/" TargetMode="External"/><Relationship Id="rId771" Type="http://schemas.openxmlformats.org/officeDocument/2006/relationships/hyperlink" Target="http://www.outlook.com/" TargetMode="External"/><Relationship Id="rId869" Type="http://schemas.openxmlformats.org/officeDocument/2006/relationships/hyperlink" Target="http://www.institutobrandao.org.br/" TargetMode="External"/><Relationship Id="rId1499" Type="http://schemas.openxmlformats.org/officeDocument/2006/relationships/hyperlink" Target="http://www.residencialipeamarelo.com/" TargetMode="External"/><Relationship Id="rId424" Type="http://schemas.openxmlformats.org/officeDocument/2006/relationships/hyperlink" Target="mailto:anamaria.gabi@bol.com.br" TargetMode="External"/><Relationship Id="rId631" Type="http://schemas.openxmlformats.org/officeDocument/2006/relationships/hyperlink" Target="http://www.casaderepousomssaogabriel.com/" TargetMode="External"/><Relationship Id="rId729" Type="http://schemas.openxmlformats.org/officeDocument/2006/relationships/hyperlink" Target="http://www.casaderepousovirgemmaria.com.br/" TargetMode="External"/><Relationship Id="rId1054" Type="http://schemas.openxmlformats.org/officeDocument/2006/relationships/hyperlink" Target="mailto:secretaria@velhoamigo.org.br" TargetMode="External"/><Relationship Id="rId1261" Type="http://schemas.openxmlformats.org/officeDocument/2006/relationships/hyperlink" Target="mailto:everton@grupopacini.com.br" TargetMode="External"/><Relationship Id="rId1359" Type="http://schemas.openxmlformats.org/officeDocument/2006/relationships/hyperlink" Target="mailto:residencialnossolar@uol.com.br" TargetMode="External"/><Relationship Id="rId936" Type="http://schemas.openxmlformats.org/officeDocument/2006/relationships/hyperlink" Target="mailto:direcao@amigosemsintonia.org.br" TargetMode="External"/><Relationship Id="rId1121" Type="http://schemas.openxmlformats.org/officeDocument/2006/relationships/hyperlink" Target="mailto:vilaharmoniaresidencial@gmail.com" TargetMode="External"/><Relationship Id="rId1219" Type="http://schemas.openxmlformats.org/officeDocument/2006/relationships/hyperlink" Target="mailto:residencialdeidosos@outlook.com" TargetMode="External"/><Relationship Id="rId1566" Type="http://schemas.openxmlformats.org/officeDocument/2006/relationships/hyperlink" Target="mailto:administrativo@abuelos.com.br" TargetMode="External"/><Relationship Id="rId1773" Type="http://schemas.openxmlformats.org/officeDocument/2006/relationships/hyperlink" Target="mailto:aba.bellaatitude@gmail.com" TargetMode="External"/><Relationship Id="rId65" Type="http://schemas.openxmlformats.org/officeDocument/2006/relationships/hyperlink" Target="http://www.jardimdasaude.com/" TargetMode="External"/><Relationship Id="rId1426" Type="http://schemas.openxmlformats.org/officeDocument/2006/relationships/hyperlink" Target="mailto:setubalfrancislenecostasetubal@gmail.com" TargetMode="External"/><Relationship Id="rId1633" Type="http://schemas.openxmlformats.org/officeDocument/2006/relationships/hyperlink" Target="http://www.casavita.com.br/" TargetMode="External"/><Relationship Id="rId1840" Type="http://schemas.openxmlformats.org/officeDocument/2006/relationships/hyperlink" Target="mailto:institutoirmadulce1@gmail.com" TargetMode="External"/><Relationship Id="rId1700" Type="http://schemas.openxmlformats.org/officeDocument/2006/relationships/hyperlink" Target="mailto:ccidentrodeumabraco@gmail.com" TargetMode="External"/><Relationship Id="rId1938" Type="http://schemas.openxmlformats.org/officeDocument/2006/relationships/hyperlink" Target="mailto:contato@oscesperanca.org.br" TargetMode="External"/><Relationship Id="rId281" Type="http://schemas.openxmlformats.org/officeDocument/2006/relationships/hyperlink" Target="mailto:diretoria@sedes.org.br" TargetMode="External"/><Relationship Id="rId141" Type="http://schemas.openxmlformats.org/officeDocument/2006/relationships/hyperlink" Target="http://www.casaderepousosaojorge.com.br/" TargetMode="External"/><Relationship Id="rId379" Type="http://schemas.openxmlformats.org/officeDocument/2006/relationships/hyperlink" Target="mailto:romildacorreira55@hotmail.com" TargetMode="External"/><Relationship Id="rId586" Type="http://schemas.openxmlformats.org/officeDocument/2006/relationships/hyperlink" Target="http://www.espacoaberto.org.br/" TargetMode="External"/><Relationship Id="rId793" Type="http://schemas.openxmlformats.org/officeDocument/2006/relationships/hyperlink" Target="http://www.gmail.com/" TargetMode="External"/><Relationship Id="rId7" Type="http://schemas.openxmlformats.org/officeDocument/2006/relationships/hyperlink" Target="http://www.belavidaresidencial.com.br/" TargetMode="External"/><Relationship Id="rId239" Type="http://schemas.openxmlformats.org/officeDocument/2006/relationships/hyperlink" Target="mailto:novabelissima.101@gmail.com" TargetMode="External"/><Relationship Id="rId446" Type="http://schemas.openxmlformats.org/officeDocument/2006/relationships/hyperlink" Target="mailto:contato@moradasaogualter.com.br" TargetMode="External"/><Relationship Id="rId653" Type="http://schemas.openxmlformats.org/officeDocument/2006/relationships/hyperlink" Target="http://www.yahoo.com.br/" TargetMode="External"/><Relationship Id="rId1076" Type="http://schemas.openxmlformats.org/officeDocument/2006/relationships/hyperlink" Target="mailto:coordenacao@espacoaberto.org.br" TargetMode="External"/><Relationship Id="rId1283" Type="http://schemas.openxmlformats.org/officeDocument/2006/relationships/hyperlink" Target="mailto:casastyllo@uol.com.br" TargetMode="External"/><Relationship Id="rId1490" Type="http://schemas.openxmlformats.org/officeDocument/2006/relationships/hyperlink" Target="http://www.pensionatohavila.com.br/" TargetMode="External"/><Relationship Id="rId306" Type="http://schemas.openxmlformats.org/officeDocument/2006/relationships/hyperlink" Target="mailto:lacosdefamiliaresidencial2020@gmail.com" TargetMode="External"/><Relationship Id="rId860" Type="http://schemas.openxmlformats.org/officeDocument/2006/relationships/hyperlink" Target="http://www.grupopacini.com.br/" TargetMode="External"/><Relationship Id="rId958" Type="http://schemas.openxmlformats.org/officeDocument/2006/relationships/hyperlink" Target="mailto:oram.projetos@gmail.com" TargetMode="External"/><Relationship Id="rId1143" Type="http://schemas.openxmlformats.org/officeDocument/2006/relationships/hyperlink" Target="mailto:centrosocialprimavera@gmail.com" TargetMode="External"/><Relationship Id="rId1588" Type="http://schemas.openxmlformats.org/officeDocument/2006/relationships/hyperlink" Target="http://www.abecal.org.br/" TargetMode="External"/><Relationship Id="rId1795" Type="http://schemas.openxmlformats.org/officeDocument/2006/relationships/hyperlink" Target="mailto:aba.bellaatitude@gmail.com" TargetMode="External"/><Relationship Id="rId87" Type="http://schemas.openxmlformats.org/officeDocument/2006/relationships/hyperlink" Target="http://www.envelhesersenior.com.br/" TargetMode="External"/><Relationship Id="rId513" Type="http://schemas.openxmlformats.org/officeDocument/2006/relationships/hyperlink" Target="mailto:administrativo@carinonni.com.br" TargetMode="External"/><Relationship Id="rId720" Type="http://schemas.openxmlformats.org/officeDocument/2006/relationships/hyperlink" Target="http://www.damasdacaridade.org.br/" TargetMode="External"/><Relationship Id="rId818" Type="http://schemas.openxmlformats.org/officeDocument/2006/relationships/hyperlink" Target="http://www.hotmail.com/" TargetMode="External"/><Relationship Id="rId1350" Type="http://schemas.openxmlformats.org/officeDocument/2006/relationships/hyperlink" Target="mailto:moca.sede@uol.com.br" TargetMode="External"/><Relationship Id="rId1448" Type="http://schemas.openxmlformats.org/officeDocument/2006/relationships/hyperlink" Target="mailto:unibes@unibes.org.br" TargetMode="External"/><Relationship Id="rId1655" Type="http://schemas.openxmlformats.org/officeDocument/2006/relationships/hyperlink" Target="mailto:residenciallimaegoncalves@gmail.com" TargetMode="External"/><Relationship Id="rId1003" Type="http://schemas.openxmlformats.org/officeDocument/2006/relationships/hyperlink" Target="http://www.casaderepousovida.com.br/" TargetMode="External"/><Relationship Id="rId1210" Type="http://schemas.openxmlformats.org/officeDocument/2006/relationships/hyperlink" Target="mailto:hotelzinhoidosos@hotmail.com" TargetMode="External"/><Relationship Id="rId1308" Type="http://schemas.openxmlformats.org/officeDocument/2006/relationships/hyperlink" Target="mailto:isabela_bordin@hotmail.com" TargetMode="External"/><Relationship Id="rId1862" Type="http://schemas.openxmlformats.org/officeDocument/2006/relationships/hyperlink" Target="http://www.amoradadospassaros.com/" TargetMode="External"/><Relationship Id="rId1515" Type="http://schemas.openxmlformats.org/officeDocument/2006/relationships/hyperlink" Target="mailto:legaliza&#231;&#227;o@grupopacini.com.br" TargetMode="External"/><Relationship Id="rId1722" Type="http://schemas.openxmlformats.org/officeDocument/2006/relationships/hyperlink" Target="http://www.associacaovemser.org.br/" TargetMode="External"/><Relationship Id="rId14" Type="http://schemas.openxmlformats.org/officeDocument/2006/relationships/hyperlink" Target="http://www.bunkyo.org.br/" TargetMode="External"/><Relationship Id="rId163" Type="http://schemas.openxmlformats.org/officeDocument/2006/relationships/hyperlink" Target="http://www.hcor.com.br/" TargetMode="External"/><Relationship Id="rId370" Type="http://schemas.openxmlformats.org/officeDocument/2006/relationships/hyperlink" Target="mailto:jubonsaver@yahoo.com.br" TargetMode="External"/><Relationship Id="rId230" Type="http://schemas.openxmlformats.org/officeDocument/2006/relationships/hyperlink" Target="mailto:everton@grupopacini.com.br" TargetMode="External"/><Relationship Id="rId468" Type="http://schemas.openxmlformats.org/officeDocument/2006/relationships/hyperlink" Target="mailto:contato@baliresidencial.com.br" TargetMode="External"/><Relationship Id="rId675" Type="http://schemas.openxmlformats.org/officeDocument/2006/relationships/hyperlink" Target="http://www.gmail.com/" TargetMode="External"/><Relationship Id="rId882" Type="http://schemas.openxmlformats.org/officeDocument/2006/relationships/hyperlink" Target="mailto:marcelo@contabilidademcl.com.br" TargetMode="External"/><Relationship Id="rId1098" Type="http://schemas.openxmlformats.org/officeDocument/2006/relationships/hyperlink" Target="mailto:juridico@ligasolidaria.org.br" TargetMode="External"/><Relationship Id="rId328" Type="http://schemas.openxmlformats.org/officeDocument/2006/relationships/hyperlink" Target="http://www.casadavilamariana.com.br/" TargetMode="External"/><Relationship Id="rId535" Type="http://schemas.openxmlformats.org/officeDocument/2006/relationships/hyperlink" Target="mailto:ncitiadirce@acolmeia.org.br" TargetMode="External"/><Relationship Id="rId742" Type="http://schemas.openxmlformats.org/officeDocument/2006/relationships/hyperlink" Target="http://www.casaderepousototalcare.com.br/" TargetMode="External"/><Relationship Id="rId1165" Type="http://schemas.openxmlformats.org/officeDocument/2006/relationships/hyperlink" Target="mailto:provedoria@provedoria.org.br" TargetMode="External"/><Relationship Id="rId1372" Type="http://schemas.openxmlformats.org/officeDocument/2006/relationships/hyperlink" Target="mailto:lidianebianca@hotmail.com" TargetMode="External"/><Relationship Id="rId602" Type="http://schemas.openxmlformats.org/officeDocument/2006/relationships/hyperlink" Target="http://www.levimed.com.br/" TargetMode="External"/><Relationship Id="rId1025" Type="http://schemas.openxmlformats.org/officeDocument/2006/relationships/hyperlink" Target="mailto:vilaipe@vilaipe.com.br" TargetMode="External"/><Relationship Id="rId1232" Type="http://schemas.openxmlformats.org/officeDocument/2006/relationships/hyperlink" Target="mailto:centrosocialbomjesus@ig.com.br" TargetMode="External"/><Relationship Id="rId1677" Type="http://schemas.openxmlformats.org/officeDocument/2006/relationships/hyperlink" Target="http://www.hospitaloswaldocruz.org.br/" TargetMode="External"/><Relationship Id="rId1884" Type="http://schemas.openxmlformats.org/officeDocument/2006/relationships/hyperlink" Target="http://www.cdhep.org.br/" TargetMode="External"/><Relationship Id="rId907" Type="http://schemas.openxmlformats.org/officeDocument/2006/relationships/hyperlink" Target="http://www.intitutokapok.org.br/" TargetMode="External"/><Relationship Id="rId1537" Type="http://schemas.openxmlformats.org/officeDocument/2006/relationships/hyperlink" Target="http://www.oscmoca.com.br/" TargetMode="External"/><Relationship Id="rId1744" Type="http://schemas.openxmlformats.org/officeDocument/2006/relationships/hyperlink" Target="mailto:sefras@sefras.org.br" TargetMode="External"/><Relationship Id="rId36" Type="http://schemas.openxmlformats.org/officeDocument/2006/relationships/hyperlink" Target="http://www.casaderepousobemmecare.com.br/" TargetMode="External"/><Relationship Id="rId1604" Type="http://schemas.openxmlformats.org/officeDocument/2006/relationships/hyperlink" Target="mailto:casadepaulinaresidencial@gmail.com" TargetMode="External"/><Relationship Id="rId185" Type="http://schemas.openxmlformats.org/officeDocument/2006/relationships/hyperlink" Target="http://www.bunkyo.org.br/" TargetMode="External"/><Relationship Id="rId1811" Type="http://schemas.openxmlformats.org/officeDocument/2006/relationships/hyperlink" Target="http://www.gmail.com/" TargetMode="External"/><Relationship Id="rId1909" Type="http://schemas.openxmlformats.org/officeDocument/2006/relationships/hyperlink" Target="mailto:ilpi@ocaminho.org" TargetMode="External"/><Relationship Id="rId392" Type="http://schemas.openxmlformats.org/officeDocument/2006/relationships/hyperlink" Target="mailto:cantareiracasadecuidados@gmail.com" TargetMode="External"/><Relationship Id="rId697" Type="http://schemas.openxmlformats.org/officeDocument/2006/relationships/hyperlink" Target="http://www.gmail.com/" TargetMode="External"/><Relationship Id="rId252" Type="http://schemas.openxmlformats.org/officeDocument/2006/relationships/hyperlink" Target="http://www.avidaebelaresidencial.com.br/" TargetMode="External"/><Relationship Id="rId1187" Type="http://schemas.openxmlformats.org/officeDocument/2006/relationships/hyperlink" Target="mailto:caeicasaverde@santaluciasp.org" TargetMode="External"/><Relationship Id="rId112" Type="http://schemas.openxmlformats.org/officeDocument/2006/relationships/hyperlink" Target="http://www.amorfraternal.com.br/" TargetMode="External"/><Relationship Id="rId557" Type="http://schemas.openxmlformats.org/officeDocument/2006/relationships/hyperlink" Target="mailto:residencialsenioripeamarelo@hotmail.com" TargetMode="External"/><Relationship Id="rId764" Type="http://schemas.openxmlformats.org/officeDocument/2006/relationships/hyperlink" Target="http://www.worldcontabil.com.br/" TargetMode="External"/><Relationship Id="rId971" Type="http://schemas.openxmlformats.org/officeDocument/2006/relationships/hyperlink" Target="http://www.tercadaserra.com.br/" TargetMode="External"/><Relationship Id="rId1394" Type="http://schemas.openxmlformats.org/officeDocument/2006/relationships/hyperlink" Target="mailto:casaderepousoadonai362@gmail.com" TargetMode="External"/><Relationship Id="rId1699" Type="http://schemas.openxmlformats.org/officeDocument/2006/relationships/hyperlink" Target="http://www.abrati.org/" TargetMode="External"/><Relationship Id="rId417" Type="http://schemas.openxmlformats.org/officeDocument/2006/relationships/hyperlink" Target="http://www.larrose.com.br/" TargetMode="External"/><Relationship Id="rId624" Type="http://schemas.openxmlformats.org/officeDocument/2006/relationships/hyperlink" Target="http://www.hospitalarcasaderepouso.com.br/" TargetMode="External"/><Relationship Id="rId831" Type="http://schemas.openxmlformats.org/officeDocument/2006/relationships/hyperlink" Target="http://www.yahoo.com.br/" TargetMode="External"/><Relationship Id="rId1047" Type="http://schemas.openxmlformats.org/officeDocument/2006/relationships/hyperlink" Target="mailto:alexandremainardi@gmail.com" TargetMode="External"/><Relationship Id="rId1254" Type="http://schemas.openxmlformats.org/officeDocument/2006/relationships/hyperlink" Target="mailto:contato@rosacharesidencial.com.br" TargetMode="External"/><Relationship Id="rId1461" Type="http://schemas.openxmlformats.org/officeDocument/2006/relationships/hyperlink" Target="mailto:flalanzelotti@gmail.com" TargetMode="External"/><Relationship Id="rId929" Type="http://schemas.openxmlformats.org/officeDocument/2006/relationships/hyperlink" Target="http://www.casarecantopaulista.com.br/" TargetMode="External"/><Relationship Id="rId1114" Type="http://schemas.openxmlformats.org/officeDocument/2006/relationships/hyperlink" Target="mailto:abigail@casadavilamariana.com.br" TargetMode="External"/><Relationship Id="rId1321" Type="http://schemas.openxmlformats.org/officeDocument/2006/relationships/hyperlink" Target="mailto:vivendasantafe@gmail.com" TargetMode="External"/><Relationship Id="rId1559" Type="http://schemas.openxmlformats.org/officeDocument/2006/relationships/hyperlink" Target="mailto:atendimento@larpedrobalazs.com.br" TargetMode="External"/><Relationship Id="rId1766" Type="http://schemas.openxmlformats.org/officeDocument/2006/relationships/hyperlink" Target="http://www.oram.org.br/" TargetMode="External"/><Relationship Id="rId58" Type="http://schemas.openxmlformats.org/officeDocument/2006/relationships/hyperlink" Target="https://asvp.org.br/" TargetMode="External"/><Relationship Id="rId1419" Type="http://schemas.openxmlformats.org/officeDocument/2006/relationships/hyperlink" Target="mailto:atendimento@maissaudemi.com.br" TargetMode="External"/><Relationship Id="rId1626" Type="http://schemas.openxmlformats.org/officeDocument/2006/relationships/hyperlink" Target="http://www.institutorino.org.br/" TargetMode="External"/><Relationship Id="rId1833" Type="http://schemas.openxmlformats.org/officeDocument/2006/relationships/hyperlink" Target="mailto:carla@paese.org.br" TargetMode="External"/><Relationship Id="rId1900" Type="http://schemas.openxmlformats.org/officeDocument/2006/relationships/hyperlink" Target="mailto:contato@dpaduaresidencial.com.br" TargetMode="External"/><Relationship Id="rId274" Type="http://schemas.openxmlformats.org/officeDocument/2006/relationships/hyperlink" Target="mailto:fjosenilda@hotmail.com" TargetMode="External"/><Relationship Id="rId481" Type="http://schemas.openxmlformats.org/officeDocument/2006/relationships/hyperlink" Target="http://www.bellasenior.com.br/" TargetMode="External"/><Relationship Id="rId134" Type="http://schemas.openxmlformats.org/officeDocument/2006/relationships/hyperlink" Target="http://www.casaderepousosaojose.com.br/" TargetMode="External"/><Relationship Id="rId579" Type="http://schemas.openxmlformats.org/officeDocument/2006/relationships/hyperlink" Target="http://www.laripiranga.com.br/" TargetMode="External"/><Relationship Id="rId786" Type="http://schemas.openxmlformats.org/officeDocument/2006/relationships/hyperlink" Target="http://www.gmail.com/" TargetMode="External"/><Relationship Id="rId993" Type="http://schemas.openxmlformats.org/officeDocument/2006/relationships/hyperlink" Target="mailto:presidencia@nixdiversidade.org" TargetMode="External"/><Relationship Id="rId341" Type="http://schemas.openxmlformats.org/officeDocument/2006/relationships/hyperlink" Target="http://www.achiropita.org.br/" TargetMode="External"/><Relationship Id="rId439" Type="http://schemas.openxmlformats.org/officeDocument/2006/relationships/hyperlink" Target="http://www.residencialcidadevargas.com.br/" TargetMode="External"/><Relationship Id="rId646" Type="http://schemas.openxmlformats.org/officeDocument/2006/relationships/hyperlink" Target="http://www.crrvitorial.com.br/" TargetMode="External"/><Relationship Id="rId1069" Type="http://schemas.openxmlformats.org/officeDocument/2006/relationships/hyperlink" Target="mailto:everton@grupopacini.com.br" TargetMode="External"/><Relationship Id="rId1276" Type="http://schemas.openxmlformats.org/officeDocument/2006/relationships/hyperlink" Target="mailto:evaldo@worldcontabil.com.br" TargetMode="External"/><Relationship Id="rId1483" Type="http://schemas.openxmlformats.org/officeDocument/2006/relationships/hyperlink" Target="mailto:rsgeriatricoolivia@gmail.com" TargetMode="External"/><Relationship Id="rId201" Type="http://schemas.openxmlformats.org/officeDocument/2006/relationships/hyperlink" Target="mailto:beta.s.j.007@gmail.com" TargetMode="External"/><Relationship Id="rId506" Type="http://schemas.openxmlformats.org/officeDocument/2006/relationships/hyperlink" Target="http://www.domboscoitaquera.org.br/" TargetMode="External"/><Relationship Id="rId853" Type="http://schemas.openxmlformats.org/officeDocument/2006/relationships/hyperlink" Target="http://www.iccsp.org.br/" TargetMode="External"/><Relationship Id="rId1136" Type="http://schemas.openxmlformats.org/officeDocument/2006/relationships/hyperlink" Target="mailto:santamonice2018@gmail.com" TargetMode="External"/><Relationship Id="rId1690" Type="http://schemas.openxmlformats.org/officeDocument/2006/relationships/hyperlink" Target="mailto:filhosefilhasdorcas@gmail.com" TargetMode="External"/><Relationship Id="rId1788" Type="http://schemas.openxmlformats.org/officeDocument/2006/relationships/hyperlink" Target="mailto:residencialnitanair@madanisaude.com.br" TargetMode="External"/><Relationship Id="rId713" Type="http://schemas.openxmlformats.org/officeDocument/2006/relationships/hyperlink" Target="http://www.hotmail.com/" TargetMode="External"/><Relationship Id="rId920" Type="http://schemas.openxmlformats.org/officeDocument/2006/relationships/hyperlink" Target="mailto:jaferlourenco@gmail.com" TargetMode="External"/><Relationship Id="rId1343" Type="http://schemas.openxmlformats.org/officeDocument/2006/relationships/hyperlink" Target="mailto:sfelixprado@gmail.com" TargetMode="External"/><Relationship Id="rId1550" Type="http://schemas.openxmlformats.org/officeDocument/2006/relationships/hyperlink" Target="mailto:biancarocco@gmail.com" TargetMode="External"/><Relationship Id="rId1648" Type="http://schemas.openxmlformats.org/officeDocument/2006/relationships/hyperlink" Target="mailto:aconchegocasaidoso@gmail.com" TargetMode="External"/><Relationship Id="rId1203" Type="http://schemas.openxmlformats.org/officeDocument/2006/relationships/hyperlink" Target="mailto:residencialcolinassaofrancisco@gmail.com" TargetMode="External"/><Relationship Id="rId1410" Type="http://schemas.openxmlformats.org/officeDocument/2006/relationships/hyperlink" Target="http://www.casaderepousodasazaleias.com.br/" TargetMode="External"/><Relationship Id="rId1508" Type="http://schemas.openxmlformats.org/officeDocument/2006/relationships/hyperlink" Target="mailto:institutonua@hotmail.com" TargetMode="External"/><Relationship Id="rId1855" Type="http://schemas.openxmlformats.org/officeDocument/2006/relationships/hyperlink" Target="mailto:fundacaosaopaulo@fundasp.org.br" TargetMode="External"/><Relationship Id="rId1715" Type="http://schemas.openxmlformats.org/officeDocument/2006/relationships/hyperlink" Target="http://www.cantinhodafamilia.org/" TargetMode="External"/><Relationship Id="rId1922" Type="http://schemas.openxmlformats.org/officeDocument/2006/relationships/hyperlink" Target="http://www.oscesperanca.org.br/" TargetMode="External"/><Relationship Id="rId296" Type="http://schemas.openxmlformats.org/officeDocument/2006/relationships/hyperlink" Target="http://www.casaderepousoelite.com.br/" TargetMode="External"/><Relationship Id="rId156" Type="http://schemas.openxmlformats.org/officeDocument/2006/relationships/hyperlink" Target="http://www.ondinalobo.org.br/" TargetMode="External"/><Relationship Id="rId363" Type="http://schemas.openxmlformats.org/officeDocument/2006/relationships/hyperlink" Target="http://www.casaderepousommpirituba.com.br/" TargetMode="External"/><Relationship Id="rId570" Type="http://schemas.openxmlformats.org/officeDocument/2006/relationships/hyperlink" Target="http://www.casaderepousovidaplena.com.br/" TargetMode="External"/><Relationship Id="rId223" Type="http://schemas.openxmlformats.org/officeDocument/2006/relationships/hyperlink" Target="http://www.fundasp.org.br/" TargetMode="External"/><Relationship Id="rId430" Type="http://schemas.openxmlformats.org/officeDocument/2006/relationships/hyperlink" Target="http://www.residencialklabin.com.br/" TargetMode="External"/><Relationship Id="rId668" Type="http://schemas.openxmlformats.org/officeDocument/2006/relationships/hyperlink" Target="http://www.apoiocr.com.br/" TargetMode="External"/><Relationship Id="rId875" Type="http://schemas.openxmlformats.org/officeDocument/2006/relationships/hyperlink" Target="http://www.grupopacini.com.br/" TargetMode="External"/><Relationship Id="rId1060" Type="http://schemas.openxmlformats.org/officeDocument/2006/relationships/hyperlink" Target="mailto:mlspaiva@terra.com.br" TargetMode="External"/><Relationship Id="rId1298" Type="http://schemas.openxmlformats.org/officeDocument/2006/relationships/hyperlink" Target="mailto:padremoreira@sonhareacontecer.org.br" TargetMode="External"/><Relationship Id="rId528" Type="http://schemas.openxmlformats.org/officeDocument/2006/relationships/hyperlink" Target="http://www.villaggio.com.br/" TargetMode="External"/><Relationship Id="rId735" Type="http://schemas.openxmlformats.org/officeDocument/2006/relationships/hyperlink" Target="http://www.hotmail.com/" TargetMode="External"/><Relationship Id="rId942" Type="http://schemas.openxmlformats.org/officeDocument/2006/relationships/hyperlink" Target="http://www.oscsamaritano.org.br/" TargetMode="External"/><Relationship Id="rId1158" Type="http://schemas.openxmlformats.org/officeDocument/2006/relationships/hyperlink" Target="mailto:pinheiros@tercadaserra.com.br" TargetMode="External"/><Relationship Id="rId1365" Type="http://schemas.openxmlformats.org/officeDocument/2006/relationships/hyperlink" Target="mailto:moradadoslirios@gmail.com" TargetMode="External"/><Relationship Id="rId1572" Type="http://schemas.openxmlformats.org/officeDocument/2006/relationships/hyperlink" Target="mailto:rafael.matsunaga@tercadaserra.com.br" TargetMode="External"/><Relationship Id="rId1018" Type="http://schemas.openxmlformats.org/officeDocument/2006/relationships/hyperlink" Target="mailto:betemarina@gmail.com" TargetMode="External"/><Relationship Id="rId1225" Type="http://schemas.openxmlformats.org/officeDocument/2006/relationships/hyperlink" Target="mailto:uniaopopmulheres@hotmail.com" TargetMode="External"/><Relationship Id="rId1432" Type="http://schemas.openxmlformats.org/officeDocument/2006/relationships/hyperlink" Target="mailto:daniel@residencialveneza.com.br" TargetMode="External"/><Relationship Id="rId1877" Type="http://schemas.openxmlformats.org/officeDocument/2006/relationships/hyperlink" Target="http://www.casaderepousonewlife.com.br/" TargetMode="External"/><Relationship Id="rId71" Type="http://schemas.openxmlformats.org/officeDocument/2006/relationships/hyperlink" Target="http://www.residencialtamandare.com.br/" TargetMode="External"/><Relationship Id="rId802" Type="http://schemas.openxmlformats.org/officeDocument/2006/relationships/hyperlink" Target="http://www.gmail.com/" TargetMode="External"/><Relationship Id="rId1737" Type="http://schemas.openxmlformats.org/officeDocument/2006/relationships/hyperlink" Target="mailto:rosa.juliet@terra.com.br" TargetMode="External"/><Relationship Id="rId1944" Type="http://schemas.openxmlformats.org/officeDocument/2006/relationships/printerSettings" Target="../printerSettings/printerSettings1.bin"/><Relationship Id="rId29" Type="http://schemas.openxmlformats.org/officeDocument/2006/relationships/hyperlink" Target="http://www.larvicentino.org.br/" TargetMode="External"/><Relationship Id="rId178" Type="http://schemas.openxmlformats.org/officeDocument/2006/relationships/hyperlink" Target="mailto:jardins@tercadaserra.com.br" TargetMode="External"/><Relationship Id="rId1804" Type="http://schemas.openxmlformats.org/officeDocument/2006/relationships/hyperlink" Target="mailto:ivm@ivm.org.br" TargetMode="External"/><Relationship Id="rId385" Type="http://schemas.openxmlformats.org/officeDocument/2006/relationships/hyperlink" Target="http://www.aeb-brasil.org.br/" TargetMode="External"/><Relationship Id="rId592" Type="http://schemas.openxmlformats.org/officeDocument/2006/relationships/hyperlink" Target="http://www.creser.org.br/" TargetMode="External"/><Relationship Id="rId245" Type="http://schemas.openxmlformats.org/officeDocument/2006/relationships/hyperlink" Target="http://www.residencialpremiumsenior.com.br/" TargetMode="External"/><Relationship Id="rId452" Type="http://schemas.openxmlformats.org/officeDocument/2006/relationships/hyperlink" Target="http://www.sobei.org.br/" TargetMode="External"/><Relationship Id="rId897" Type="http://schemas.openxmlformats.org/officeDocument/2006/relationships/hyperlink" Target="mailto:casaderepousovideira@gmail.com" TargetMode="External"/><Relationship Id="rId1082" Type="http://schemas.openxmlformats.org/officeDocument/2006/relationships/hyperlink" Target="mailto:secretaria@velhoamigo.org.br" TargetMode="External"/><Relationship Id="rId105" Type="http://schemas.openxmlformats.org/officeDocument/2006/relationships/hyperlink" Target="http://www.centrosocialbomjesus.org.br/" TargetMode="External"/><Relationship Id="rId312" Type="http://schemas.openxmlformats.org/officeDocument/2006/relationships/hyperlink" Target="http://www.residencialmaximo.com.br/" TargetMode="External"/><Relationship Id="rId757" Type="http://schemas.openxmlformats.org/officeDocument/2006/relationships/hyperlink" Target="http://www.globo.com/" TargetMode="External"/><Relationship Id="rId964" Type="http://schemas.openxmlformats.org/officeDocument/2006/relationships/hyperlink" Target="mailto:contato@residencialmardeolivas.com.br" TargetMode="External"/><Relationship Id="rId1387" Type="http://schemas.openxmlformats.org/officeDocument/2006/relationships/hyperlink" Target="mailto:centrovidaadm@gmail.com" TargetMode="External"/><Relationship Id="rId1594" Type="http://schemas.openxmlformats.org/officeDocument/2006/relationships/hyperlink" Target="http://www.apoio-sp.org.br/" TargetMode="External"/><Relationship Id="rId93" Type="http://schemas.openxmlformats.org/officeDocument/2006/relationships/hyperlink" Target="mailto:isabela@fundacaobritanica.org.br" TargetMode="External"/><Relationship Id="rId617" Type="http://schemas.openxmlformats.org/officeDocument/2006/relationships/hyperlink" Target="http://www.hotmail.com/" TargetMode="External"/><Relationship Id="rId824" Type="http://schemas.openxmlformats.org/officeDocument/2006/relationships/hyperlink" Target="http://www.gmail.com/" TargetMode="External"/><Relationship Id="rId1247" Type="http://schemas.openxmlformats.org/officeDocument/2006/relationships/hyperlink" Target="mailto:sandra@fundacaobritanica.org.br" TargetMode="External"/><Relationship Id="rId1454" Type="http://schemas.openxmlformats.org/officeDocument/2006/relationships/hyperlink" Target="mailto:ugolini@camppinheiros.org.br" TargetMode="External"/><Relationship Id="rId1661" Type="http://schemas.openxmlformats.org/officeDocument/2006/relationships/hyperlink" Target="mailto:contato@residencialvida.com.br" TargetMode="External"/><Relationship Id="rId1899" Type="http://schemas.openxmlformats.org/officeDocument/2006/relationships/hyperlink" Target="mailto:institutohandmaria@gmail.com" TargetMode="External"/><Relationship Id="rId1107" Type="http://schemas.openxmlformats.org/officeDocument/2006/relationships/hyperlink" Target="mailto:residencialrealidoso@gmail.com" TargetMode="External"/><Relationship Id="rId1314" Type="http://schemas.openxmlformats.org/officeDocument/2006/relationships/hyperlink" Target="mailto:joycekoch@outlook.com.br" TargetMode="External"/><Relationship Id="rId1521" Type="http://schemas.openxmlformats.org/officeDocument/2006/relationships/hyperlink" Target="mailto:aamec10@yahoo.com.br" TargetMode="External"/><Relationship Id="rId1759" Type="http://schemas.openxmlformats.org/officeDocument/2006/relationships/hyperlink" Target="http://www.tercadaserra.com.br/" TargetMode="External"/><Relationship Id="rId1619" Type="http://schemas.openxmlformats.org/officeDocument/2006/relationships/hyperlink" Target="mailto:contato@casamariaflor.com.br" TargetMode="External"/><Relationship Id="rId1826" Type="http://schemas.openxmlformats.org/officeDocument/2006/relationships/hyperlink" Target="http://www.casadacriancasantoamaro.org.br/" TargetMode="External"/><Relationship Id="rId20" Type="http://schemas.openxmlformats.org/officeDocument/2006/relationships/hyperlink" Target="http://www.ruivailp.com/" TargetMode="External"/><Relationship Id="rId267" Type="http://schemas.openxmlformats.org/officeDocument/2006/relationships/hyperlink" Target="http://www.chacaramandaqui.com.br/" TargetMode="External"/><Relationship Id="rId474" Type="http://schemas.openxmlformats.org/officeDocument/2006/relationships/hyperlink" Target="http://www.paraisodospais.com.br/" TargetMode="External"/><Relationship Id="rId127" Type="http://schemas.openxmlformats.org/officeDocument/2006/relationships/hyperlink" Target="http://www.uniaopopmulheres.wordpress.com/" TargetMode="External"/><Relationship Id="rId681" Type="http://schemas.openxmlformats.org/officeDocument/2006/relationships/hyperlink" Target="http://www.hotmail.com/" TargetMode="External"/><Relationship Id="rId779" Type="http://schemas.openxmlformats.org/officeDocument/2006/relationships/hyperlink" Target="http://www.yahoo.com.br/" TargetMode="External"/><Relationship Id="rId986" Type="http://schemas.openxmlformats.org/officeDocument/2006/relationships/hyperlink" Target="https://www.gritocontinental.org/" TargetMode="External"/><Relationship Id="rId334" Type="http://schemas.openxmlformats.org/officeDocument/2006/relationships/hyperlink" Target="mailto:institutodomdiego@gmail.com" TargetMode="External"/><Relationship Id="rId541" Type="http://schemas.openxmlformats.org/officeDocument/2006/relationships/hyperlink" Target="mailto:narifabina1978@gmail.com" TargetMode="External"/><Relationship Id="rId639" Type="http://schemas.openxmlformats.org/officeDocument/2006/relationships/hyperlink" Target="http://www.gmail.com/" TargetMode="External"/><Relationship Id="rId1171" Type="http://schemas.openxmlformats.org/officeDocument/2006/relationships/hyperlink" Target="mailto:contato@residencialaurora.org" TargetMode="External"/><Relationship Id="rId1269" Type="http://schemas.openxmlformats.org/officeDocument/2006/relationships/hyperlink" Target="mailto:inh.matriz@gmail.com" TargetMode="External"/><Relationship Id="rId1476" Type="http://schemas.openxmlformats.org/officeDocument/2006/relationships/hyperlink" Target="http://www.vilabrasilis.com.br/" TargetMode="External"/><Relationship Id="rId401" Type="http://schemas.openxmlformats.org/officeDocument/2006/relationships/hyperlink" Target="http://www.mentalsenior.com/" TargetMode="External"/><Relationship Id="rId846" Type="http://schemas.openxmlformats.org/officeDocument/2006/relationships/hyperlink" Target="http://www.gmail.com/" TargetMode="External"/><Relationship Id="rId1031" Type="http://schemas.openxmlformats.org/officeDocument/2006/relationships/hyperlink" Target="https://www.google.com/search?q=CASA+DE+REPOUSO+VIVER+BEM&amp;rlz=1C1GCEU_pt-BRBR1117BR1117&amp;oq=CASA+DE+REPOUSO+VIVER+BEM&amp;gs_lcrp=EgZjaHJvbWUyCQgAEEUYORiABDIHCAEQABiABDINCAIQLhivARjHARiABDIQCAMQLhivARjHARiABBiOBTINCAQQLhivARjHARiABDIHCAUQABiABDIICAYQABgWGB4yCAgHEAAYFhgeMggICBAAGBYYHjIICAkQABgWGB6oAgCwAgA&amp;sourceid=chrome&amp;ie=UTF-8" TargetMode="External"/><Relationship Id="rId1129" Type="http://schemas.openxmlformats.org/officeDocument/2006/relationships/hyperlink" Target="mailto:residencialelitek@gmail.com" TargetMode="External"/><Relationship Id="rId1683" Type="http://schemas.openxmlformats.org/officeDocument/2006/relationships/hyperlink" Target="mailto:institutoatuarsp@gmail.com" TargetMode="External"/><Relationship Id="rId1890" Type="http://schemas.openxmlformats.org/officeDocument/2006/relationships/hyperlink" Target="mailto:carlosmendes1404@hotmail.com" TargetMode="External"/><Relationship Id="rId706" Type="http://schemas.openxmlformats.org/officeDocument/2006/relationships/hyperlink" Target="http://www.yahoo.com.br/" TargetMode="External"/><Relationship Id="rId913" Type="http://schemas.openxmlformats.org/officeDocument/2006/relationships/hyperlink" Target="http://www.casaderepousoananery;com.br/" TargetMode="External"/><Relationship Id="rId1336" Type="http://schemas.openxmlformats.org/officeDocument/2006/relationships/hyperlink" Target="mailto:contato@institutofelicidade.org.br" TargetMode="External"/><Relationship Id="rId1543" Type="http://schemas.openxmlformats.org/officeDocument/2006/relationships/hyperlink" Target="http://www.abrati.org/" TargetMode="External"/><Relationship Id="rId1750" Type="http://schemas.openxmlformats.org/officeDocument/2006/relationships/hyperlink" Target="http://www.dpaduaresidencial.com.br/" TargetMode="External"/><Relationship Id="rId42" Type="http://schemas.openxmlformats.org/officeDocument/2006/relationships/hyperlink" Target="http://www.ccsj.org.br/" TargetMode="External"/><Relationship Id="rId1403" Type="http://schemas.openxmlformats.org/officeDocument/2006/relationships/hyperlink" Target="http://www.bemviverparaidosos.com.br/" TargetMode="External"/><Relationship Id="rId1610" Type="http://schemas.openxmlformats.org/officeDocument/2006/relationships/hyperlink" Target="mailto:marymagali@hotmail.com" TargetMode="External"/><Relationship Id="rId1848" Type="http://schemas.openxmlformats.org/officeDocument/2006/relationships/hyperlink" Target="mailto:villadeifiorimorumbi@gmail.com" TargetMode="External"/><Relationship Id="rId191" Type="http://schemas.openxmlformats.org/officeDocument/2006/relationships/hyperlink" Target="http://www.alvesdemorais.com.br/" TargetMode="External"/><Relationship Id="rId1708" Type="http://schemas.openxmlformats.org/officeDocument/2006/relationships/hyperlink" Target="mailto:lardamelhoridade.adm@gmail.com" TargetMode="External"/><Relationship Id="rId1915" Type="http://schemas.openxmlformats.org/officeDocument/2006/relationships/hyperlink" Target="mailto:ccacebech@gmail.com" TargetMode="External"/><Relationship Id="rId289" Type="http://schemas.openxmlformats.org/officeDocument/2006/relationships/hyperlink" Target="mailto:residencialsma0@gmail.com" TargetMode="External"/><Relationship Id="rId496" Type="http://schemas.openxmlformats.org/officeDocument/2006/relationships/hyperlink" Target="http://www.clinicacherubins.com.br/" TargetMode="External"/><Relationship Id="rId149" Type="http://schemas.openxmlformats.org/officeDocument/2006/relationships/hyperlink" Target="http://www.recantooswalito.com.br/" TargetMode="External"/><Relationship Id="rId356" Type="http://schemas.openxmlformats.org/officeDocument/2006/relationships/hyperlink" Target="mailto:meire_enfermagem@hotmail.com" TargetMode="External"/><Relationship Id="rId563" Type="http://schemas.openxmlformats.org/officeDocument/2006/relationships/hyperlink" Target="mailto:thais.certain@asatrasnforma.org.br" TargetMode="External"/><Relationship Id="rId770" Type="http://schemas.openxmlformats.org/officeDocument/2006/relationships/hyperlink" Target="http://www.gmail.com/" TargetMode="External"/><Relationship Id="rId1193" Type="http://schemas.openxmlformats.org/officeDocument/2006/relationships/hyperlink" Target="mailto:casaderepousovocoralia@gmail.com" TargetMode="External"/><Relationship Id="rId216" Type="http://schemas.openxmlformats.org/officeDocument/2006/relationships/hyperlink" Target="mailto:ricardo@cogitaresenior.com.br" TargetMode="External"/><Relationship Id="rId423" Type="http://schemas.openxmlformats.org/officeDocument/2006/relationships/hyperlink" Target="http://www.casaderepousoconvivencia.com.br/" TargetMode="External"/><Relationship Id="rId868" Type="http://schemas.openxmlformats.org/officeDocument/2006/relationships/hyperlink" Target="http://www.tercadaserra.com.br/" TargetMode="External"/><Relationship Id="rId1053" Type="http://schemas.openxmlformats.org/officeDocument/2006/relationships/hyperlink" Target="mailto:ilpicasaverdealps@gmail.com" TargetMode="External"/><Relationship Id="rId1260" Type="http://schemas.openxmlformats.org/officeDocument/2006/relationships/hyperlink" Target="mailto:tatuape@tercadaserra.com.br" TargetMode="External"/><Relationship Id="rId1498" Type="http://schemas.openxmlformats.org/officeDocument/2006/relationships/hyperlink" Target="mailto:samuelazevedo.cg@gmail.com" TargetMode="External"/><Relationship Id="rId1719" Type="http://schemas.openxmlformats.org/officeDocument/2006/relationships/hyperlink" Target="http://www.fundacaohanseniase.org.br/" TargetMode="External"/><Relationship Id="rId1926" Type="http://schemas.openxmlformats.org/officeDocument/2006/relationships/hyperlink" Target="mailto:tecnicoccaprogresso@gmail.com" TargetMode="External"/><Relationship Id="rId630" Type="http://schemas.openxmlformats.org/officeDocument/2006/relationships/hyperlink" Target="http://www.outlook.com/" TargetMode="External"/><Relationship Id="rId728" Type="http://schemas.openxmlformats.org/officeDocument/2006/relationships/hyperlink" Target="http://www.moradadarealeza.com.br/" TargetMode="External"/><Relationship Id="rId935" Type="http://schemas.openxmlformats.org/officeDocument/2006/relationships/hyperlink" Target="mailto:associacaoquimicos@gmail.com" TargetMode="External"/><Relationship Id="rId1358" Type="http://schemas.openxmlformats.org/officeDocument/2006/relationships/hyperlink" Target="mailto:crsantaclara@uol.com.br" TargetMode="External"/><Relationship Id="rId1565" Type="http://schemas.openxmlformats.org/officeDocument/2006/relationships/hyperlink" Target="http://www.institutomacedonia.com.br/" TargetMode="External"/><Relationship Id="rId1772" Type="http://schemas.openxmlformats.org/officeDocument/2006/relationships/hyperlink" Target="mailto:flordeliscangalha112@gmail.com" TargetMode="External"/><Relationship Id="rId64" Type="http://schemas.openxmlformats.org/officeDocument/2006/relationships/hyperlink" Target="http://www.meninodeus.org/" TargetMode="External"/><Relationship Id="rId367" Type="http://schemas.openxmlformats.org/officeDocument/2006/relationships/hyperlink" Target="mailto:taniasassone@adv.oabsp.org.br" TargetMode="External"/><Relationship Id="rId574" Type="http://schemas.openxmlformats.org/officeDocument/2006/relationships/hyperlink" Target="http://www.reciclazaro.org.br/" TargetMode="External"/><Relationship Id="rId1120" Type="http://schemas.openxmlformats.org/officeDocument/2006/relationships/hyperlink" Target="mailto:funsai@funsai.org.br" TargetMode="External"/><Relationship Id="rId1218" Type="http://schemas.openxmlformats.org/officeDocument/2006/relationships/hyperlink" Target="mailto:resilunamouras@gmail.com" TargetMode="External"/><Relationship Id="rId1425" Type="http://schemas.openxmlformats.org/officeDocument/2006/relationships/hyperlink" Target="http://www.residencialvioleta.com.br/" TargetMode="External"/><Relationship Id="rId227" Type="http://schemas.openxmlformats.org/officeDocument/2006/relationships/hyperlink" Target="http://www.unicasenior.com.br/" TargetMode="External"/><Relationship Id="rId781" Type="http://schemas.openxmlformats.org/officeDocument/2006/relationships/hyperlink" Target="http://www.bol.com.br/" TargetMode="External"/><Relationship Id="rId879" Type="http://schemas.openxmlformats.org/officeDocument/2006/relationships/hyperlink" Target="mailto:casaderepouso.arcoiris2023@gmail.com" TargetMode="External"/><Relationship Id="rId1632" Type="http://schemas.openxmlformats.org/officeDocument/2006/relationships/hyperlink" Target="mailto:qualidade@casavita.com.br" TargetMode="External"/><Relationship Id="rId1937" Type="http://schemas.openxmlformats.org/officeDocument/2006/relationships/hyperlink" Target="http://www.oscesperanca.org.br/" TargetMode="External"/><Relationship Id="rId434" Type="http://schemas.openxmlformats.org/officeDocument/2006/relationships/hyperlink" Target="mailto:andreaamaral1131@gmail.com" TargetMode="External"/><Relationship Id="rId641" Type="http://schemas.openxmlformats.org/officeDocument/2006/relationships/hyperlink" Target="http://www.moradadosolresidencial.com.br/" TargetMode="External"/><Relationship Id="rId739" Type="http://schemas.openxmlformats.org/officeDocument/2006/relationships/hyperlink" Target="http://www.gmail.com/" TargetMode="External"/><Relationship Id="rId1064" Type="http://schemas.openxmlformats.org/officeDocument/2006/relationships/hyperlink" Target="mailto:asbeascrsj@gmail.com" TargetMode="External"/><Relationship Id="rId1271" Type="http://schemas.openxmlformats.org/officeDocument/2006/relationships/hyperlink" Target="mailto:juridico@bslsaude.com.br" TargetMode="External"/><Relationship Id="rId1369" Type="http://schemas.openxmlformats.org/officeDocument/2006/relationships/hyperlink" Target="mailto:adm@residencialqualita.com.br" TargetMode="External"/><Relationship Id="rId1576" Type="http://schemas.openxmlformats.org/officeDocument/2006/relationships/hyperlink" Target="mailto:legalizacao@grupopacini.com.br" TargetMode="External"/><Relationship Id="rId280" Type="http://schemas.openxmlformats.org/officeDocument/2006/relationships/hyperlink" Target="http://www.residencialvovocatarina.com.br/" TargetMode="External"/><Relationship Id="rId501" Type="http://schemas.openxmlformats.org/officeDocument/2006/relationships/hyperlink" Target="mailto:fundacaosaopaulo@fundasp.org.br" TargetMode="External"/><Relationship Id="rId946" Type="http://schemas.openxmlformats.org/officeDocument/2006/relationships/hyperlink" Target="http://www.mestreananias.blogspot.com/" TargetMode="External"/><Relationship Id="rId1131" Type="http://schemas.openxmlformats.org/officeDocument/2006/relationships/hyperlink" Target="mailto:avidaebelaresidencial@gmail.com" TargetMode="External"/><Relationship Id="rId1229" Type="http://schemas.openxmlformats.org/officeDocument/2006/relationships/hyperlink" Target="mailto:moradadosol275@gmail.com" TargetMode="External"/><Relationship Id="rId1783" Type="http://schemas.openxmlformats.org/officeDocument/2006/relationships/hyperlink" Target="mailto:alps.social2001@gmail.com" TargetMode="External"/><Relationship Id="rId75" Type="http://schemas.openxmlformats.org/officeDocument/2006/relationships/hyperlink" Target="http://www.coraresidencial.com.br/" TargetMode="External"/><Relationship Id="rId140" Type="http://schemas.openxmlformats.org/officeDocument/2006/relationships/hyperlink" Target="http://www.jardinshermom.com.br/" TargetMode="External"/><Relationship Id="rId378" Type="http://schemas.openxmlformats.org/officeDocument/2006/relationships/hyperlink" Target="mailto:alanio.2204@gmail.com" TargetMode="External"/><Relationship Id="rId585" Type="http://schemas.openxmlformats.org/officeDocument/2006/relationships/hyperlink" Target="http://www.espacoaberto.org.br/" TargetMode="External"/><Relationship Id="rId792" Type="http://schemas.openxmlformats.org/officeDocument/2006/relationships/hyperlink" Target="http://www.hotmail.com/" TargetMode="External"/><Relationship Id="rId806" Type="http://schemas.openxmlformats.org/officeDocument/2006/relationships/hyperlink" Target="http://www.gmail.com/" TargetMode="External"/><Relationship Id="rId1436" Type="http://schemas.openxmlformats.org/officeDocument/2006/relationships/hyperlink" Target="http://www.adra.org.br/" TargetMode="External"/><Relationship Id="rId1643" Type="http://schemas.openxmlformats.org/officeDocument/2006/relationships/hyperlink" Target="mailto:asbencei@gmail.com" TargetMode="External"/><Relationship Id="rId1850" Type="http://schemas.openxmlformats.org/officeDocument/2006/relationships/hyperlink" Target="mailto:legalizacao@grupopacini.com.br" TargetMode="External"/><Relationship Id="rId6" Type="http://schemas.openxmlformats.org/officeDocument/2006/relationships/hyperlink" Target="http://www.ocirculo.org.br/" TargetMode="External"/><Relationship Id="rId238" Type="http://schemas.openxmlformats.org/officeDocument/2006/relationships/hyperlink" Target="mailto:residencialjoaoemaria@hotmail.com" TargetMode="External"/><Relationship Id="rId445" Type="http://schemas.openxmlformats.org/officeDocument/2006/relationships/hyperlink" Target="mailto:institutoioprev@gmail.com" TargetMode="External"/><Relationship Id="rId652" Type="http://schemas.openxmlformats.org/officeDocument/2006/relationships/hyperlink" Target="http://www.gmail.com/" TargetMode="External"/><Relationship Id="rId1075" Type="http://schemas.openxmlformats.org/officeDocument/2006/relationships/hyperlink" Target="mailto:coordenacao@espacoaberto.org.br" TargetMode="External"/><Relationship Id="rId1282" Type="http://schemas.openxmlformats.org/officeDocument/2006/relationships/hyperlink" Target="mailto:tempodeamarnamelhoridade@gmail.com" TargetMode="External"/><Relationship Id="rId1503" Type="http://schemas.openxmlformats.org/officeDocument/2006/relationships/hyperlink" Target="mailto:contato@cantinhodafamilia.org" TargetMode="External"/><Relationship Id="rId1710" Type="http://schemas.openxmlformats.org/officeDocument/2006/relationships/hyperlink" Target="http://www.apoio-sp.org.br/" TargetMode="External"/><Relationship Id="rId1948" Type="http://schemas.openxmlformats.org/officeDocument/2006/relationships/comments" Target="../comments1.xml"/><Relationship Id="rId291" Type="http://schemas.openxmlformats.org/officeDocument/2006/relationships/hyperlink" Target="mailto:contato@rosaliadecastro.org.br" TargetMode="External"/><Relationship Id="rId305" Type="http://schemas.openxmlformats.org/officeDocument/2006/relationships/hyperlink" Target="http://www.crvillasenior.com.br/" TargetMode="External"/><Relationship Id="rId512" Type="http://schemas.openxmlformats.org/officeDocument/2006/relationships/hyperlink" Target="mailto:institutobran@gmail.com" TargetMode="External"/><Relationship Id="rId957" Type="http://schemas.openxmlformats.org/officeDocument/2006/relationships/hyperlink" Target="http://www.odeliacasaderepouso.com.br/" TargetMode="External"/><Relationship Id="rId1142" Type="http://schemas.openxmlformats.org/officeDocument/2006/relationships/hyperlink" Target="mailto:marilene@institutopinheiro.org.br" TargetMode="External"/><Relationship Id="rId1587" Type="http://schemas.openxmlformats.org/officeDocument/2006/relationships/hyperlink" Target="mailto:abecal@abecal.org.br" TargetMode="External"/><Relationship Id="rId1794" Type="http://schemas.openxmlformats.org/officeDocument/2006/relationships/hyperlink" Target="mailto:v-vicentepallotti@bol.com.br" TargetMode="External"/><Relationship Id="rId1808" Type="http://schemas.openxmlformats.org/officeDocument/2006/relationships/hyperlink" Target="http://www.uniaopopmulheres.wordpress.com/" TargetMode="External"/><Relationship Id="rId86" Type="http://schemas.openxmlformats.org/officeDocument/2006/relationships/hyperlink" Target="http://www.rosacharesidencial.com.br/" TargetMode="External"/><Relationship Id="rId151" Type="http://schemas.openxmlformats.org/officeDocument/2006/relationships/hyperlink" Target="http://www.abaic.com.br/" TargetMode="External"/><Relationship Id="rId389" Type="http://schemas.openxmlformats.org/officeDocument/2006/relationships/hyperlink" Target="http://www.enkyo.org.br/" TargetMode="External"/><Relationship Id="rId596" Type="http://schemas.openxmlformats.org/officeDocument/2006/relationships/hyperlink" Target="http://www.uol.com.br/" TargetMode="External"/><Relationship Id="rId817" Type="http://schemas.openxmlformats.org/officeDocument/2006/relationships/hyperlink" Target="http://www.gmail.com/" TargetMode="External"/><Relationship Id="rId1002" Type="http://schemas.openxmlformats.org/officeDocument/2006/relationships/hyperlink" Target="mailto:elisasobrinho@gmail.com" TargetMode="External"/><Relationship Id="rId1447" Type="http://schemas.openxmlformats.org/officeDocument/2006/relationships/hyperlink" Target="http://www.institutoakhanda.com.br/" TargetMode="External"/><Relationship Id="rId1654" Type="http://schemas.openxmlformats.org/officeDocument/2006/relationships/hyperlink" Target="http://www.fundacaohanseniase.org.br/" TargetMode="External"/><Relationship Id="rId1861" Type="http://schemas.openxmlformats.org/officeDocument/2006/relationships/hyperlink" Target="mailto:rafael.kamilo@hotmail.com" TargetMode="External"/><Relationship Id="rId249" Type="http://schemas.openxmlformats.org/officeDocument/2006/relationships/hyperlink" Target="http://www.residencialviverbem.com.br/" TargetMode="External"/><Relationship Id="rId456" Type="http://schemas.openxmlformats.org/officeDocument/2006/relationships/hyperlink" Target="mailto:mja.sempreaoscuidados@gmail.com" TargetMode="External"/><Relationship Id="rId663" Type="http://schemas.openxmlformats.org/officeDocument/2006/relationships/hyperlink" Target="http://www.hotmail.com/" TargetMode="External"/><Relationship Id="rId870" Type="http://schemas.openxmlformats.org/officeDocument/2006/relationships/hyperlink" Target="http://www.yahoo.com.br/" TargetMode="External"/><Relationship Id="rId1086" Type="http://schemas.openxmlformats.org/officeDocument/2006/relationships/hyperlink" Target="mailto:admprojetos@institutoolgakos.org.br" TargetMode="External"/><Relationship Id="rId1293" Type="http://schemas.openxmlformats.org/officeDocument/2006/relationships/hyperlink" Target="mailto:everton@grupopacini.com.br" TargetMode="External"/><Relationship Id="rId1307" Type="http://schemas.openxmlformats.org/officeDocument/2006/relationships/hyperlink" Target="mailto:fjosenilda@hotmail.com" TargetMode="External"/><Relationship Id="rId1514" Type="http://schemas.openxmlformats.org/officeDocument/2006/relationships/hyperlink" Target="mailto:casafloralarparaidosos@gmail.com" TargetMode="External"/><Relationship Id="rId1721" Type="http://schemas.openxmlformats.org/officeDocument/2006/relationships/hyperlink" Target="mailto:vemser@associacaovemser.org.br" TargetMode="External"/><Relationship Id="rId13" Type="http://schemas.openxmlformats.org/officeDocument/2006/relationships/hyperlink" Target="http://www.bunkyo.org.br/" TargetMode="External"/><Relationship Id="rId109" Type="http://schemas.openxmlformats.org/officeDocument/2006/relationships/hyperlink" Target="http://www.centrosocialbomjesus.org.br/" TargetMode="External"/><Relationship Id="rId316" Type="http://schemas.openxmlformats.org/officeDocument/2006/relationships/hyperlink" Target="mailto:legalizacao@grupopacini.com.br" TargetMode="External"/><Relationship Id="rId523" Type="http://schemas.openxmlformats.org/officeDocument/2006/relationships/hyperlink" Target="http://www.filhasdesaocamilo.com.br/" TargetMode="External"/><Relationship Id="rId968" Type="http://schemas.openxmlformats.org/officeDocument/2006/relationships/hyperlink" Target="mailto:bovenzzorafaella@gmail.com" TargetMode="External"/><Relationship Id="rId1153" Type="http://schemas.openxmlformats.org/officeDocument/2006/relationships/hyperlink" Target="mailto:rafael.kamilo@hotmail.com" TargetMode="External"/><Relationship Id="rId1598" Type="http://schemas.openxmlformats.org/officeDocument/2006/relationships/hyperlink" Target="mailto:lardeidososjdjapao@gmail.com" TargetMode="External"/><Relationship Id="rId1819" Type="http://schemas.openxmlformats.org/officeDocument/2006/relationships/hyperlink" Target="http://www.vovolourdes.com.br/" TargetMode="External"/><Relationship Id="rId97" Type="http://schemas.openxmlformats.org/officeDocument/2006/relationships/hyperlink" Target="http://www.mariadenazare.org.br/" TargetMode="External"/><Relationship Id="rId730" Type="http://schemas.openxmlformats.org/officeDocument/2006/relationships/hyperlink" Target="http://www.casaflormelhoridade.com.br/" TargetMode="External"/><Relationship Id="rId828" Type="http://schemas.openxmlformats.org/officeDocument/2006/relationships/hyperlink" Target="http://www.yahoo.com/" TargetMode="External"/><Relationship Id="rId1013" Type="http://schemas.openxmlformats.org/officeDocument/2006/relationships/hyperlink" Target="http://www.lardivinoamigo.org.br/" TargetMode="External"/><Relationship Id="rId1360" Type="http://schemas.openxmlformats.org/officeDocument/2006/relationships/hyperlink" Target="mailto:aildamelo@gmail.com" TargetMode="External"/><Relationship Id="rId1458" Type="http://schemas.openxmlformats.org/officeDocument/2006/relationships/hyperlink" Target="mailto:fernadodelporto@outlook.com" TargetMode="External"/><Relationship Id="rId1665" Type="http://schemas.openxmlformats.org/officeDocument/2006/relationships/hyperlink" Target="mailto:abasvitoriosas@gmail.com" TargetMode="External"/><Relationship Id="rId1872" Type="http://schemas.openxmlformats.org/officeDocument/2006/relationships/hyperlink" Target="http://www.institutodipi.com/" TargetMode="External"/><Relationship Id="rId162" Type="http://schemas.openxmlformats.org/officeDocument/2006/relationships/hyperlink" Target="http://www.amoradadospassaros.com/" TargetMode="External"/><Relationship Id="rId467" Type="http://schemas.openxmlformats.org/officeDocument/2006/relationships/hyperlink" Target="mailto:legalizacao@grupopacini.com.br" TargetMode="External"/><Relationship Id="rId1097" Type="http://schemas.openxmlformats.org/officeDocument/2006/relationships/hyperlink" Target="mailto:cr.aparecida2@gmail.com" TargetMode="External"/><Relationship Id="rId1220" Type="http://schemas.openxmlformats.org/officeDocument/2006/relationships/hyperlink" Target="mailto:casarepouso@gmail.com" TargetMode="External"/><Relationship Id="rId1318" Type="http://schemas.openxmlformats.org/officeDocument/2006/relationships/hyperlink" Target="mailto:everton@grupopacini.com.br" TargetMode="External"/><Relationship Id="rId1525" Type="http://schemas.openxmlformats.org/officeDocument/2006/relationships/hyperlink" Target="mailto:diretoria@imperiumresidencial.com.br" TargetMode="External"/><Relationship Id="rId674" Type="http://schemas.openxmlformats.org/officeDocument/2006/relationships/hyperlink" Target="http://www.yahoo.com/" TargetMode="External"/><Relationship Id="rId881" Type="http://schemas.openxmlformats.org/officeDocument/2006/relationships/hyperlink" Target="mailto:casaderepousoseular@gmail.com" TargetMode="External"/><Relationship Id="rId979" Type="http://schemas.openxmlformats.org/officeDocument/2006/relationships/hyperlink" Target="mailto:residencialgoldsenior3006@gmail.com" TargetMode="External"/><Relationship Id="rId1732" Type="http://schemas.openxmlformats.org/officeDocument/2006/relationships/hyperlink" Target="http://www.casaderepousorecantoazul.com.br/" TargetMode="External"/><Relationship Id="rId24" Type="http://schemas.openxmlformats.org/officeDocument/2006/relationships/hyperlink" Target="http://www.residencialvivere.com.br/" TargetMode="External"/><Relationship Id="rId327" Type="http://schemas.openxmlformats.org/officeDocument/2006/relationships/hyperlink" Target="http://www.casadavilamariana.com.br/" TargetMode="External"/><Relationship Id="rId534" Type="http://schemas.openxmlformats.org/officeDocument/2006/relationships/hyperlink" Target="http://www.cgmm.com.br/" TargetMode="External"/><Relationship Id="rId741" Type="http://schemas.openxmlformats.org/officeDocument/2006/relationships/hyperlink" Target="http://www.gmail.com/" TargetMode="External"/><Relationship Id="rId839" Type="http://schemas.openxmlformats.org/officeDocument/2006/relationships/hyperlink" Target="http://www.gmail.com/" TargetMode="External"/><Relationship Id="rId1164" Type="http://schemas.openxmlformats.org/officeDocument/2006/relationships/hyperlink" Target="mailto:recanto.3idade@gmail.com" TargetMode="External"/><Relationship Id="rId1371" Type="http://schemas.openxmlformats.org/officeDocument/2006/relationships/hyperlink" Target="http://www.residencialvovomargarida.com/" TargetMode="External"/><Relationship Id="rId1469" Type="http://schemas.openxmlformats.org/officeDocument/2006/relationships/hyperlink" Target="http://www.institutopracimazonaleste.com/" TargetMode="External"/><Relationship Id="rId173" Type="http://schemas.openxmlformats.org/officeDocument/2006/relationships/hyperlink" Target="http://www.cdrc.org.br/" TargetMode="External"/><Relationship Id="rId380" Type="http://schemas.openxmlformats.org/officeDocument/2006/relationships/hyperlink" Target="mailto:caritas@caritascl.org.br" TargetMode="External"/><Relationship Id="rId601" Type="http://schemas.openxmlformats.org/officeDocument/2006/relationships/hyperlink" Target="http://www.hotmail.com/" TargetMode="External"/><Relationship Id="rId1024" Type="http://schemas.openxmlformats.org/officeDocument/2006/relationships/hyperlink" Target="mailto:daia2525@yahoo.com.br" TargetMode="External"/><Relationship Id="rId1231" Type="http://schemas.openxmlformats.org/officeDocument/2006/relationships/hyperlink" Target="mailto:ilpi.franciscanos@gmail.com" TargetMode="External"/><Relationship Id="rId1676" Type="http://schemas.openxmlformats.org/officeDocument/2006/relationships/hyperlink" Target="mailto:daniella.martins@haoc.com.br" TargetMode="External"/><Relationship Id="rId1883" Type="http://schemas.openxmlformats.org/officeDocument/2006/relationships/hyperlink" Target="mailto:adm.cdhep@cdhep.org.br" TargetMode="External"/><Relationship Id="rId240" Type="http://schemas.openxmlformats.org/officeDocument/2006/relationships/hyperlink" Target="http://www.cacp.com.br/" TargetMode="External"/><Relationship Id="rId478" Type="http://schemas.openxmlformats.org/officeDocument/2006/relationships/hyperlink" Target="mailto:pastoralilianalves@gmail.com" TargetMode="External"/><Relationship Id="rId685" Type="http://schemas.openxmlformats.org/officeDocument/2006/relationships/hyperlink" Target="http://www.gmail.com/" TargetMode="External"/><Relationship Id="rId892" Type="http://schemas.openxmlformats.org/officeDocument/2006/relationships/hyperlink" Target="http://www.migliore-eta.com.br/" TargetMode="External"/><Relationship Id="rId906" Type="http://schemas.openxmlformats.org/officeDocument/2006/relationships/hyperlink" Target="mailto:ricardo.lima@institutokapok.org" TargetMode="External"/><Relationship Id="rId1329" Type="http://schemas.openxmlformats.org/officeDocument/2006/relationships/hyperlink" Target="mailto:edeleneborges171@gmail.com" TargetMode="External"/><Relationship Id="rId1536" Type="http://schemas.openxmlformats.org/officeDocument/2006/relationships/hyperlink" Target="mailto:thais.melgar@gmail.com" TargetMode="External"/><Relationship Id="rId1743" Type="http://schemas.openxmlformats.org/officeDocument/2006/relationships/hyperlink" Target="mailto:institutosemeaosilvaoficial@gmail.com" TargetMode="External"/><Relationship Id="rId35" Type="http://schemas.openxmlformats.org/officeDocument/2006/relationships/hyperlink" Target="https://residencialorquidea.com.br/" TargetMode="External"/><Relationship Id="rId100" Type="http://schemas.openxmlformats.org/officeDocument/2006/relationships/hyperlink" Target="http://www.cinefavela.org.br/" TargetMode="External"/><Relationship Id="rId338" Type="http://schemas.openxmlformats.org/officeDocument/2006/relationships/hyperlink" Target="http://www.casavita.com.br/" TargetMode="External"/><Relationship Id="rId545" Type="http://schemas.openxmlformats.org/officeDocument/2006/relationships/hyperlink" Target="http://www.casaderepousonocarrao.com.br/" TargetMode="External"/><Relationship Id="rId752" Type="http://schemas.openxmlformats.org/officeDocument/2006/relationships/hyperlink" Target="http://www.gmail.com/" TargetMode="External"/><Relationship Id="rId1175" Type="http://schemas.openxmlformats.org/officeDocument/2006/relationships/hyperlink" Target="mailto:contato@casaderepousosaojorge.com.br" TargetMode="External"/><Relationship Id="rId1382" Type="http://schemas.openxmlformats.org/officeDocument/2006/relationships/hyperlink" Target="mailto:parceriaspublicas@redecidada.org.br" TargetMode="External"/><Relationship Id="rId1603" Type="http://schemas.openxmlformats.org/officeDocument/2006/relationships/hyperlink" Target="mailto:vivere.residencial160@gmail.com" TargetMode="External"/><Relationship Id="rId1810" Type="http://schemas.openxmlformats.org/officeDocument/2006/relationships/hyperlink" Target="http://www.outlook.com/" TargetMode="External"/><Relationship Id="rId184" Type="http://schemas.openxmlformats.org/officeDocument/2006/relationships/hyperlink" Target="mailto:diretoria@casaderepousovivabem.com.br" TargetMode="External"/><Relationship Id="rId391" Type="http://schemas.openxmlformats.org/officeDocument/2006/relationships/hyperlink" Target="http://www.casaderepousobelaidade.com.br/" TargetMode="External"/><Relationship Id="rId405" Type="http://schemas.openxmlformats.org/officeDocument/2006/relationships/hyperlink" Target="http://www.caritascl.org.br/" TargetMode="External"/><Relationship Id="rId612" Type="http://schemas.openxmlformats.org/officeDocument/2006/relationships/hyperlink" Target="http://www.grupopacini.com.br/" TargetMode="External"/><Relationship Id="rId1035" Type="http://schemas.openxmlformats.org/officeDocument/2006/relationships/hyperlink" Target="mailto:daniele.paz@institutoanimaeducacao.org.br" TargetMode="External"/><Relationship Id="rId1242" Type="http://schemas.openxmlformats.org/officeDocument/2006/relationships/hyperlink" Target="mailto:sustentabilidade@aventuradeconstruir.org.br" TargetMode="External"/><Relationship Id="rId1687" Type="http://schemas.openxmlformats.org/officeDocument/2006/relationships/hyperlink" Target="mailto:residencialidososgirassol@gmail.com" TargetMode="External"/><Relationship Id="rId1894" Type="http://schemas.openxmlformats.org/officeDocument/2006/relationships/hyperlink" Target="mailto:ilpi.rmp2025@gmail.com" TargetMode="External"/><Relationship Id="rId1908" Type="http://schemas.openxmlformats.org/officeDocument/2006/relationships/hyperlink" Target="mailto:casaderepousosante@gmail.com" TargetMode="External"/><Relationship Id="rId251" Type="http://schemas.openxmlformats.org/officeDocument/2006/relationships/hyperlink" Target="mailto:sbrajatto@hotmail.com" TargetMode="External"/><Relationship Id="rId489" Type="http://schemas.openxmlformats.org/officeDocument/2006/relationships/hyperlink" Target="mailto:fernandojpsouza@hotmail.com" TargetMode="External"/><Relationship Id="rId696" Type="http://schemas.openxmlformats.org/officeDocument/2006/relationships/hyperlink" Target="http://www.gmail.com/" TargetMode="External"/><Relationship Id="rId917" Type="http://schemas.openxmlformats.org/officeDocument/2006/relationships/hyperlink" Target="http://www.bemvivercasarepouso.com.br/" TargetMode="External"/><Relationship Id="rId1102" Type="http://schemas.openxmlformats.org/officeDocument/2006/relationships/hyperlink" Target="mailto:coordena&#231;&#227;oidelfranca@gmail.com" TargetMode="External"/><Relationship Id="rId1547" Type="http://schemas.openxmlformats.org/officeDocument/2006/relationships/hyperlink" Target="mailto:comunicacao@chaverim.org.br" TargetMode="External"/><Relationship Id="rId1754" Type="http://schemas.openxmlformats.org/officeDocument/2006/relationships/hyperlink" Target="mailto:contato@residencialalvorada.com.br" TargetMode="External"/><Relationship Id="rId46" Type="http://schemas.openxmlformats.org/officeDocument/2006/relationships/hyperlink" Target="http://www.sabedoriaevida.com.br/" TargetMode="External"/><Relationship Id="rId349" Type="http://schemas.openxmlformats.org/officeDocument/2006/relationships/hyperlink" Target="http://www.seniorvita.com.br/" TargetMode="External"/><Relationship Id="rId556" Type="http://schemas.openxmlformats.org/officeDocument/2006/relationships/hyperlink" Target="http://www.abecal.org.br/" TargetMode="External"/><Relationship Id="rId763" Type="http://schemas.openxmlformats.org/officeDocument/2006/relationships/hyperlink" Target="http://www.ig.com.br/" TargetMode="External"/><Relationship Id="rId1186" Type="http://schemas.openxmlformats.org/officeDocument/2006/relationships/hyperlink" Target="mailto:sergio@cacp.com.br" TargetMode="External"/><Relationship Id="rId1393" Type="http://schemas.openxmlformats.org/officeDocument/2006/relationships/hyperlink" Target="http://www.amorporvidas.com/" TargetMode="External"/><Relationship Id="rId1407" Type="http://schemas.openxmlformats.org/officeDocument/2006/relationships/hyperlink" Target="mailto:elianaprsantos@gmail.com" TargetMode="External"/><Relationship Id="rId1614" Type="http://schemas.openxmlformats.org/officeDocument/2006/relationships/hyperlink" Target="http://www.velhoamigo.org.br/" TargetMode="External"/><Relationship Id="rId1821" Type="http://schemas.openxmlformats.org/officeDocument/2006/relationships/hyperlink" Target="http://www.uniaopopmulheres.wordpress.com/" TargetMode="External"/><Relationship Id="rId111" Type="http://schemas.openxmlformats.org/officeDocument/2006/relationships/hyperlink" Target="http://www.grupogaia.org.br/" TargetMode="External"/><Relationship Id="rId195" Type="http://schemas.openxmlformats.org/officeDocument/2006/relationships/hyperlink" Target="mailto:adm@projetosecultura.com.br" TargetMode="External"/><Relationship Id="rId209" Type="http://schemas.openxmlformats.org/officeDocument/2006/relationships/hyperlink" Target="http://www.vilamana.com.br/" TargetMode="External"/><Relationship Id="rId416" Type="http://schemas.openxmlformats.org/officeDocument/2006/relationships/hyperlink" Target="mailto:espacolarrose@hotmail.com" TargetMode="External"/><Relationship Id="rId970" Type="http://schemas.openxmlformats.org/officeDocument/2006/relationships/hyperlink" Target="mailto:tercadaserrabrooklin@gmail.com" TargetMode="External"/><Relationship Id="rId1046" Type="http://schemas.openxmlformats.org/officeDocument/2006/relationships/hyperlink" Target="mailto:legalizacao@grupopacini.com.br" TargetMode="External"/><Relationship Id="rId1253" Type="http://schemas.openxmlformats.org/officeDocument/2006/relationships/hyperlink" Target="mailto:vidamoradiaassistida@gmail.com" TargetMode="External"/><Relationship Id="rId1698" Type="http://schemas.openxmlformats.org/officeDocument/2006/relationships/hyperlink" Target="mailto:abrati@abrati.org" TargetMode="External"/><Relationship Id="rId1919" Type="http://schemas.openxmlformats.org/officeDocument/2006/relationships/hyperlink" Target="mailto:chabad@chabad.org.br" TargetMode="External"/><Relationship Id="rId623" Type="http://schemas.openxmlformats.org/officeDocument/2006/relationships/hyperlink" Target="http://www.institutopinheiro.org.br/" TargetMode="External"/><Relationship Id="rId830" Type="http://schemas.openxmlformats.org/officeDocument/2006/relationships/hyperlink" Target="http://www.obrasocialsjt.org.br/" TargetMode="External"/><Relationship Id="rId928" Type="http://schemas.openxmlformats.org/officeDocument/2006/relationships/hyperlink" Target="mailto:lagalizacao@grupopacini.com.br" TargetMode="External"/><Relationship Id="rId1460" Type="http://schemas.openxmlformats.org/officeDocument/2006/relationships/hyperlink" Target="mailto:casaderepousoviaviver@gmail.com" TargetMode="External"/><Relationship Id="rId1558" Type="http://schemas.openxmlformats.org/officeDocument/2006/relationships/hyperlink" Target="mailto:andre180181ccb@gmail.com" TargetMode="External"/><Relationship Id="rId1765" Type="http://schemas.openxmlformats.org/officeDocument/2006/relationships/hyperlink" Target="mailto:oram.projetos@gmail.com" TargetMode="External"/><Relationship Id="rId57" Type="http://schemas.openxmlformats.org/officeDocument/2006/relationships/hyperlink" Target="http://www.casaderepousoperseveranca.com.br/" TargetMode="External"/><Relationship Id="rId262" Type="http://schemas.openxmlformats.org/officeDocument/2006/relationships/hyperlink" Target="http://www.olhe.org.br/" TargetMode="External"/><Relationship Id="rId567" Type="http://schemas.openxmlformats.org/officeDocument/2006/relationships/hyperlink" Target="http://www.sepas.org.br/" TargetMode="External"/><Relationship Id="rId1113" Type="http://schemas.openxmlformats.org/officeDocument/2006/relationships/hyperlink" Target="mailto:camila.02florio@gmail.com" TargetMode="External"/><Relationship Id="rId1197" Type="http://schemas.openxmlformats.org/officeDocument/2006/relationships/hyperlink" Target="mailto:abrati@abrati.org" TargetMode="External"/><Relationship Id="rId1320" Type="http://schemas.openxmlformats.org/officeDocument/2006/relationships/hyperlink" Target="mailto:mariacarlotamel@gmail.com" TargetMode="External"/><Relationship Id="rId1418" Type="http://schemas.openxmlformats.org/officeDocument/2006/relationships/hyperlink" Target="http://www.residencialprovita.com.br/" TargetMode="External"/><Relationship Id="rId122" Type="http://schemas.openxmlformats.org/officeDocument/2006/relationships/hyperlink" Target="http://www.casaderepousoemfamilia.com.br/" TargetMode="External"/><Relationship Id="rId774" Type="http://schemas.openxmlformats.org/officeDocument/2006/relationships/hyperlink" Target="http://www.gmail.com/" TargetMode="External"/><Relationship Id="rId981" Type="http://schemas.openxmlformats.org/officeDocument/2006/relationships/hyperlink" Target="mailto:residencialaconchegodolar@gmail.com" TargetMode="External"/><Relationship Id="rId1057" Type="http://schemas.openxmlformats.org/officeDocument/2006/relationships/hyperlink" Target="mailto:e.amorim.ribeiro@bol.com.br" TargetMode="External"/><Relationship Id="rId1625" Type="http://schemas.openxmlformats.org/officeDocument/2006/relationships/hyperlink" Target="mailto:diretoria@institutorino.org.br" TargetMode="External"/><Relationship Id="rId1832" Type="http://schemas.openxmlformats.org/officeDocument/2006/relationships/hyperlink" Target="mailto:contato@institutojoca.org.br" TargetMode="External"/><Relationship Id="rId427" Type="http://schemas.openxmlformats.org/officeDocument/2006/relationships/hyperlink" Target="https://residencialrosa.negocio.site/" TargetMode="External"/><Relationship Id="rId634" Type="http://schemas.openxmlformats.org/officeDocument/2006/relationships/hyperlink" Target="http://www.unibes.org.br/" TargetMode="External"/><Relationship Id="rId841" Type="http://schemas.openxmlformats.org/officeDocument/2006/relationships/hyperlink" Target="http://www.gmail.com/" TargetMode="External"/><Relationship Id="rId1264" Type="http://schemas.openxmlformats.org/officeDocument/2006/relationships/hyperlink" Target="mailto:maisvidacderepouso@gmail.com" TargetMode="External"/><Relationship Id="rId1471" Type="http://schemas.openxmlformats.org/officeDocument/2006/relationships/hyperlink" Target="mailto:legalizacao@grupopacini.com.br" TargetMode="External"/><Relationship Id="rId1569" Type="http://schemas.openxmlformats.org/officeDocument/2006/relationships/hyperlink" Target="http://www.safrater.org.br/" TargetMode="External"/><Relationship Id="rId273" Type="http://schemas.openxmlformats.org/officeDocument/2006/relationships/hyperlink" Target="mailto:lacosdefamiliaresidencial2020@gmail.com" TargetMode="External"/><Relationship Id="rId480" Type="http://schemas.openxmlformats.org/officeDocument/2006/relationships/hyperlink" Target="mailto:caritas@caritascl.org.br" TargetMode="External"/><Relationship Id="rId701" Type="http://schemas.openxmlformats.org/officeDocument/2006/relationships/hyperlink" Target="http://www.casaderepousovida.com.br/" TargetMode="External"/><Relationship Id="rId939" Type="http://schemas.openxmlformats.org/officeDocument/2006/relationships/hyperlink" Target="mailto:hotelzinhoidosos@hotmail.com" TargetMode="External"/><Relationship Id="rId1124" Type="http://schemas.openxmlformats.org/officeDocument/2006/relationships/hyperlink" Target="mailto:juridico@ligasolidaria.org.br" TargetMode="External"/><Relationship Id="rId1331" Type="http://schemas.openxmlformats.org/officeDocument/2006/relationships/hyperlink" Target="mailto:secretaria@velhoamigo.org.br" TargetMode="External"/><Relationship Id="rId1776" Type="http://schemas.openxmlformats.org/officeDocument/2006/relationships/hyperlink" Target="http://www.adra.org.br/" TargetMode="External"/><Relationship Id="rId68" Type="http://schemas.openxmlformats.org/officeDocument/2006/relationships/hyperlink" Target="http://www.santosdias.org/" TargetMode="External"/><Relationship Id="rId133" Type="http://schemas.openxmlformats.org/officeDocument/2006/relationships/hyperlink" Target="http://www.casaderepousosaojose.com.br/" TargetMode="External"/><Relationship Id="rId340" Type="http://schemas.openxmlformats.org/officeDocument/2006/relationships/hyperlink" Target="http://www.repousodasoliveiras.com.br/" TargetMode="External"/><Relationship Id="rId578" Type="http://schemas.openxmlformats.org/officeDocument/2006/relationships/hyperlink" Target="http://www.cantinhodaterceiraidade.com.br/" TargetMode="External"/><Relationship Id="rId785" Type="http://schemas.openxmlformats.org/officeDocument/2006/relationships/hyperlink" Target="http://www.gmail.com/" TargetMode="External"/><Relationship Id="rId992" Type="http://schemas.openxmlformats.org/officeDocument/2006/relationships/hyperlink" Target="mailto:institutobixiga@gmail.com" TargetMode="External"/><Relationship Id="rId1429" Type="http://schemas.openxmlformats.org/officeDocument/2006/relationships/hyperlink" Target="http://www.meireshaus.com.br/" TargetMode="External"/><Relationship Id="rId1636" Type="http://schemas.openxmlformats.org/officeDocument/2006/relationships/hyperlink" Target="mailto:unibes@unibes.org.br" TargetMode="External"/><Relationship Id="rId1843" Type="http://schemas.openxmlformats.org/officeDocument/2006/relationships/hyperlink" Target="mailto:tenyad@tenyad.org.br" TargetMode="External"/><Relationship Id="rId200" Type="http://schemas.openxmlformats.org/officeDocument/2006/relationships/hyperlink" Target="mailto:lucineide-santos@bol.com.br" TargetMode="External"/><Relationship Id="rId438" Type="http://schemas.openxmlformats.org/officeDocument/2006/relationships/hyperlink" Target="http://www.residencialnovosamigos.com.br/" TargetMode="External"/><Relationship Id="rId645" Type="http://schemas.openxmlformats.org/officeDocument/2006/relationships/hyperlink" Target="http://www.casaderepousosanraphael.com.br/" TargetMode="External"/><Relationship Id="rId852" Type="http://schemas.openxmlformats.org/officeDocument/2006/relationships/hyperlink" Target="http://www.grupopacini.com.br/" TargetMode="External"/><Relationship Id="rId1068" Type="http://schemas.openxmlformats.org/officeDocument/2006/relationships/hyperlink" Target="mailto:grupoaecres@gmail" TargetMode="External"/><Relationship Id="rId1275" Type="http://schemas.openxmlformats.org/officeDocument/2006/relationships/hyperlink" Target="mailto:fabiana@residencialsenior.com.br" TargetMode="External"/><Relationship Id="rId1482" Type="http://schemas.openxmlformats.org/officeDocument/2006/relationships/hyperlink" Target="http://www.arrastao.org.br/" TargetMode="External"/><Relationship Id="rId1703" Type="http://schemas.openxmlformats.org/officeDocument/2006/relationships/hyperlink" Target="mailto:happyliferesidencial@gmail.com" TargetMode="External"/><Relationship Id="rId1910" Type="http://schemas.openxmlformats.org/officeDocument/2006/relationships/hyperlink" Target="mailto:danielle.soldi@franquiatercadaserra.com.br" TargetMode="External"/><Relationship Id="rId284" Type="http://schemas.openxmlformats.org/officeDocument/2006/relationships/hyperlink" Target="mailto:contato@institutogera.org" TargetMode="External"/><Relationship Id="rId491" Type="http://schemas.openxmlformats.org/officeDocument/2006/relationships/hyperlink" Target="mailto:institutoirmadulce1@gmail.com" TargetMode="External"/><Relationship Id="rId505" Type="http://schemas.openxmlformats.org/officeDocument/2006/relationships/hyperlink" Target="http://www.corasenior.com.br/cora-tatuape-residencial-para-idosos/" TargetMode="External"/><Relationship Id="rId712" Type="http://schemas.openxmlformats.org/officeDocument/2006/relationships/hyperlink" Target="http://www.gmail.com/" TargetMode="External"/><Relationship Id="rId1135" Type="http://schemas.openxmlformats.org/officeDocument/2006/relationships/hyperlink" Target="mailto:coordenacaoidelfranca@gmail.com" TargetMode="External"/><Relationship Id="rId1342" Type="http://schemas.openxmlformats.org/officeDocument/2006/relationships/hyperlink" Target="mailto:sfelixprado@gmail.com" TargetMode="External"/><Relationship Id="rId1787" Type="http://schemas.openxmlformats.org/officeDocument/2006/relationships/hyperlink" Target="http://www.instituogera.org/" TargetMode="External"/><Relationship Id="rId79" Type="http://schemas.openxmlformats.org/officeDocument/2006/relationships/hyperlink" Target="http://www.luminaresidencialsenior.com.br/" TargetMode="External"/><Relationship Id="rId144" Type="http://schemas.openxmlformats.org/officeDocument/2006/relationships/hyperlink" Target="http://www.residencialaurora.org/" TargetMode="External"/><Relationship Id="rId589" Type="http://schemas.openxmlformats.org/officeDocument/2006/relationships/hyperlink" Target="http://www.vilaipe.com.br/" TargetMode="External"/><Relationship Id="rId796" Type="http://schemas.openxmlformats.org/officeDocument/2006/relationships/hyperlink" Target="http://www.gmail.com/" TargetMode="External"/><Relationship Id="rId1202" Type="http://schemas.openxmlformats.org/officeDocument/2006/relationships/hyperlink" Target="mailto:residencialharmony@outlook..com" TargetMode="External"/><Relationship Id="rId1647" Type="http://schemas.openxmlformats.org/officeDocument/2006/relationships/hyperlink" Target="http://www.residencialgeriatricotonioli.com/" TargetMode="External"/><Relationship Id="rId1854" Type="http://schemas.openxmlformats.org/officeDocument/2006/relationships/hyperlink" Target="mailto:dadinhalimaalves35@gmail.com" TargetMode="External"/><Relationship Id="rId351" Type="http://schemas.openxmlformats.org/officeDocument/2006/relationships/hyperlink" Target="http://www.acnsg.com.br/" TargetMode="External"/><Relationship Id="rId449" Type="http://schemas.openxmlformats.org/officeDocument/2006/relationships/hyperlink" Target="http://www.sobei.org.br/" TargetMode="External"/><Relationship Id="rId656" Type="http://schemas.openxmlformats.org/officeDocument/2006/relationships/hyperlink" Target="http://www.gmail.com/" TargetMode="External"/><Relationship Id="rId863" Type="http://schemas.openxmlformats.org/officeDocument/2006/relationships/hyperlink" Target="http://www.gmail.com/" TargetMode="External"/><Relationship Id="rId1079" Type="http://schemas.openxmlformats.org/officeDocument/2006/relationships/hyperlink" Target="mailto:legalizacao@bslsaude.com.br" TargetMode="External"/><Relationship Id="rId1286" Type="http://schemas.openxmlformats.org/officeDocument/2006/relationships/hyperlink" Target="mailto:atendimento@moradaprimavera.com" TargetMode="External"/><Relationship Id="rId1493" Type="http://schemas.openxmlformats.org/officeDocument/2006/relationships/hyperlink" Target="mailto:drfelippo@gmail.com" TargetMode="External"/><Relationship Id="rId1507" Type="http://schemas.openxmlformats.org/officeDocument/2006/relationships/hyperlink" Target="mailto:garmicmoradiaidoso@gmail.com" TargetMode="External"/><Relationship Id="rId1714" Type="http://schemas.openxmlformats.org/officeDocument/2006/relationships/hyperlink" Target="mailto:contato@cantinhodafamilia.org" TargetMode="External"/><Relationship Id="rId211" Type="http://schemas.openxmlformats.org/officeDocument/2006/relationships/hyperlink" Target="mailto:contato@acirmesp.org.br" TargetMode="External"/><Relationship Id="rId295" Type="http://schemas.openxmlformats.org/officeDocument/2006/relationships/hyperlink" Target="http://www.ligasolidaria.org.br/" TargetMode="External"/><Relationship Id="rId309" Type="http://schemas.openxmlformats.org/officeDocument/2006/relationships/hyperlink" Target="http://www.residencialatalaia.com.br/" TargetMode="External"/><Relationship Id="rId516" Type="http://schemas.openxmlformats.org/officeDocument/2006/relationships/hyperlink" Target="mailto:asa@asatransforma.org.br" TargetMode="External"/><Relationship Id="rId1146" Type="http://schemas.openxmlformats.org/officeDocument/2006/relationships/hyperlink" Target="mailto:inh.matriz@gmail.com" TargetMode="External"/><Relationship Id="rId1798" Type="http://schemas.openxmlformats.org/officeDocument/2006/relationships/hyperlink" Target="mailto:nutricamila@hotmail.com" TargetMode="External"/><Relationship Id="rId1921" Type="http://schemas.openxmlformats.org/officeDocument/2006/relationships/hyperlink" Target="mailto:contato@oscesperanca.org.br" TargetMode="External"/><Relationship Id="rId723" Type="http://schemas.openxmlformats.org/officeDocument/2006/relationships/hyperlink" Target="http://www.gmail.com/" TargetMode="External"/><Relationship Id="rId930" Type="http://schemas.openxmlformats.org/officeDocument/2006/relationships/hyperlink" Target="http://www.hospedagemcoralina.com.br/" TargetMode="External"/><Relationship Id="rId1006" Type="http://schemas.openxmlformats.org/officeDocument/2006/relationships/hyperlink" Target="mailto:luis@eternamentesou.org" TargetMode="External"/><Relationship Id="rId1353" Type="http://schemas.openxmlformats.org/officeDocument/2006/relationships/hyperlink" Target="mailto:residencialsaudeacao@gmail.com" TargetMode="External"/><Relationship Id="rId1560" Type="http://schemas.openxmlformats.org/officeDocument/2006/relationships/hyperlink" Target="mailto:financeiroabecam@gmail.com" TargetMode="External"/><Relationship Id="rId1658" Type="http://schemas.openxmlformats.org/officeDocument/2006/relationships/hyperlink" Target="http://www.tercadaserra.com.br/" TargetMode="External"/><Relationship Id="rId1865" Type="http://schemas.openxmlformats.org/officeDocument/2006/relationships/hyperlink" Target="mailto:sandra.klain@3ibemestar.com.br" TargetMode="External"/><Relationship Id="rId155" Type="http://schemas.openxmlformats.org/officeDocument/2006/relationships/hyperlink" Target="http://www.repousoesperanca.com.br/" TargetMode="External"/><Relationship Id="rId362" Type="http://schemas.openxmlformats.org/officeDocument/2006/relationships/hyperlink" Target="mailto:casaderepousommpirituba@gmail.com" TargetMode="External"/><Relationship Id="rId1213" Type="http://schemas.openxmlformats.org/officeDocument/2006/relationships/hyperlink" Target="mailto:legalizacao@grupopacini.com.br" TargetMode="External"/><Relationship Id="rId1297" Type="http://schemas.openxmlformats.org/officeDocument/2006/relationships/hyperlink" Target="mailto:residencial.sev@gmail.com" TargetMode="External"/><Relationship Id="rId1420" Type="http://schemas.openxmlformats.org/officeDocument/2006/relationships/hyperlink" Target="mailto:josoel.vitalino@gmail.com" TargetMode="External"/><Relationship Id="rId1518" Type="http://schemas.openxmlformats.org/officeDocument/2006/relationships/hyperlink" Target="mailto:primaveralardeidosos@gmail.com" TargetMode="External"/><Relationship Id="rId222" Type="http://schemas.openxmlformats.org/officeDocument/2006/relationships/hyperlink" Target="mailto:fundacaosaopaulo@fundasp.org.br" TargetMode="External"/><Relationship Id="rId667" Type="http://schemas.openxmlformats.org/officeDocument/2006/relationships/hyperlink" Target="http://www.institutobemmaior.org.br/" TargetMode="External"/><Relationship Id="rId874" Type="http://schemas.openxmlformats.org/officeDocument/2006/relationships/hyperlink" Target="http://www.grupopacini.com.br/" TargetMode="External"/><Relationship Id="rId1725" Type="http://schemas.openxmlformats.org/officeDocument/2006/relationships/hyperlink" Target="http://www.agapephilos.org/" TargetMode="External"/><Relationship Id="rId1932" Type="http://schemas.openxmlformats.org/officeDocument/2006/relationships/hyperlink" Target="mailto:adj@adj.org.br" TargetMode="External"/><Relationship Id="rId17" Type="http://schemas.openxmlformats.org/officeDocument/2006/relationships/hyperlink" Target="http://www.casa-de-repouso.negocio.site/" TargetMode="External"/><Relationship Id="rId527" Type="http://schemas.openxmlformats.org/officeDocument/2006/relationships/hyperlink" Target="mailto:contato@villaggio.com.br" TargetMode="External"/><Relationship Id="rId734" Type="http://schemas.openxmlformats.org/officeDocument/2006/relationships/hyperlink" Target="http://www.hotmail.com/" TargetMode="External"/><Relationship Id="rId941" Type="http://schemas.openxmlformats.org/officeDocument/2006/relationships/hyperlink" Target="http://www.oscsamaritano.org.br/" TargetMode="External"/><Relationship Id="rId1157" Type="http://schemas.openxmlformats.org/officeDocument/2006/relationships/hyperlink" Target="mailto:juliane@residencialharmonia.com.br" TargetMode="External"/><Relationship Id="rId1364" Type="http://schemas.openxmlformats.org/officeDocument/2006/relationships/hyperlink" Target="mailto:institutonua@hotmail.com" TargetMode="External"/><Relationship Id="rId1571" Type="http://schemas.openxmlformats.org/officeDocument/2006/relationships/hyperlink" Target="mailto:enfermeirafernandes@outlook.com" TargetMode="External"/><Relationship Id="rId70" Type="http://schemas.openxmlformats.org/officeDocument/2006/relationships/hyperlink" Target="http://www.residencialsenior.com.br/" TargetMode="External"/><Relationship Id="rId166" Type="http://schemas.openxmlformats.org/officeDocument/2006/relationships/hyperlink" Target="mailto:salute@residencialsalute.com.br" TargetMode="External"/><Relationship Id="rId373" Type="http://schemas.openxmlformats.org/officeDocument/2006/relationships/hyperlink" Target="mailto:vitoria27marques@hotmail.com" TargetMode="External"/><Relationship Id="rId580" Type="http://schemas.openxmlformats.org/officeDocument/2006/relationships/hyperlink" Target="http://www.grupodacaridade.org/" TargetMode="External"/><Relationship Id="rId801" Type="http://schemas.openxmlformats.org/officeDocument/2006/relationships/hyperlink" Target="http://www.gmail.com/" TargetMode="External"/><Relationship Id="rId1017" Type="http://schemas.openxmlformats.org/officeDocument/2006/relationships/hyperlink" Target="mailto:arabelaluzcoelho@gmail.com" TargetMode="External"/><Relationship Id="rId1224" Type="http://schemas.openxmlformats.org/officeDocument/2006/relationships/hyperlink" Target="mailto:rrenatolucio@yahoo.com.br" TargetMode="External"/><Relationship Id="rId1431" Type="http://schemas.openxmlformats.org/officeDocument/2006/relationships/hyperlink" Target="mailto:marcosramosdejesus27@gmail.com" TargetMode="External"/><Relationship Id="rId1669" Type="http://schemas.openxmlformats.org/officeDocument/2006/relationships/hyperlink" Target="http://www.associacaojardimreal.org.br/" TargetMode="External"/><Relationship Id="rId1876" Type="http://schemas.openxmlformats.org/officeDocument/2006/relationships/hyperlink" Target="mailto:priscilla@casaderepousonewlife.com.br" TargetMode="External"/><Relationship Id="rId1" Type="http://schemas.openxmlformats.org/officeDocument/2006/relationships/hyperlink" Target="http://www.genesiscasaderepouso.com.br/" TargetMode="External"/><Relationship Id="rId233" Type="http://schemas.openxmlformats.org/officeDocument/2006/relationships/hyperlink" Target="http://www.institutonovoshorizontes.org.br/" TargetMode="External"/><Relationship Id="rId440" Type="http://schemas.openxmlformats.org/officeDocument/2006/relationships/hyperlink" Target="mailto:micarvalho.isabel@gmail.com" TargetMode="External"/><Relationship Id="rId678" Type="http://schemas.openxmlformats.org/officeDocument/2006/relationships/hyperlink" Target="http://www.residencialnewcare.com.br/" TargetMode="External"/><Relationship Id="rId885" Type="http://schemas.openxmlformats.org/officeDocument/2006/relationships/hyperlink" Target="mailto:residencialvovolourdesmooca@outlook.com" TargetMode="External"/><Relationship Id="rId1070" Type="http://schemas.openxmlformats.org/officeDocument/2006/relationships/hyperlink" Target="mailto:juridico@ligasolidaria.org.br" TargetMode="External"/><Relationship Id="rId1529" Type="http://schemas.openxmlformats.org/officeDocument/2006/relationships/hyperlink" Target="mailto:scorreiavaz@bol.com.br" TargetMode="External"/><Relationship Id="rId1736" Type="http://schemas.openxmlformats.org/officeDocument/2006/relationships/hyperlink" Target="mailto:aba.bellaatitude@gmail.com" TargetMode="External"/><Relationship Id="rId1943" Type="http://schemas.openxmlformats.org/officeDocument/2006/relationships/hyperlink" Target="mailto:monteirobianca470@gmail.com" TargetMode="External"/><Relationship Id="rId28" Type="http://schemas.openxmlformats.org/officeDocument/2006/relationships/hyperlink" Target="http://www.casaderepousobrooklin.com.b/" TargetMode="External"/><Relationship Id="rId300" Type="http://schemas.openxmlformats.org/officeDocument/2006/relationships/hyperlink" Target="http://www.funsai.org.br/" TargetMode="External"/><Relationship Id="rId538" Type="http://schemas.openxmlformats.org/officeDocument/2006/relationships/hyperlink" Target="mailto:legalizacao@grupopacini.com.br" TargetMode="External"/><Relationship Id="rId745" Type="http://schemas.openxmlformats.org/officeDocument/2006/relationships/hyperlink" Target="http://www.ecrecantodoslirios.com.br/" TargetMode="External"/><Relationship Id="rId952" Type="http://schemas.openxmlformats.org/officeDocument/2006/relationships/hyperlink" Target="mailto:tesoureiro@residencialpordosol.org.br" TargetMode="External"/><Relationship Id="rId1168" Type="http://schemas.openxmlformats.org/officeDocument/2006/relationships/hyperlink" Target="mailto:vchadad@hcor.com.br" TargetMode="External"/><Relationship Id="rId1375" Type="http://schemas.openxmlformats.org/officeDocument/2006/relationships/hyperlink" Target="mailto:parceria.pmsp@adventistas.org" TargetMode="External"/><Relationship Id="rId1582" Type="http://schemas.openxmlformats.org/officeDocument/2006/relationships/hyperlink" Target="http://www.corasenior.com.br/cora-morumbi" TargetMode="External"/><Relationship Id="rId1803" Type="http://schemas.openxmlformats.org/officeDocument/2006/relationships/hyperlink" Target="mailto:residencialanapurus@uol.com.br" TargetMode="External"/><Relationship Id="rId81" Type="http://schemas.openxmlformats.org/officeDocument/2006/relationships/hyperlink" Target="http://www.casavovoesperanca.com.br/" TargetMode="External"/><Relationship Id="rId177" Type="http://schemas.openxmlformats.org/officeDocument/2006/relationships/hyperlink" Target="mailto:r.docelar@gamil.com" TargetMode="External"/><Relationship Id="rId384" Type="http://schemas.openxmlformats.org/officeDocument/2006/relationships/hyperlink" Target="mailto:irsalete@palotinas.com.br" TargetMode="External"/><Relationship Id="rId591" Type="http://schemas.openxmlformats.org/officeDocument/2006/relationships/hyperlink" Target="http://www.ccja.ccja.org.br/" TargetMode="External"/><Relationship Id="rId605" Type="http://schemas.openxmlformats.org/officeDocument/2006/relationships/hyperlink" Target="http://www.gmail.com/" TargetMode="External"/><Relationship Id="rId812" Type="http://schemas.openxmlformats.org/officeDocument/2006/relationships/hyperlink" Target="http://www.uol.com.br/" TargetMode="External"/><Relationship Id="rId1028" Type="http://schemas.openxmlformats.org/officeDocument/2006/relationships/hyperlink" Target="mailto:rh.uniao@terra.com.br" TargetMode="External"/><Relationship Id="rId1235" Type="http://schemas.openxmlformats.org/officeDocument/2006/relationships/hyperlink" Target="mailto:centrosocialbomjesus@ig.com.br" TargetMode="External"/><Relationship Id="rId1442" Type="http://schemas.openxmlformats.org/officeDocument/2006/relationships/hyperlink" Target="mailto:sobei@sobei.org.com.br" TargetMode="External"/><Relationship Id="rId1887" Type="http://schemas.openxmlformats.org/officeDocument/2006/relationships/hyperlink" Target="mailto:r.casasenior.pacaembu@gmail.com" TargetMode="External"/><Relationship Id="rId244" Type="http://schemas.openxmlformats.org/officeDocument/2006/relationships/hyperlink" Target="mailto:recantoagapecasaderepouso@gmail.com" TargetMode="External"/><Relationship Id="rId689" Type="http://schemas.openxmlformats.org/officeDocument/2006/relationships/hyperlink" Target="http://www.residencialtopsenior.com.br/" TargetMode="External"/><Relationship Id="rId896" Type="http://schemas.openxmlformats.org/officeDocument/2006/relationships/hyperlink" Target="mailto:casaderepousovideira@gmail.com" TargetMode="External"/><Relationship Id="rId1081" Type="http://schemas.openxmlformats.org/officeDocument/2006/relationships/hyperlink" Target="mailto:casaderepousopaivalima@gmail.com" TargetMode="External"/><Relationship Id="rId1302" Type="http://schemas.openxmlformats.org/officeDocument/2006/relationships/hyperlink" Target="mailto:casaderepousofilhogabriel@outlook.com" TargetMode="External"/><Relationship Id="rId1747" Type="http://schemas.openxmlformats.org/officeDocument/2006/relationships/hyperlink" Target="mailto:toqueparaofuturo@yahoo.com.br" TargetMode="External"/><Relationship Id="rId39" Type="http://schemas.openxmlformats.org/officeDocument/2006/relationships/hyperlink" Target="http://www.residencialviladossonhos.com.br/" TargetMode="External"/><Relationship Id="rId451" Type="http://schemas.openxmlformats.org/officeDocument/2006/relationships/hyperlink" Target="http://www.sobei.org.br/" TargetMode="External"/><Relationship Id="rId549" Type="http://schemas.openxmlformats.org/officeDocument/2006/relationships/hyperlink" Target="mailto:adm@casaderepousoamorevitta.com.br" TargetMode="External"/><Relationship Id="rId756" Type="http://schemas.openxmlformats.org/officeDocument/2006/relationships/hyperlink" Target="http://www.grupopacini.com.br/" TargetMode="External"/><Relationship Id="rId1179" Type="http://schemas.openxmlformats.org/officeDocument/2006/relationships/hyperlink" Target="mailto:tesoureiro@larbelavida.org.br" TargetMode="External"/><Relationship Id="rId1386" Type="http://schemas.openxmlformats.org/officeDocument/2006/relationships/hyperlink" Target="mailto:contato@contabilidadeassis.com.br" TargetMode="External"/><Relationship Id="rId1593" Type="http://schemas.openxmlformats.org/officeDocument/2006/relationships/hyperlink" Target="mailto:apoio@apoio-sp.org.br" TargetMode="External"/><Relationship Id="rId1607" Type="http://schemas.openxmlformats.org/officeDocument/2006/relationships/hyperlink" Target="mailto:cassiobellato@gmail.com" TargetMode="External"/><Relationship Id="rId1814" Type="http://schemas.openxmlformats.org/officeDocument/2006/relationships/hyperlink" Target="http://www.gmail.com/" TargetMode="External"/><Relationship Id="rId104" Type="http://schemas.openxmlformats.org/officeDocument/2006/relationships/hyperlink" Target="mailto:casaderepousobrigadeiro@gmail.com" TargetMode="External"/><Relationship Id="rId188" Type="http://schemas.openxmlformats.org/officeDocument/2006/relationships/hyperlink" Target="mailto:villadeifioripompeia@gmail.com" TargetMode="External"/><Relationship Id="rId311" Type="http://schemas.openxmlformats.org/officeDocument/2006/relationships/hyperlink" Target="mailto:diretoria.residencialmaximo@gmail.com" TargetMode="External"/><Relationship Id="rId395" Type="http://schemas.openxmlformats.org/officeDocument/2006/relationships/hyperlink" Target="mailto:icc@institutocasacomum.org" TargetMode="External"/><Relationship Id="rId409" Type="http://schemas.openxmlformats.org/officeDocument/2006/relationships/hyperlink" Target="mailto:marpeconde@gmail.com" TargetMode="External"/><Relationship Id="rId963" Type="http://schemas.openxmlformats.org/officeDocument/2006/relationships/hyperlink" Target="mailto:larparaidososdivina@gmail.com" TargetMode="External"/><Relationship Id="rId1039" Type="http://schemas.openxmlformats.org/officeDocument/2006/relationships/hyperlink" Target="mailto:inh.matriz@gmail.com" TargetMode="External"/><Relationship Id="rId1246" Type="http://schemas.openxmlformats.org/officeDocument/2006/relationships/hyperlink" Target="mailto:isabela@fundacaobritanica.org.br" TargetMode="External"/><Relationship Id="rId1898" Type="http://schemas.openxmlformats.org/officeDocument/2006/relationships/hyperlink" Target="mailto:contato@viven.org.br" TargetMode="External"/><Relationship Id="rId92" Type="http://schemas.openxmlformats.org/officeDocument/2006/relationships/hyperlink" Target="http://www.fundacaobritanica.org.br/" TargetMode="External"/><Relationship Id="rId616" Type="http://schemas.openxmlformats.org/officeDocument/2006/relationships/hyperlink" Target="http://www.yahoo.com.br/" TargetMode="External"/><Relationship Id="rId823" Type="http://schemas.openxmlformats.org/officeDocument/2006/relationships/hyperlink" Target="http://www.espacovidailpi.com/" TargetMode="External"/><Relationship Id="rId1453" Type="http://schemas.openxmlformats.org/officeDocument/2006/relationships/hyperlink" Target="http://www.amorresidencialsenior.com.br/" TargetMode="External"/><Relationship Id="rId1660" Type="http://schemas.openxmlformats.org/officeDocument/2006/relationships/hyperlink" Target="http://www.croph.org.br/" TargetMode="External"/><Relationship Id="rId1758" Type="http://schemas.openxmlformats.org/officeDocument/2006/relationships/hyperlink" Target="mailto:interlagos@tercadaserra.com.br" TargetMode="External"/><Relationship Id="rId255" Type="http://schemas.openxmlformats.org/officeDocument/2006/relationships/hyperlink" Target="http://www.newheavenresidencialsenior.com/" TargetMode="External"/><Relationship Id="rId462" Type="http://schemas.openxmlformats.org/officeDocument/2006/relationships/hyperlink" Target="mailto:entidadejuntos@gmail.com" TargetMode="External"/><Relationship Id="rId1092" Type="http://schemas.openxmlformats.org/officeDocument/2006/relationships/hyperlink" Target="mailto:residencialsantanna@gmail.com" TargetMode="External"/><Relationship Id="rId1106" Type="http://schemas.openxmlformats.org/officeDocument/2006/relationships/hyperlink" Target="mailto:felicitaresidencial@outlook.com" TargetMode="External"/><Relationship Id="rId1313" Type="http://schemas.openxmlformats.org/officeDocument/2006/relationships/hyperlink" Target="mailto:casaderepousonaim@outlook.com" TargetMode="External"/><Relationship Id="rId1397" Type="http://schemas.openxmlformats.org/officeDocument/2006/relationships/hyperlink" Target="mailto:casaderepousomeelhoridade@gmail.com" TargetMode="External"/><Relationship Id="rId1520" Type="http://schemas.openxmlformats.org/officeDocument/2006/relationships/hyperlink" Target="mailto:residencialbonanca@outlook.com" TargetMode="External"/><Relationship Id="rId115" Type="http://schemas.openxmlformats.org/officeDocument/2006/relationships/hyperlink" Target="http://www.rsantacruz.com.br/" TargetMode="External"/><Relationship Id="rId322" Type="http://schemas.openxmlformats.org/officeDocument/2006/relationships/hyperlink" Target="mailto:residencialgoldsenior3006@gmail.com" TargetMode="External"/><Relationship Id="rId767" Type="http://schemas.openxmlformats.org/officeDocument/2006/relationships/hyperlink" Target="http://www.gmail.com/" TargetMode="External"/><Relationship Id="rId974" Type="http://schemas.openxmlformats.org/officeDocument/2006/relationships/hyperlink" Target="http://www.casaderepousonewlife.com.br/" TargetMode="External"/><Relationship Id="rId1618" Type="http://schemas.openxmlformats.org/officeDocument/2006/relationships/hyperlink" Target="http://www.residencialsophia.com.br/" TargetMode="External"/><Relationship Id="rId1825" Type="http://schemas.openxmlformats.org/officeDocument/2006/relationships/hyperlink" Target="http://www.residencialemanuel.com.br/" TargetMode="External"/><Relationship Id="rId199" Type="http://schemas.openxmlformats.org/officeDocument/2006/relationships/hyperlink" Target="mailto:residencialvovolourdespenha@outlook.com" TargetMode="External"/><Relationship Id="rId627" Type="http://schemas.openxmlformats.org/officeDocument/2006/relationships/hyperlink" Target="http://www.hotelresidencialboavida.com.br/" TargetMode="External"/><Relationship Id="rId834" Type="http://schemas.openxmlformats.org/officeDocument/2006/relationships/hyperlink" Target="http://www.palotinas.com.br/" TargetMode="External"/><Relationship Id="rId1257" Type="http://schemas.openxmlformats.org/officeDocument/2006/relationships/hyperlink" Target="mailto:roseli@sasacalina.com.br" TargetMode="External"/><Relationship Id="rId1464" Type="http://schemas.openxmlformats.org/officeDocument/2006/relationships/hyperlink" Target="mailto:chaleseniormangalot@gmail.com" TargetMode="External"/><Relationship Id="rId1671" Type="http://schemas.openxmlformats.org/officeDocument/2006/relationships/hyperlink" Target="mailto:residencial_nossolar@hotmail.com" TargetMode="External"/><Relationship Id="rId266" Type="http://schemas.openxmlformats.org/officeDocument/2006/relationships/hyperlink" Target="mailto:everton@grupopacini.com.br" TargetMode="External"/><Relationship Id="rId473" Type="http://schemas.openxmlformats.org/officeDocument/2006/relationships/hyperlink" Target="http://www.paraisodospais.com.br/" TargetMode="External"/><Relationship Id="rId680" Type="http://schemas.openxmlformats.org/officeDocument/2006/relationships/hyperlink" Target="http://www.outlook.com.br/" TargetMode="External"/><Relationship Id="rId901" Type="http://schemas.openxmlformats.org/officeDocument/2006/relationships/hyperlink" Target="mailto:gerencia.sezefredo@fundacaoreviver.com.br" TargetMode="External"/><Relationship Id="rId1117" Type="http://schemas.openxmlformats.org/officeDocument/2006/relationships/hyperlink" Target="mailto:administra&#231;&#227;o@funda&#231;&#227;ojulita.org.br" TargetMode="External"/><Relationship Id="rId1324" Type="http://schemas.openxmlformats.org/officeDocument/2006/relationships/hyperlink" Target="mailto:chendechristo@terra.com.br" TargetMode="External"/><Relationship Id="rId1531" Type="http://schemas.openxmlformats.org/officeDocument/2006/relationships/hyperlink" Target="http://www.edemcentrodia.com.br/" TargetMode="External"/><Relationship Id="rId1769" Type="http://schemas.openxmlformats.org/officeDocument/2006/relationships/hyperlink" Target="http://www.residencialtatuape.com.br/" TargetMode="External"/><Relationship Id="rId30" Type="http://schemas.openxmlformats.org/officeDocument/2006/relationships/hyperlink" Target="http://www.lardivinoamigo.org.br/" TargetMode="External"/><Relationship Id="rId126" Type="http://schemas.openxmlformats.org/officeDocument/2006/relationships/hyperlink" Target="http://www.abrati.org/" TargetMode="External"/><Relationship Id="rId333" Type="http://schemas.openxmlformats.org/officeDocument/2006/relationships/hyperlink" Target="mailto:cor.psicossocial@gmail.com" TargetMode="External"/><Relationship Id="rId540" Type="http://schemas.openxmlformats.org/officeDocument/2006/relationships/hyperlink" Target="http://www.iirnac@irnac.com.br/" TargetMode="External"/><Relationship Id="rId778" Type="http://schemas.openxmlformats.org/officeDocument/2006/relationships/hyperlink" Target="http://www.gmail.com/" TargetMode="External"/><Relationship Id="rId985" Type="http://schemas.openxmlformats.org/officeDocument/2006/relationships/hyperlink" Target="mailto:coordenacao@gritocontinental.org" TargetMode="External"/><Relationship Id="rId1170" Type="http://schemas.openxmlformats.org/officeDocument/2006/relationships/hyperlink" Target="mailto:r.vovomargarida@gmail.com" TargetMode="External"/><Relationship Id="rId1629" Type="http://schemas.openxmlformats.org/officeDocument/2006/relationships/hyperlink" Target="mailto:contato@bellasenior.com.br" TargetMode="External"/><Relationship Id="rId1836" Type="http://schemas.openxmlformats.org/officeDocument/2006/relationships/hyperlink" Target="mailto:aevm@enyvieira.com.br" TargetMode="External"/><Relationship Id="rId638" Type="http://schemas.openxmlformats.org/officeDocument/2006/relationships/hyperlink" Target="http://www.gmail.com/" TargetMode="External"/><Relationship Id="rId845" Type="http://schemas.openxmlformats.org/officeDocument/2006/relationships/hyperlink" Target="http://www.gmail.com/" TargetMode="External"/><Relationship Id="rId1030" Type="http://schemas.openxmlformats.org/officeDocument/2006/relationships/hyperlink" Target="mailto:enfermeira.karen@residencialtoniolo.com.br" TargetMode="External"/><Relationship Id="rId1268" Type="http://schemas.openxmlformats.org/officeDocument/2006/relationships/hyperlink" Target="mailto:thiagoenfe@gmail.com" TargetMode="External"/><Relationship Id="rId1475" Type="http://schemas.openxmlformats.org/officeDocument/2006/relationships/hyperlink" Target="mailto:nelio@vilabrasilis.com.br" TargetMode="External"/><Relationship Id="rId1682" Type="http://schemas.openxmlformats.org/officeDocument/2006/relationships/hyperlink" Target="mailto:casaraobrasil.projetos@gmail.com" TargetMode="External"/><Relationship Id="rId1903" Type="http://schemas.openxmlformats.org/officeDocument/2006/relationships/hyperlink" Target="mailto:abasvitoriosas@gmail.com" TargetMode="External"/><Relationship Id="rId277" Type="http://schemas.openxmlformats.org/officeDocument/2006/relationships/hyperlink" Target="http://www.sabsapopemba.com.br/" TargetMode="External"/><Relationship Id="rId400" Type="http://schemas.openxmlformats.org/officeDocument/2006/relationships/hyperlink" Target="http://www.acaounivida.org.br/" TargetMode="External"/><Relationship Id="rId484" Type="http://schemas.openxmlformats.org/officeDocument/2006/relationships/hyperlink" Target="mailto:amaobranca@amaobranca.org.br" TargetMode="External"/><Relationship Id="rId705" Type="http://schemas.openxmlformats.org/officeDocument/2006/relationships/hyperlink" Target="http://www.yahoo.com.br/" TargetMode="External"/><Relationship Id="rId1128" Type="http://schemas.openxmlformats.org/officeDocument/2006/relationships/hyperlink" Target="mailto:presidente@sindicatodosaposentados.org.br" TargetMode="External"/><Relationship Id="rId1335" Type="http://schemas.openxmlformats.org/officeDocument/2006/relationships/hyperlink" Target="mailto:secretaria@bunkyo.org.br" TargetMode="External"/><Relationship Id="rId1542" Type="http://schemas.openxmlformats.org/officeDocument/2006/relationships/hyperlink" Target="mailto:abrati@abrati.org" TargetMode="External"/><Relationship Id="rId137" Type="http://schemas.openxmlformats.org/officeDocument/2006/relationships/hyperlink" Target="http://www.recantodasflores.org.br/" TargetMode="External"/><Relationship Id="rId344" Type="http://schemas.openxmlformats.org/officeDocument/2006/relationships/hyperlink" Target="mailto:residencial.bgv@gmail.com" TargetMode="External"/><Relationship Id="rId691" Type="http://schemas.openxmlformats.org/officeDocument/2006/relationships/hyperlink" Target="http://www.gmail.com/" TargetMode="External"/><Relationship Id="rId789" Type="http://schemas.openxmlformats.org/officeDocument/2006/relationships/hyperlink" Target="http://www.grupopacini.com.br/" TargetMode="External"/><Relationship Id="rId912" Type="http://schemas.openxmlformats.org/officeDocument/2006/relationships/hyperlink" Target="mailto:joser.andrade8@gmail.com" TargetMode="External"/><Relationship Id="rId996" Type="http://schemas.openxmlformats.org/officeDocument/2006/relationships/hyperlink" Target="http://www.acirmesp.org.br/" TargetMode="External"/><Relationship Id="rId1847" Type="http://schemas.openxmlformats.org/officeDocument/2006/relationships/hyperlink" Target="mailto:palmeiraazull@gmail.com" TargetMode="External"/><Relationship Id="rId41" Type="http://schemas.openxmlformats.org/officeDocument/2006/relationships/hyperlink" Target="http://www.mamae.org.br/" TargetMode="External"/><Relationship Id="rId551" Type="http://schemas.openxmlformats.org/officeDocument/2006/relationships/hyperlink" Target="http://www.associacaodepipas.org/" TargetMode="External"/><Relationship Id="rId649" Type="http://schemas.openxmlformats.org/officeDocument/2006/relationships/hyperlink" Target="http://www.hotmail.com/" TargetMode="External"/><Relationship Id="rId856" Type="http://schemas.openxmlformats.org/officeDocument/2006/relationships/hyperlink" Target="http://www.gmail.com/" TargetMode="External"/><Relationship Id="rId1181" Type="http://schemas.openxmlformats.org/officeDocument/2006/relationships/hyperlink" Target="mailto:tesoureiro@recantodasflores.org.br" TargetMode="External"/><Relationship Id="rId1279" Type="http://schemas.openxmlformats.org/officeDocument/2006/relationships/hyperlink" Target="mailto:casaclamor@cavanis.org.br" TargetMode="External"/><Relationship Id="rId1402" Type="http://schemas.openxmlformats.org/officeDocument/2006/relationships/hyperlink" Target="mailto:casaderepousobemviver@gmail.com" TargetMode="External"/><Relationship Id="rId1486" Type="http://schemas.openxmlformats.org/officeDocument/2006/relationships/hyperlink" Target="mailto:ivetefestino@hotmail.com" TargetMode="External"/><Relationship Id="rId1707" Type="http://schemas.openxmlformats.org/officeDocument/2006/relationships/hyperlink" Target="http://www.casarepousoliberty.com/" TargetMode="External"/><Relationship Id="rId190" Type="http://schemas.openxmlformats.org/officeDocument/2006/relationships/hyperlink" Target="mailto:unifreguesia@gmail.com" TargetMode="External"/><Relationship Id="rId204" Type="http://schemas.openxmlformats.org/officeDocument/2006/relationships/hyperlink" Target="http://www.residencialflore.com.br/" TargetMode="External"/><Relationship Id="rId288" Type="http://schemas.openxmlformats.org/officeDocument/2006/relationships/hyperlink" Target="http://www.casaluzdocaminho.org.br/" TargetMode="External"/><Relationship Id="rId411" Type="http://schemas.openxmlformats.org/officeDocument/2006/relationships/hyperlink" Target="mailto:residencialgeriatricoluzdoamor@gmail.com" TargetMode="External"/><Relationship Id="rId509" Type="http://schemas.openxmlformats.org/officeDocument/2006/relationships/hyperlink" Target="mailto:janete.safe@outlook.com" TargetMode="External"/><Relationship Id="rId1041" Type="http://schemas.openxmlformats.org/officeDocument/2006/relationships/hyperlink" Target="mailto:dani.chimbata@outlook.com" TargetMode="External"/><Relationship Id="rId1139" Type="http://schemas.openxmlformats.org/officeDocument/2006/relationships/hyperlink" Target="mailto:contato.cephas@yahoo.com" TargetMode="External"/><Relationship Id="rId1346" Type="http://schemas.openxmlformats.org/officeDocument/2006/relationships/hyperlink" Target="mailto:gama_edi@yahoo.com.br" TargetMode="External"/><Relationship Id="rId1693" Type="http://schemas.openxmlformats.org/officeDocument/2006/relationships/hyperlink" Target="http://www.institutosocialasecab.org/" TargetMode="External"/><Relationship Id="rId1914" Type="http://schemas.openxmlformats.org/officeDocument/2006/relationships/hyperlink" Target="mailto:contato@acebsp.org.br" TargetMode="External"/><Relationship Id="rId495" Type="http://schemas.openxmlformats.org/officeDocument/2006/relationships/hyperlink" Target="http://www.clinicacherubins.com.br/" TargetMode="External"/><Relationship Id="rId716" Type="http://schemas.openxmlformats.org/officeDocument/2006/relationships/hyperlink" Target="http://www.gmail.com/" TargetMode="External"/><Relationship Id="rId923" Type="http://schemas.openxmlformats.org/officeDocument/2006/relationships/hyperlink" Target="http://www.vilabrasilis.com.br/" TargetMode="External"/><Relationship Id="rId1553" Type="http://schemas.openxmlformats.org/officeDocument/2006/relationships/hyperlink" Target="http://www.unibes.org.br/" TargetMode="External"/><Relationship Id="rId1760" Type="http://schemas.openxmlformats.org/officeDocument/2006/relationships/hyperlink" Target="mailto:associacaobeneficentelonan@hotmail.com" TargetMode="External"/><Relationship Id="rId1858" Type="http://schemas.openxmlformats.org/officeDocument/2006/relationships/hyperlink" Target="http://www.tempodeamarnamelhoridade.com.br/" TargetMode="External"/><Relationship Id="rId52" Type="http://schemas.openxmlformats.org/officeDocument/2006/relationships/hyperlink" Target="http://www.unibes.org.br/" TargetMode="External"/><Relationship Id="rId148" Type="http://schemas.openxmlformats.org/officeDocument/2006/relationships/hyperlink" Target="http://www.recanto3idade.com.br/" TargetMode="External"/><Relationship Id="rId355" Type="http://schemas.openxmlformats.org/officeDocument/2006/relationships/hyperlink" Target="mailto:crnovonascimento@gmail.com" TargetMode="External"/><Relationship Id="rId562" Type="http://schemas.openxmlformats.org/officeDocument/2006/relationships/hyperlink" Target="mailto:fernandojpsouza@hotmail.com" TargetMode="External"/><Relationship Id="rId1192" Type="http://schemas.openxmlformats.org/officeDocument/2006/relationships/hyperlink" Target="mailto:contato@casaderepousopordosol.com.br" TargetMode="External"/><Relationship Id="rId1206" Type="http://schemas.openxmlformats.org/officeDocument/2006/relationships/hyperlink" Target="mailto:lvresidencialsenior@gmail.com" TargetMode="External"/><Relationship Id="rId1413" Type="http://schemas.openxmlformats.org/officeDocument/2006/relationships/hyperlink" Target="mailto:administrativo@residencialnewcare.com.br" TargetMode="External"/><Relationship Id="rId1620" Type="http://schemas.openxmlformats.org/officeDocument/2006/relationships/hyperlink" Target="http://www.casamariaflor.com.br/" TargetMode="External"/><Relationship Id="rId215" Type="http://schemas.openxmlformats.org/officeDocument/2006/relationships/hyperlink" Target="mailto:ccacebech@gmail.com" TargetMode="External"/><Relationship Id="rId422" Type="http://schemas.openxmlformats.org/officeDocument/2006/relationships/hyperlink" Target="http://www.identidadeperiferica.org/" TargetMode="External"/><Relationship Id="rId867" Type="http://schemas.openxmlformats.org/officeDocument/2006/relationships/hyperlink" Target="http://www.grupopacini.com.br/" TargetMode="External"/><Relationship Id="rId1052" Type="http://schemas.openxmlformats.org/officeDocument/2006/relationships/hyperlink" Target="mailto:casaderepouso.vp2@gmail.com" TargetMode="External"/><Relationship Id="rId1497" Type="http://schemas.openxmlformats.org/officeDocument/2006/relationships/hyperlink" Target="mailto:clarinha23021979@gmail.com" TargetMode="External"/><Relationship Id="rId1718" Type="http://schemas.openxmlformats.org/officeDocument/2006/relationships/hyperlink" Target="mailto:contato@fundacaohanseniase.org.br" TargetMode="External"/><Relationship Id="rId1925" Type="http://schemas.openxmlformats.org/officeDocument/2006/relationships/hyperlink" Target="mailto:diegocerqueiradasilva8@gmail.com" TargetMode="External"/><Relationship Id="rId299" Type="http://schemas.openxmlformats.org/officeDocument/2006/relationships/hyperlink" Target="http://www.casaderepousovh.com.br/" TargetMode="External"/><Relationship Id="rId727" Type="http://schemas.openxmlformats.org/officeDocument/2006/relationships/hyperlink" Target="http://www.meuaconchego.com.br/" TargetMode="External"/><Relationship Id="rId934" Type="http://schemas.openxmlformats.org/officeDocument/2006/relationships/hyperlink" Target="mailto:org.bracosfortes@gmail.com" TargetMode="External"/><Relationship Id="rId1357" Type="http://schemas.openxmlformats.org/officeDocument/2006/relationships/hyperlink" Target="mailto:everton@grupopacini.com.br" TargetMode="External"/><Relationship Id="rId1564" Type="http://schemas.openxmlformats.org/officeDocument/2006/relationships/hyperlink" Target="mailto:institutomacedonia4@gmail.com" TargetMode="External"/><Relationship Id="rId1771" Type="http://schemas.openxmlformats.org/officeDocument/2006/relationships/hyperlink" Target="mailto:cedesc.pqf@gmail.com" TargetMode="External"/><Relationship Id="rId63" Type="http://schemas.openxmlformats.org/officeDocument/2006/relationships/hyperlink" Target="http://www.apoio-sp.org.br/" TargetMode="External"/><Relationship Id="rId159" Type="http://schemas.openxmlformats.org/officeDocument/2006/relationships/hyperlink" Target="http://www.saogenaro.com.br/" TargetMode="External"/><Relationship Id="rId366" Type="http://schemas.openxmlformats.org/officeDocument/2006/relationships/hyperlink" Target="http://www.casaderepousovilacarrao.com.br/" TargetMode="External"/><Relationship Id="rId573" Type="http://schemas.openxmlformats.org/officeDocument/2006/relationships/hyperlink" Target="http://www.grupopacini.com.br/" TargetMode="External"/><Relationship Id="rId780" Type="http://schemas.openxmlformats.org/officeDocument/2006/relationships/hyperlink" Target="http://www.outlook.com/" TargetMode="External"/><Relationship Id="rId1217" Type="http://schemas.openxmlformats.org/officeDocument/2006/relationships/hyperlink" Target="mailto:recanto.adm.sp@gmail.com" TargetMode="External"/><Relationship Id="rId1424" Type="http://schemas.openxmlformats.org/officeDocument/2006/relationships/hyperlink" Target="mailto:renatur07@gmail.com" TargetMode="External"/><Relationship Id="rId1631" Type="http://schemas.openxmlformats.org/officeDocument/2006/relationships/hyperlink" Target="mailto:contabil.unas@gmail.com" TargetMode="External"/><Relationship Id="rId1869" Type="http://schemas.openxmlformats.org/officeDocument/2006/relationships/hyperlink" Target="http://www.caritascl.org.br/" TargetMode="External"/><Relationship Id="rId226" Type="http://schemas.openxmlformats.org/officeDocument/2006/relationships/hyperlink" Target="mailto:camilajp300@gmail.com" TargetMode="External"/><Relationship Id="rId433" Type="http://schemas.openxmlformats.org/officeDocument/2006/relationships/hyperlink" Target="mailto:repouso.idososalianca@gmail.com" TargetMode="External"/><Relationship Id="rId878" Type="http://schemas.openxmlformats.org/officeDocument/2006/relationships/hyperlink" Target="http://www.coraresidencial.com.br/" TargetMode="External"/><Relationship Id="rId1063" Type="http://schemas.openxmlformats.org/officeDocument/2006/relationships/hyperlink" Target="mailto:casarenascer2016@gmail.com" TargetMode="External"/><Relationship Id="rId1270" Type="http://schemas.openxmlformats.org/officeDocument/2006/relationships/hyperlink" Target="mailto:legalizacao@bslsaude.com.br" TargetMode="External"/><Relationship Id="rId1729" Type="http://schemas.openxmlformats.org/officeDocument/2006/relationships/hyperlink" Target="mailto:carlaprates@fundacaojulita.org.br" TargetMode="External"/><Relationship Id="rId1936" Type="http://schemas.openxmlformats.org/officeDocument/2006/relationships/hyperlink" Target="mailto:contato@oscesperanca.org.br" TargetMode="External"/><Relationship Id="rId640" Type="http://schemas.openxmlformats.org/officeDocument/2006/relationships/hyperlink" Target="http://www.grupoipcsaude.com.br/" TargetMode="External"/><Relationship Id="rId738" Type="http://schemas.openxmlformats.org/officeDocument/2006/relationships/hyperlink" Target="http://www.gmail.com/" TargetMode="External"/><Relationship Id="rId945" Type="http://schemas.openxmlformats.org/officeDocument/2006/relationships/hyperlink" Target="http://www.exercitodesalvacao.org.br/" TargetMode="External"/><Relationship Id="rId1368" Type="http://schemas.openxmlformats.org/officeDocument/2006/relationships/hyperlink" Target="mailto:r.forgiarini@orpea.com.br" TargetMode="External"/><Relationship Id="rId1575" Type="http://schemas.openxmlformats.org/officeDocument/2006/relationships/hyperlink" Target="http://www.instituicaoirmaosdevida.com.br/" TargetMode="External"/><Relationship Id="rId1782" Type="http://schemas.openxmlformats.org/officeDocument/2006/relationships/hyperlink" Target="http://www.companhiamaja.org.br/" TargetMode="External"/><Relationship Id="rId74" Type="http://schemas.openxmlformats.org/officeDocument/2006/relationships/hyperlink" Target="http://www.aeb-brasil.org.br/" TargetMode="External"/><Relationship Id="rId377" Type="http://schemas.openxmlformats.org/officeDocument/2006/relationships/hyperlink" Target="http://www.casaderepousosamaritana.com.br/" TargetMode="External"/><Relationship Id="rId500" Type="http://schemas.openxmlformats.org/officeDocument/2006/relationships/hyperlink" Target="mailto:fisiocorp12@bol.com.br" TargetMode="External"/><Relationship Id="rId584" Type="http://schemas.openxmlformats.org/officeDocument/2006/relationships/hyperlink" Target="http://www.hotmail.com/" TargetMode="External"/><Relationship Id="rId805" Type="http://schemas.openxmlformats.org/officeDocument/2006/relationships/hyperlink" Target="http://www.uol.com.br/" TargetMode="External"/><Relationship Id="rId1130" Type="http://schemas.openxmlformats.org/officeDocument/2006/relationships/hyperlink" Target="mailto:contato.newheavenresidencialsr@gmail.com" TargetMode="External"/><Relationship Id="rId1228" Type="http://schemas.openxmlformats.org/officeDocument/2006/relationships/hyperlink" Target="mailto:residencialvovocatarina@gmail.com" TargetMode="External"/><Relationship Id="rId1435" Type="http://schemas.openxmlformats.org/officeDocument/2006/relationships/hyperlink" Target="mailto:parceria.pmsp@adventistas.org" TargetMode="External"/><Relationship Id="rId5" Type="http://schemas.openxmlformats.org/officeDocument/2006/relationships/hyperlink" Target="http://www.cacs-cairbarschutel.org.br/" TargetMode="External"/><Relationship Id="rId237" Type="http://schemas.openxmlformats.org/officeDocument/2006/relationships/hyperlink" Target="http://www.institutoirmadulce.org.br/" TargetMode="External"/><Relationship Id="rId791" Type="http://schemas.openxmlformats.org/officeDocument/2006/relationships/hyperlink" Target="http://www.tercadaserra.com.br/" TargetMode="External"/><Relationship Id="rId889" Type="http://schemas.openxmlformats.org/officeDocument/2006/relationships/hyperlink" Target="mailto:social@ctn.org.br" TargetMode="External"/><Relationship Id="rId1074" Type="http://schemas.openxmlformats.org/officeDocument/2006/relationships/hyperlink" Target="mailto:coordenacao@espacoaberto.org.br" TargetMode="External"/><Relationship Id="rId1642" Type="http://schemas.openxmlformats.org/officeDocument/2006/relationships/hyperlink" Target="http://www.sonhareacontecer.org.br/" TargetMode="External"/><Relationship Id="rId1947" Type="http://schemas.openxmlformats.org/officeDocument/2006/relationships/table" Target="../tables/table1.xml"/><Relationship Id="rId444" Type="http://schemas.openxmlformats.org/officeDocument/2006/relationships/hyperlink" Target="mailto:repouso.idososalianca@gmail.com" TargetMode="External"/><Relationship Id="rId651" Type="http://schemas.openxmlformats.org/officeDocument/2006/relationships/hyperlink" Target="http://www.socialbomjesus.org.br/" TargetMode="External"/><Relationship Id="rId749" Type="http://schemas.openxmlformats.org/officeDocument/2006/relationships/hyperlink" Target="http://www.gmail.com/" TargetMode="External"/><Relationship Id="rId1281" Type="http://schemas.openxmlformats.org/officeDocument/2006/relationships/hyperlink" Target="mailto:casaderepousolongevidade@gmail.com" TargetMode="External"/><Relationship Id="rId1379" Type="http://schemas.openxmlformats.org/officeDocument/2006/relationships/hyperlink" Target="mailto:contato@jardimdasaude.com" TargetMode="External"/><Relationship Id="rId1502" Type="http://schemas.openxmlformats.org/officeDocument/2006/relationships/hyperlink" Target="http://www.abegui.org/" TargetMode="External"/><Relationship Id="rId1586" Type="http://schemas.openxmlformats.org/officeDocument/2006/relationships/hyperlink" Target="mailto:dautoralves@gmail.com" TargetMode="External"/><Relationship Id="rId1807" Type="http://schemas.openxmlformats.org/officeDocument/2006/relationships/hyperlink" Target="mailto:certificados@lemecontabil.com.br" TargetMode="External"/><Relationship Id="rId290" Type="http://schemas.openxmlformats.org/officeDocument/2006/relationships/hyperlink" Target="mailto:contato@sfresidencialparaidosos.com.br" TargetMode="External"/><Relationship Id="rId304" Type="http://schemas.openxmlformats.org/officeDocument/2006/relationships/hyperlink" Target="http://www.novauniaodaarte.org/" TargetMode="External"/><Relationship Id="rId388" Type="http://schemas.openxmlformats.org/officeDocument/2006/relationships/hyperlink" Target="http://www.residencialnovotempo.com.br/" TargetMode="External"/><Relationship Id="rId511" Type="http://schemas.openxmlformats.org/officeDocument/2006/relationships/hyperlink" Target="mailto:campobelo@tercadaserra.com.br" TargetMode="External"/><Relationship Id="rId609" Type="http://schemas.openxmlformats.org/officeDocument/2006/relationships/hyperlink" Target="http://www.gmail.com/" TargetMode="External"/><Relationship Id="rId956" Type="http://schemas.openxmlformats.org/officeDocument/2006/relationships/hyperlink" Target="mailto:odeliachacara@gmail.com" TargetMode="External"/><Relationship Id="rId1141" Type="http://schemas.openxmlformats.org/officeDocument/2006/relationships/hyperlink" Target="mailto:jeanilpibt.samaritano@gmail.com" TargetMode="External"/><Relationship Id="rId1239" Type="http://schemas.openxmlformats.org/officeDocument/2006/relationships/hyperlink" Target="mailto:juridico@abrigobezerrademenezes.org.br" TargetMode="External"/><Relationship Id="rId1793" Type="http://schemas.openxmlformats.org/officeDocument/2006/relationships/hyperlink" Target="http://www.residencialsaodomingos.com.br/" TargetMode="External"/><Relationship Id="rId85" Type="http://schemas.openxmlformats.org/officeDocument/2006/relationships/hyperlink" Target="http://www.sasacalina.com.br/" TargetMode="External"/><Relationship Id="rId150" Type="http://schemas.openxmlformats.org/officeDocument/2006/relationships/hyperlink" Target="http://www.residencialharmonia.com.br/" TargetMode="External"/><Relationship Id="rId595" Type="http://schemas.openxmlformats.org/officeDocument/2006/relationships/hyperlink" Target="http://www.hotmail.com/" TargetMode="External"/><Relationship Id="rId816" Type="http://schemas.openxmlformats.org/officeDocument/2006/relationships/hyperlink" Target="http://www.gmail.com/" TargetMode="External"/><Relationship Id="rId1001" Type="http://schemas.openxmlformats.org/officeDocument/2006/relationships/hyperlink" Target="http://www.casaderepousomundial.com.br/" TargetMode="External"/><Relationship Id="rId1446" Type="http://schemas.openxmlformats.org/officeDocument/2006/relationships/hyperlink" Target="mailto:alexandre@akhanda.com.br" TargetMode="External"/><Relationship Id="rId1653" Type="http://schemas.openxmlformats.org/officeDocument/2006/relationships/hyperlink" Target="mailto:contato@fundacaohanseniase.org.br" TargetMode="External"/><Relationship Id="rId1860" Type="http://schemas.openxmlformats.org/officeDocument/2006/relationships/hyperlink" Target="mailto:ceo@baccarelli.org.br" TargetMode="External"/><Relationship Id="rId248" Type="http://schemas.openxmlformats.org/officeDocument/2006/relationships/hyperlink" Target="http://www.primeirodeoutubro.com.br/" TargetMode="External"/><Relationship Id="rId455" Type="http://schemas.openxmlformats.org/officeDocument/2006/relationships/hyperlink" Target="http://www.residencialrecanto.com.br/" TargetMode="External"/><Relationship Id="rId662" Type="http://schemas.openxmlformats.org/officeDocument/2006/relationships/hyperlink" Target="http://www.gmail.com/" TargetMode="External"/><Relationship Id="rId1085" Type="http://schemas.openxmlformats.org/officeDocument/2006/relationships/hyperlink" Target="mailto:admprojetos@institutoolgakos.org.br" TargetMode="External"/><Relationship Id="rId1292" Type="http://schemas.openxmlformats.org/officeDocument/2006/relationships/hyperlink" Target="mailto:contatoresidencialflordelotus@gmail.com" TargetMode="External"/><Relationship Id="rId1306" Type="http://schemas.openxmlformats.org/officeDocument/2006/relationships/hyperlink" Target="mailto:casaderepouso@residencialviladossonhos.com" TargetMode="External"/><Relationship Id="rId1513" Type="http://schemas.openxmlformats.org/officeDocument/2006/relationships/hyperlink" Target="http://www.espacovitalis.com.br/" TargetMode="External"/><Relationship Id="rId1720" Type="http://schemas.openxmlformats.org/officeDocument/2006/relationships/hyperlink" Target="mailto:contato@casaderepousoluzeesperanca.com.br" TargetMode="External"/><Relationship Id="rId12" Type="http://schemas.openxmlformats.org/officeDocument/2006/relationships/hyperlink" Target="http://www.bunkyo.org.br/" TargetMode="External"/><Relationship Id="rId108" Type="http://schemas.openxmlformats.org/officeDocument/2006/relationships/hyperlink" Target="http://www.centrosocialbomjesus.org.br/" TargetMode="External"/><Relationship Id="rId315" Type="http://schemas.openxmlformats.org/officeDocument/2006/relationships/hyperlink" Target="http://www.horasdavida.org.br/" TargetMode="External"/><Relationship Id="rId522" Type="http://schemas.openxmlformats.org/officeDocument/2006/relationships/hyperlink" Target="mailto:primaveraipp@hotmail.com" TargetMode="External"/><Relationship Id="rId967" Type="http://schemas.openxmlformats.org/officeDocument/2006/relationships/hyperlink" Target="http://www.acrock.com.br/" TargetMode="External"/><Relationship Id="rId1152" Type="http://schemas.openxmlformats.org/officeDocument/2006/relationships/hyperlink" Target="mailto:vchadad@hcor.com.br" TargetMode="External"/><Relationship Id="rId1597" Type="http://schemas.openxmlformats.org/officeDocument/2006/relationships/hyperlink" Target="http://www.inataa.org.br/" TargetMode="External"/><Relationship Id="rId1818" Type="http://schemas.openxmlformats.org/officeDocument/2006/relationships/hyperlink" Target="http://www.institutoolgakos.org.br/" TargetMode="External"/><Relationship Id="rId96" Type="http://schemas.openxmlformats.org/officeDocument/2006/relationships/hyperlink" Target="http://www.cip.org.br/" TargetMode="External"/><Relationship Id="rId161" Type="http://schemas.openxmlformats.org/officeDocument/2006/relationships/hyperlink" Target="http://www.cgpaulista.com.br/" TargetMode="External"/><Relationship Id="rId399" Type="http://schemas.openxmlformats.org/officeDocument/2006/relationships/hyperlink" Target="mailto:acaounivida@acaounivida.org.br" TargetMode="External"/><Relationship Id="rId827" Type="http://schemas.openxmlformats.org/officeDocument/2006/relationships/hyperlink" Target="http://www.yahoo.com.br/" TargetMode="External"/><Relationship Id="rId1012" Type="http://schemas.openxmlformats.org/officeDocument/2006/relationships/hyperlink" Target="mailto:tricotandocasailpi@gmail.com" TargetMode="External"/><Relationship Id="rId1457" Type="http://schemas.openxmlformats.org/officeDocument/2006/relationships/hyperlink" Target="mailto:aconchegog@gmail.com" TargetMode="External"/><Relationship Id="rId1664" Type="http://schemas.openxmlformats.org/officeDocument/2006/relationships/hyperlink" Target="mailto:associacaodemulheresjovarural@gmail.com" TargetMode="External"/><Relationship Id="rId1871" Type="http://schemas.openxmlformats.org/officeDocument/2006/relationships/hyperlink" Target="mailto:institutodipi@gmail.com" TargetMode="External"/><Relationship Id="rId259" Type="http://schemas.openxmlformats.org/officeDocument/2006/relationships/hyperlink" Target="http://www.olhe.org.br/" TargetMode="External"/><Relationship Id="rId466" Type="http://schemas.openxmlformats.org/officeDocument/2006/relationships/hyperlink" Target="mailto:msacuidados@gmail.com" TargetMode="External"/><Relationship Id="rId673" Type="http://schemas.openxmlformats.org/officeDocument/2006/relationships/hyperlink" Target="http://www.www.nossoinstitutoanima.com.br/" TargetMode="External"/><Relationship Id="rId880" Type="http://schemas.openxmlformats.org/officeDocument/2006/relationships/hyperlink" Target="http://www.casaderepousoarcoiris.com.br/" TargetMode="External"/><Relationship Id="rId1096" Type="http://schemas.openxmlformats.org/officeDocument/2006/relationships/hyperlink" Target="mailto:contato@residencialnovosamigos.com.br" TargetMode="External"/><Relationship Id="rId1317" Type="http://schemas.openxmlformats.org/officeDocument/2006/relationships/hyperlink" Target="mailto:serprocon@globo.com" TargetMode="External"/><Relationship Id="rId1524" Type="http://schemas.openxmlformats.org/officeDocument/2006/relationships/hyperlink" Target="http://www.casasimaopedro.k6.com.br/" TargetMode="External"/><Relationship Id="rId1731" Type="http://schemas.openxmlformats.org/officeDocument/2006/relationships/hyperlink" Target="mailto:azul@casaderepousorecantoazul.com.br" TargetMode="External"/><Relationship Id="rId23" Type="http://schemas.openxmlformats.org/officeDocument/2006/relationships/hyperlink" Target="http://www.residencialvivere.com.br/" TargetMode="External"/><Relationship Id="rId119" Type="http://schemas.openxmlformats.org/officeDocument/2006/relationships/hyperlink" Target="http://www.residencialmelhoridade.com.br/" TargetMode="External"/><Relationship Id="rId326" Type="http://schemas.openxmlformats.org/officeDocument/2006/relationships/hyperlink" Target="http://www.sba-br.org.br/" TargetMode="External"/><Relationship Id="rId533" Type="http://schemas.openxmlformats.org/officeDocument/2006/relationships/hyperlink" Target="mailto:andremosca83@gmail.com" TargetMode="External"/><Relationship Id="rId978" Type="http://schemas.openxmlformats.org/officeDocument/2006/relationships/hyperlink" Target="mailto:fjosenilda@gmail.com" TargetMode="External"/><Relationship Id="rId1163" Type="http://schemas.openxmlformats.org/officeDocument/2006/relationships/hyperlink" Target="mailto:sandra.bernardo.araujo@gmail.com" TargetMode="External"/><Relationship Id="rId1370" Type="http://schemas.openxmlformats.org/officeDocument/2006/relationships/hyperlink" Target="mailto:r.vovomargarida@gmail.com" TargetMode="External"/><Relationship Id="rId1829" Type="http://schemas.openxmlformats.org/officeDocument/2006/relationships/hyperlink" Target="http://www.casaderepousogirassois.com.br/" TargetMode="External"/><Relationship Id="rId740" Type="http://schemas.openxmlformats.org/officeDocument/2006/relationships/hyperlink" Target="http://www.qualidadedeviver.com.br/" TargetMode="External"/><Relationship Id="rId838" Type="http://schemas.openxmlformats.org/officeDocument/2006/relationships/hyperlink" Target="http://www.gmail.com/" TargetMode="External"/><Relationship Id="rId1023" Type="http://schemas.openxmlformats.org/officeDocument/2006/relationships/hyperlink" Target="mailto:amorevidaresidencialsenior@gmail.com" TargetMode="External"/><Relationship Id="rId1468" Type="http://schemas.openxmlformats.org/officeDocument/2006/relationships/hyperlink" Target="mailto:institutopracimazonaleste@gmail.com" TargetMode="External"/><Relationship Id="rId1675" Type="http://schemas.openxmlformats.org/officeDocument/2006/relationships/hyperlink" Target="http://www.casateresa.com.br/" TargetMode="External"/><Relationship Id="rId1882" Type="http://schemas.openxmlformats.org/officeDocument/2006/relationships/hyperlink" Target="mailto:luzdocampoadm@gmail.com" TargetMode="External"/><Relationship Id="rId172" Type="http://schemas.openxmlformats.org/officeDocument/2006/relationships/hyperlink" Target="mailto:associacaofabiocandido@hotmail.com" TargetMode="External"/><Relationship Id="rId477" Type="http://schemas.openxmlformats.org/officeDocument/2006/relationships/hyperlink" Target="mailto:rmelhoridade14977@gmail.com" TargetMode="External"/><Relationship Id="rId600" Type="http://schemas.openxmlformats.org/officeDocument/2006/relationships/hyperlink" Target="http://www.hotmail.com/" TargetMode="External"/><Relationship Id="rId684" Type="http://schemas.openxmlformats.org/officeDocument/2006/relationships/hyperlink" Target="http://www.tricotandocasa.com.br/" TargetMode="External"/><Relationship Id="rId1230" Type="http://schemas.openxmlformats.org/officeDocument/2006/relationships/hyperlink" Target="mailto:gaia@grupogaia.org.br" TargetMode="External"/><Relationship Id="rId1328" Type="http://schemas.openxmlformats.org/officeDocument/2006/relationships/hyperlink" Target="mailto:camila@csleao13.org.br" TargetMode="External"/><Relationship Id="rId1535" Type="http://schemas.openxmlformats.org/officeDocument/2006/relationships/hyperlink" Target="mailto:sensacionalviveravida1435@outlook.com" TargetMode="External"/><Relationship Id="rId337" Type="http://schemas.openxmlformats.org/officeDocument/2006/relationships/hyperlink" Target="mailto:qualidade@casavita.com.br" TargetMode="External"/><Relationship Id="rId891" Type="http://schemas.openxmlformats.org/officeDocument/2006/relationships/hyperlink" Target="mailto:migliore.eta@gmail.com" TargetMode="External"/><Relationship Id="rId905" Type="http://schemas.openxmlformats.org/officeDocument/2006/relationships/hyperlink" Target="http://www.instituogera.org/" TargetMode="External"/><Relationship Id="rId989" Type="http://schemas.openxmlformats.org/officeDocument/2006/relationships/hyperlink" Target="mailto:inovha@gmail.com" TargetMode="External"/><Relationship Id="rId1742" Type="http://schemas.openxmlformats.org/officeDocument/2006/relationships/hyperlink" Target="http://www.institutodalvarangel.com/" TargetMode="External"/><Relationship Id="rId34" Type="http://schemas.openxmlformats.org/officeDocument/2006/relationships/hyperlink" Target="http://www.jardimdavida.com.br/" TargetMode="External"/><Relationship Id="rId544" Type="http://schemas.openxmlformats.org/officeDocument/2006/relationships/hyperlink" Target="http://www.residencialvipsenior.com.br/" TargetMode="External"/><Relationship Id="rId751" Type="http://schemas.openxmlformats.org/officeDocument/2006/relationships/hyperlink" Target="http://www.outlook.com/" TargetMode="External"/><Relationship Id="rId849" Type="http://schemas.openxmlformats.org/officeDocument/2006/relationships/hyperlink" Target="http://www.gmail.com/" TargetMode="External"/><Relationship Id="rId1174" Type="http://schemas.openxmlformats.org/officeDocument/2006/relationships/hyperlink" Target="mailto:casarovigo.residencial@gmail.com" TargetMode="External"/><Relationship Id="rId1381" Type="http://schemas.openxmlformats.org/officeDocument/2006/relationships/hyperlink" Target="http://www.residencialsophia.com.br/" TargetMode="External"/><Relationship Id="rId1479" Type="http://schemas.openxmlformats.org/officeDocument/2006/relationships/hyperlink" Target="mailto:institucional@arrastao.org.br" TargetMode="External"/><Relationship Id="rId1602" Type="http://schemas.openxmlformats.org/officeDocument/2006/relationships/hyperlink" Target="mailto:vivere.residencial160@gmail.com" TargetMode="External"/><Relationship Id="rId1686" Type="http://schemas.openxmlformats.org/officeDocument/2006/relationships/hyperlink" Target="http://www.sonhareacontecer.org.br/" TargetMode="External"/><Relationship Id="rId183" Type="http://schemas.openxmlformats.org/officeDocument/2006/relationships/hyperlink" Target="mailto:castelinhoresidencial@yahoo.com" TargetMode="External"/><Relationship Id="rId390" Type="http://schemas.openxmlformats.org/officeDocument/2006/relationships/hyperlink" Target="mailto:contato@casaderepousobelaidade.com.br" TargetMode="External"/><Relationship Id="rId404" Type="http://schemas.openxmlformats.org/officeDocument/2006/relationships/hyperlink" Target="http://www.residencialmaisvida.com.br/" TargetMode="External"/><Relationship Id="rId611" Type="http://schemas.openxmlformats.org/officeDocument/2006/relationships/hyperlink" Target="http://www.ligasolidaria.org.br/" TargetMode="External"/><Relationship Id="rId1034" Type="http://schemas.openxmlformats.org/officeDocument/2006/relationships/hyperlink" Target="mailto:daniele.paz@institutoanimaeducacao.org.br" TargetMode="External"/><Relationship Id="rId1241" Type="http://schemas.openxmlformats.org/officeDocument/2006/relationships/hyperlink" Target="mailto:cinefavela@gmail.com" TargetMode="External"/><Relationship Id="rId1339" Type="http://schemas.openxmlformats.org/officeDocument/2006/relationships/hyperlink" Target="mailto:residencial.liriosdapaz@gmail.com" TargetMode="External"/><Relationship Id="rId1893" Type="http://schemas.openxmlformats.org/officeDocument/2006/relationships/hyperlink" Target="mailto:casarovigo.residencial@gmail.com" TargetMode="External"/><Relationship Id="rId1907" Type="http://schemas.openxmlformats.org/officeDocument/2006/relationships/hyperlink" Target="mailto:institutoamordeisis@gmail.com" TargetMode="External"/><Relationship Id="rId250" Type="http://schemas.openxmlformats.org/officeDocument/2006/relationships/hyperlink" Target="http://www.residencialviverbem.com.br/" TargetMode="External"/><Relationship Id="rId488" Type="http://schemas.openxmlformats.org/officeDocument/2006/relationships/hyperlink" Target="mailto:amaobranca@amaobranca.org.br" TargetMode="External"/><Relationship Id="rId695" Type="http://schemas.openxmlformats.org/officeDocument/2006/relationships/hyperlink" Target="http://www.gmail.com/" TargetMode="External"/><Relationship Id="rId709" Type="http://schemas.openxmlformats.org/officeDocument/2006/relationships/hyperlink" Target="http://www.funda&#231;&#227;ojulita.org.br/" TargetMode="External"/><Relationship Id="rId916" Type="http://schemas.openxmlformats.org/officeDocument/2006/relationships/hyperlink" Target="http://www.ondinalobo.org.br/" TargetMode="External"/><Relationship Id="rId1101" Type="http://schemas.openxmlformats.org/officeDocument/2006/relationships/hyperlink" Target="mailto:assidadedourada@outlook.com.br" TargetMode="External"/><Relationship Id="rId1546" Type="http://schemas.openxmlformats.org/officeDocument/2006/relationships/hyperlink" Target="http://www.villariresidencialsenior.com.br/" TargetMode="External"/><Relationship Id="rId1753" Type="http://schemas.openxmlformats.org/officeDocument/2006/relationships/hyperlink" Target="mailto:institutodomdiego@gmail.com" TargetMode="External"/><Relationship Id="rId45" Type="http://schemas.openxmlformats.org/officeDocument/2006/relationships/hyperlink" Target="http://www.feesp.org.br/" TargetMode="External"/><Relationship Id="rId110" Type="http://schemas.openxmlformats.org/officeDocument/2006/relationships/hyperlink" Target="http://www.centrosocialbomjesus.org.br/" TargetMode="External"/><Relationship Id="rId348" Type="http://schemas.openxmlformats.org/officeDocument/2006/relationships/hyperlink" Target="http://www.casaderepousoemfamilia.com.br/" TargetMode="External"/><Relationship Id="rId555" Type="http://schemas.openxmlformats.org/officeDocument/2006/relationships/hyperlink" Target="mailto:fernandojpsouza@hotmail.com" TargetMode="External"/><Relationship Id="rId762" Type="http://schemas.openxmlformats.org/officeDocument/2006/relationships/hyperlink" Target="http://www.casaderepousoreviver.com.br/" TargetMode="External"/><Relationship Id="rId1185" Type="http://schemas.openxmlformats.org/officeDocument/2006/relationships/hyperlink" Target="mailto:sergio@cacp.com.br" TargetMode="External"/><Relationship Id="rId1392" Type="http://schemas.openxmlformats.org/officeDocument/2006/relationships/hyperlink" Target="mailto:casaderepousoamorporvidas@gmail.com" TargetMode="External"/><Relationship Id="rId1406" Type="http://schemas.openxmlformats.org/officeDocument/2006/relationships/hyperlink" Target="mailto:casacampobelo@hotmail.com" TargetMode="External"/><Relationship Id="rId1613" Type="http://schemas.openxmlformats.org/officeDocument/2006/relationships/hyperlink" Target="mailto:secretaria@velhoamigo.org.br" TargetMode="External"/><Relationship Id="rId1820" Type="http://schemas.openxmlformats.org/officeDocument/2006/relationships/hyperlink" Target="http://www.casaderepousovocoralia.com.br/" TargetMode="External"/><Relationship Id="rId194" Type="http://schemas.openxmlformats.org/officeDocument/2006/relationships/hyperlink" Target="mailto:casaderepousomontesinai@gmail.com" TargetMode="External"/><Relationship Id="rId208" Type="http://schemas.openxmlformats.org/officeDocument/2006/relationships/hyperlink" Target="http://www.casadoidosoanaliafranco.com/" TargetMode="External"/><Relationship Id="rId415" Type="http://schemas.openxmlformats.org/officeDocument/2006/relationships/hyperlink" Target="http://www.casavilladeifiori.com/" TargetMode="External"/><Relationship Id="rId622" Type="http://schemas.openxmlformats.org/officeDocument/2006/relationships/hyperlink" Target="http://www.paraisopolis.org/" TargetMode="External"/><Relationship Id="rId1045" Type="http://schemas.openxmlformats.org/officeDocument/2006/relationships/hyperlink" Target="mailto:cdisfa@oscsamaritano.org.br" TargetMode="External"/><Relationship Id="rId1252" Type="http://schemas.openxmlformats.org/officeDocument/2006/relationships/hyperlink" Target="mailto:contato@envelhesersenior.com.br" TargetMode="External"/><Relationship Id="rId1697" Type="http://schemas.openxmlformats.org/officeDocument/2006/relationships/hyperlink" Target="mailto:institutogerandokairos@gmail.com" TargetMode="External"/><Relationship Id="rId1918" Type="http://schemas.openxmlformats.org/officeDocument/2006/relationships/hyperlink" Target="mailto:chabad@chabad.org.br" TargetMode="External"/><Relationship Id="rId261" Type="http://schemas.openxmlformats.org/officeDocument/2006/relationships/hyperlink" Target="http://www.olhe.org.br/" TargetMode="External"/><Relationship Id="rId499" Type="http://schemas.openxmlformats.org/officeDocument/2006/relationships/hyperlink" Target="http://www.residencialseniorsantanna.om.br/" TargetMode="External"/><Relationship Id="rId927" Type="http://schemas.openxmlformats.org/officeDocument/2006/relationships/hyperlink" Target="mailto:realville30@gmail.com" TargetMode="External"/><Relationship Id="rId1112" Type="http://schemas.openxmlformats.org/officeDocument/2006/relationships/hyperlink" Target="mailto:sonia@residencialemfamilia.com.br" TargetMode="External"/><Relationship Id="rId1557" Type="http://schemas.openxmlformats.org/officeDocument/2006/relationships/hyperlink" Target="mailto:bella.idaderesidencial2023@gmail.com" TargetMode="External"/><Relationship Id="rId1764" Type="http://schemas.openxmlformats.org/officeDocument/2006/relationships/hyperlink" Target="mailto:nciidelfranca@gmail.com" TargetMode="External"/><Relationship Id="rId56" Type="http://schemas.openxmlformats.org/officeDocument/2006/relationships/hyperlink" Target="http://www.jardimdaspalmeiras.com/" TargetMode="External"/><Relationship Id="rId359" Type="http://schemas.openxmlformats.org/officeDocument/2006/relationships/hyperlink" Target="http://www.clinicahortoflorestal.com.br/" TargetMode="External"/><Relationship Id="rId566" Type="http://schemas.openxmlformats.org/officeDocument/2006/relationships/hyperlink" Target="http://www.casaderepousobelaidade.com.br/" TargetMode="External"/><Relationship Id="rId773" Type="http://schemas.openxmlformats.org/officeDocument/2006/relationships/hyperlink" Target="http://www.gmail.com/" TargetMode="External"/><Relationship Id="rId1196" Type="http://schemas.openxmlformats.org/officeDocument/2006/relationships/hyperlink" Target="mailto:s.alakaki@itinovacao.org.br" TargetMode="External"/><Relationship Id="rId1417" Type="http://schemas.openxmlformats.org/officeDocument/2006/relationships/hyperlink" Target="http://www.residencialprovita.com.br/" TargetMode="External"/><Relationship Id="rId1624" Type="http://schemas.openxmlformats.org/officeDocument/2006/relationships/hyperlink" Target="http://www.aldeiadofuturo.org.br/" TargetMode="External"/><Relationship Id="rId1831" Type="http://schemas.openxmlformats.org/officeDocument/2006/relationships/hyperlink" Target="mailto:amaiarcoiris@yahoo.com.br" TargetMode="External"/><Relationship Id="rId121" Type="http://schemas.openxmlformats.org/officeDocument/2006/relationships/hyperlink" Target="http://www.abecal.org.br/" TargetMode="External"/><Relationship Id="rId219" Type="http://schemas.openxmlformats.org/officeDocument/2006/relationships/hyperlink" Target="http://www.fundasp.org.br/" TargetMode="External"/><Relationship Id="rId426" Type="http://schemas.openxmlformats.org/officeDocument/2006/relationships/hyperlink" Target="mailto:caritas@caritascl.org.br" TargetMode="External"/><Relationship Id="rId633" Type="http://schemas.openxmlformats.org/officeDocument/2006/relationships/hyperlink" Target="http://www.unibes.org.br/" TargetMode="External"/><Relationship Id="rId980" Type="http://schemas.openxmlformats.org/officeDocument/2006/relationships/hyperlink" Target="http://www.residencialaconchegodolar.com.br/" TargetMode="External"/><Relationship Id="rId1056" Type="http://schemas.openxmlformats.org/officeDocument/2006/relationships/hyperlink" Target="mailto:projetos@ondinalobo.org.br" TargetMode="External"/><Relationship Id="rId1263" Type="http://schemas.openxmlformats.org/officeDocument/2006/relationships/hyperlink" Target="mailto:corfamilia@uol.com.br" TargetMode="External"/><Relationship Id="rId1929" Type="http://schemas.openxmlformats.org/officeDocument/2006/relationships/hyperlink" Target="mailto:tesouraria.potencial@yahoo.com.br" TargetMode="External"/><Relationship Id="rId840" Type="http://schemas.openxmlformats.org/officeDocument/2006/relationships/hyperlink" Target="http://www.gmail.com/" TargetMode="External"/><Relationship Id="rId938" Type="http://schemas.openxmlformats.org/officeDocument/2006/relationships/hyperlink" Target="http://www.casaderepousoserenidade.com.br/" TargetMode="External"/><Relationship Id="rId1470" Type="http://schemas.openxmlformats.org/officeDocument/2006/relationships/hyperlink" Target="mailto:adelinus01@gmail.com" TargetMode="External"/><Relationship Id="rId1568" Type="http://schemas.openxmlformats.org/officeDocument/2006/relationships/hyperlink" Target="mailto:administrativo@safrater.org.br" TargetMode="External"/><Relationship Id="rId1775" Type="http://schemas.openxmlformats.org/officeDocument/2006/relationships/hyperlink" Target="mailto:projetos.sp@adra.org.br" TargetMode="External"/><Relationship Id="rId67" Type="http://schemas.openxmlformats.org/officeDocument/2006/relationships/hyperlink" Target="http://www.capsnossolar.org.br/" TargetMode="External"/><Relationship Id="rId272" Type="http://schemas.openxmlformats.org/officeDocument/2006/relationships/hyperlink" Target="http://www.federacaofapesp.org.br/" TargetMode="External"/><Relationship Id="rId577" Type="http://schemas.openxmlformats.org/officeDocument/2006/relationships/hyperlink" Target="http://www.gmail.com/" TargetMode="External"/><Relationship Id="rId700" Type="http://schemas.openxmlformats.org/officeDocument/2006/relationships/hyperlink" Target="http://www.oscmoca.com.br/" TargetMode="External"/><Relationship Id="rId1123" Type="http://schemas.openxmlformats.org/officeDocument/2006/relationships/hyperlink" Target="mailto:fernandaprizon@gmail.com" TargetMode="External"/><Relationship Id="rId1330" Type="http://schemas.openxmlformats.org/officeDocument/2006/relationships/hyperlink" Target="mailto:casaderepousosps@outlook.com" TargetMode="External"/><Relationship Id="rId1428" Type="http://schemas.openxmlformats.org/officeDocument/2006/relationships/hyperlink" Target="mailto:marthasena@meireshaus.com.br" TargetMode="External"/><Relationship Id="rId1635" Type="http://schemas.openxmlformats.org/officeDocument/2006/relationships/hyperlink" Target="mailto:residenciallife376@hotmail.com" TargetMode="External"/><Relationship Id="rId132" Type="http://schemas.openxmlformats.org/officeDocument/2006/relationships/hyperlink" Target="http://www.cacp.com.br/" TargetMode="External"/><Relationship Id="rId784" Type="http://schemas.openxmlformats.org/officeDocument/2006/relationships/hyperlink" Target="http://www.uol.com.br/" TargetMode="External"/><Relationship Id="rId991" Type="http://schemas.openxmlformats.org/officeDocument/2006/relationships/hyperlink" Target="http://www.institutobixiga.com.br/" TargetMode="External"/><Relationship Id="rId1067" Type="http://schemas.openxmlformats.org/officeDocument/2006/relationships/hyperlink" Target="mailto:grupoaecres@gmail" TargetMode="External"/><Relationship Id="rId1842" Type="http://schemas.openxmlformats.org/officeDocument/2006/relationships/hyperlink" Target="mailto:oasisdonaliailp@hotmail.com" TargetMode="External"/><Relationship Id="rId437" Type="http://schemas.openxmlformats.org/officeDocument/2006/relationships/hyperlink" Target="http://www.novolarcasaderepouso.com.br/" TargetMode="External"/><Relationship Id="rId644" Type="http://schemas.openxmlformats.org/officeDocument/2006/relationships/hyperlink" Target="http://www.einstein.br/" TargetMode="External"/><Relationship Id="rId851" Type="http://schemas.openxmlformats.org/officeDocument/2006/relationships/hyperlink" Target="http://www.gmail.com/" TargetMode="External"/><Relationship Id="rId1274" Type="http://schemas.openxmlformats.org/officeDocument/2006/relationships/hyperlink" Target="mailto:recantovelhaguarda2@gmail.com" TargetMode="External"/><Relationship Id="rId1481" Type="http://schemas.openxmlformats.org/officeDocument/2006/relationships/hyperlink" Target="mailto:institucional@arrastao.org.br" TargetMode="External"/><Relationship Id="rId1579" Type="http://schemas.openxmlformats.org/officeDocument/2006/relationships/hyperlink" Target="mailto:e.aribeiro@yahoo.com" TargetMode="External"/><Relationship Id="rId1702" Type="http://schemas.openxmlformats.org/officeDocument/2006/relationships/hyperlink" Target="mailto:residencialidososgirassol@gmail.com" TargetMode="External"/><Relationship Id="rId283" Type="http://schemas.openxmlformats.org/officeDocument/2006/relationships/hyperlink" Target="mailto:contato@institutogera.org" TargetMode="External"/><Relationship Id="rId490" Type="http://schemas.openxmlformats.org/officeDocument/2006/relationships/hyperlink" Target="mailto:legaliza&#231;&#227;o@grupopacini.com.br" TargetMode="External"/><Relationship Id="rId504" Type="http://schemas.openxmlformats.org/officeDocument/2006/relationships/hyperlink" Target="mailto:residencialgeriatricosonhomeu@gmail.com" TargetMode="External"/><Relationship Id="rId711" Type="http://schemas.openxmlformats.org/officeDocument/2006/relationships/hyperlink" Target="http://www.gmail.com/" TargetMode="External"/><Relationship Id="rId949" Type="http://schemas.openxmlformats.org/officeDocument/2006/relationships/hyperlink" Target="mailto:laissouza605@gmail.com" TargetMode="External"/><Relationship Id="rId1134" Type="http://schemas.openxmlformats.org/officeDocument/2006/relationships/hyperlink" Target="mailto:sergio@cacp.com.br" TargetMode="External"/><Relationship Id="rId1341" Type="http://schemas.openxmlformats.org/officeDocument/2006/relationships/hyperlink" Target="mailto:cdi@cairbarschutel.org" TargetMode="External"/><Relationship Id="rId1786" Type="http://schemas.openxmlformats.org/officeDocument/2006/relationships/hyperlink" Target="mailto:contato@institutogera.org" TargetMode="External"/><Relationship Id="rId78" Type="http://schemas.openxmlformats.org/officeDocument/2006/relationships/hyperlink" Target="http://www.residencelonglife.com.br/" TargetMode="External"/><Relationship Id="rId143" Type="http://schemas.openxmlformats.org/officeDocument/2006/relationships/hyperlink" Target="http://www.visaresidencial.com.br/" TargetMode="External"/><Relationship Id="rId350" Type="http://schemas.openxmlformats.org/officeDocument/2006/relationships/hyperlink" Target="http://www.casaderepousoamparo.com.br/" TargetMode="External"/><Relationship Id="rId588" Type="http://schemas.openxmlformats.org/officeDocument/2006/relationships/hyperlink" Target="http://www.espacoaberto.org.br/" TargetMode="External"/><Relationship Id="rId795" Type="http://schemas.openxmlformats.org/officeDocument/2006/relationships/hyperlink" Target="http://www.gmail.com/" TargetMode="External"/><Relationship Id="rId809" Type="http://schemas.openxmlformats.org/officeDocument/2006/relationships/hyperlink" Target="http://www.rosaliadecastro.org.br/" TargetMode="External"/><Relationship Id="rId1201" Type="http://schemas.openxmlformats.org/officeDocument/2006/relationships/hyperlink" Target="mailto:residencialcasadepaz@gmail.com" TargetMode="External"/><Relationship Id="rId1439" Type="http://schemas.openxmlformats.org/officeDocument/2006/relationships/hyperlink" Target="http://www.repousoparquedocarmo.com.br/" TargetMode="External"/><Relationship Id="rId1646" Type="http://schemas.openxmlformats.org/officeDocument/2006/relationships/hyperlink" Target="mailto:cobrancatonioli@gmail.com" TargetMode="External"/><Relationship Id="rId1853" Type="http://schemas.openxmlformats.org/officeDocument/2006/relationships/hyperlink" Target="mailto:casavomaria7@gmail.com" TargetMode="External"/><Relationship Id="rId9" Type="http://schemas.openxmlformats.org/officeDocument/2006/relationships/hyperlink" Target="http://www.ligasolidaria.org.br/" TargetMode="External"/><Relationship Id="rId210" Type="http://schemas.openxmlformats.org/officeDocument/2006/relationships/hyperlink" Target="mailto:contato@acirmesp.org.br" TargetMode="External"/><Relationship Id="rId448" Type="http://schemas.openxmlformats.org/officeDocument/2006/relationships/hyperlink" Target="mailto:legalizacao@grupopacini.com.br" TargetMode="External"/><Relationship Id="rId655" Type="http://schemas.openxmlformats.org/officeDocument/2006/relationships/hyperlink" Target="http://www.gmail.com/" TargetMode="External"/><Relationship Id="rId862" Type="http://schemas.openxmlformats.org/officeDocument/2006/relationships/hyperlink" Target="http://www.gmail.com/" TargetMode="External"/><Relationship Id="rId1078" Type="http://schemas.openxmlformats.org/officeDocument/2006/relationships/hyperlink" Target="mailto:camila@reciclazaro.org.br" TargetMode="External"/><Relationship Id="rId1285" Type="http://schemas.openxmlformats.org/officeDocument/2006/relationships/hyperlink" Target="mailto:gerencia@convita.org.br" TargetMode="External"/><Relationship Id="rId1492" Type="http://schemas.openxmlformats.org/officeDocument/2006/relationships/hyperlink" Target="http://www.repousodasoliveiras.com.br/" TargetMode="External"/><Relationship Id="rId1506" Type="http://schemas.openxmlformats.org/officeDocument/2006/relationships/hyperlink" Target="http://www.institutoverter.com.br/" TargetMode="External"/><Relationship Id="rId1713" Type="http://schemas.openxmlformats.org/officeDocument/2006/relationships/hyperlink" Target="mailto:cramosribeiro2@gmail.com" TargetMode="External"/><Relationship Id="rId1920" Type="http://schemas.openxmlformats.org/officeDocument/2006/relationships/hyperlink" Target="mailto:gerenciapipas@gmail.com" TargetMode="External"/><Relationship Id="rId294" Type="http://schemas.openxmlformats.org/officeDocument/2006/relationships/hyperlink" Target="http://www.casaderepousoestrelanascente.com.br/" TargetMode="External"/><Relationship Id="rId308" Type="http://schemas.openxmlformats.org/officeDocument/2006/relationships/hyperlink" Target="mailto:atalaiaresidencial.contato@gmail.com" TargetMode="External"/><Relationship Id="rId515" Type="http://schemas.openxmlformats.org/officeDocument/2006/relationships/hyperlink" Target="mailto:serenidaderepouso@gmail.com" TargetMode="External"/><Relationship Id="rId722" Type="http://schemas.openxmlformats.org/officeDocument/2006/relationships/hyperlink" Target="http://www.casaderepousobelavida/" TargetMode="External"/><Relationship Id="rId1145" Type="http://schemas.openxmlformats.org/officeDocument/2006/relationships/hyperlink" Target="mailto:secretaria@bunkyo.org.br" TargetMode="External"/><Relationship Id="rId1352" Type="http://schemas.openxmlformats.org/officeDocument/2006/relationships/hyperlink" Target="mailto:elisasobrinho@gmail.com" TargetMode="External"/><Relationship Id="rId1797" Type="http://schemas.openxmlformats.org/officeDocument/2006/relationships/hyperlink" Target="http://www.villafioriresidencial.com.br/" TargetMode="External"/><Relationship Id="rId89" Type="http://schemas.openxmlformats.org/officeDocument/2006/relationships/hyperlink" Target="http://www.reciclazaro.org.br/" TargetMode="External"/><Relationship Id="rId154" Type="http://schemas.openxmlformats.org/officeDocument/2006/relationships/hyperlink" Target="http://www.casafarol.com.br/" TargetMode="External"/><Relationship Id="rId361" Type="http://schemas.openxmlformats.org/officeDocument/2006/relationships/hyperlink" Target="http://www.casaderepousosirius.com.br/" TargetMode="External"/><Relationship Id="rId599" Type="http://schemas.openxmlformats.org/officeDocument/2006/relationships/hyperlink" Target="http://www.globo.com/" TargetMode="External"/><Relationship Id="rId1005" Type="http://schemas.openxmlformats.org/officeDocument/2006/relationships/hyperlink" Target="http://www.residencialmaximo.com.br/" TargetMode="External"/><Relationship Id="rId1212" Type="http://schemas.openxmlformats.org/officeDocument/2006/relationships/hyperlink" Target="mailto:allegroidosos@gmail.com" TargetMode="External"/><Relationship Id="rId1657" Type="http://schemas.openxmlformats.org/officeDocument/2006/relationships/hyperlink" Target="mailto:fernando.cortizo@tercadaserra.com.br" TargetMode="External"/><Relationship Id="rId1864" Type="http://schemas.openxmlformats.org/officeDocument/2006/relationships/hyperlink" Target="mailto:iyaogunte10@yahoo.com" TargetMode="External"/><Relationship Id="rId459" Type="http://schemas.openxmlformats.org/officeDocument/2006/relationships/hyperlink" Target="http://www.residencialclubleger.com.br/" TargetMode="External"/><Relationship Id="rId666" Type="http://schemas.openxmlformats.org/officeDocument/2006/relationships/hyperlink" Target="http://www.gmail.com/" TargetMode="External"/><Relationship Id="rId873" Type="http://schemas.openxmlformats.org/officeDocument/2006/relationships/hyperlink" Target="http://www.gmail.com/" TargetMode="External"/><Relationship Id="rId1089" Type="http://schemas.openxmlformats.org/officeDocument/2006/relationships/hyperlink" Target="mailto:crvidaesaude@outlook.com" TargetMode="External"/><Relationship Id="rId1296" Type="http://schemas.openxmlformats.org/officeDocument/2006/relationships/hyperlink" Target="mailto:residencialvochico.penha@gmail.com" TargetMode="External"/><Relationship Id="rId1517" Type="http://schemas.openxmlformats.org/officeDocument/2006/relationships/hyperlink" Target="http://www.olgaresidencialsenior.com.br/" TargetMode="External"/><Relationship Id="rId1724" Type="http://schemas.openxmlformats.org/officeDocument/2006/relationships/hyperlink" Target="mailto:agapephilos@hotmail.com" TargetMode="External"/><Relationship Id="rId16" Type="http://schemas.openxmlformats.org/officeDocument/2006/relationships/hyperlink" Target="http://www.velhoamigo.org.br/" TargetMode="External"/><Relationship Id="rId221" Type="http://schemas.openxmlformats.org/officeDocument/2006/relationships/hyperlink" Target="http://www.fundasp.org.br/" TargetMode="External"/><Relationship Id="rId319" Type="http://schemas.openxmlformats.org/officeDocument/2006/relationships/hyperlink" Target="mailto:vigorasenior@gmail.com" TargetMode="External"/><Relationship Id="rId526" Type="http://schemas.openxmlformats.org/officeDocument/2006/relationships/hyperlink" Target="mailto:aesds.aesds@gmail.com" TargetMode="External"/><Relationship Id="rId1156" Type="http://schemas.openxmlformats.org/officeDocument/2006/relationships/hyperlink" Target="mailto:cestarisilveira@gmail.com" TargetMode="External"/><Relationship Id="rId1363" Type="http://schemas.openxmlformats.org/officeDocument/2006/relationships/hyperlink" Target="mailto:administra&#231;&#227;o@funda&#231;&#227;ojulita.org.br" TargetMode="External"/><Relationship Id="rId1931" Type="http://schemas.openxmlformats.org/officeDocument/2006/relationships/hyperlink" Target="mailto:primaveralardeidosos@gmail.com" TargetMode="External"/><Relationship Id="rId733" Type="http://schemas.openxmlformats.org/officeDocument/2006/relationships/hyperlink" Target="http://www.casaderepousobutanta.com.br/" TargetMode="External"/><Relationship Id="rId940" Type="http://schemas.openxmlformats.org/officeDocument/2006/relationships/hyperlink" Target="http://www.oscsamaritano.org.br/" TargetMode="External"/><Relationship Id="rId1016" Type="http://schemas.openxmlformats.org/officeDocument/2006/relationships/hyperlink" Target="mailto:adonaiparaidosos@gmail.com" TargetMode="External"/><Relationship Id="rId1570" Type="http://schemas.openxmlformats.org/officeDocument/2006/relationships/hyperlink" Target="mailto:legaliza&#231;&#227;o@grupopacini.com.br" TargetMode="External"/><Relationship Id="rId1668" Type="http://schemas.openxmlformats.org/officeDocument/2006/relationships/hyperlink" Target="mailto:associacaojardimreal@hotmail.com" TargetMode="External"/><Relationship Id="rId1875" Type="http://schemas.openxmlformats.org/officeDocument/2006/relationships/hyperlink" Target="mailto:sfelixprado@gmail.com" TargetMode="External"/><Relationship Id="rId165" Type="http://schemas.openxmlformats.org/officeDocument/2006/relationships/hyperlink" Target="http://www.amapsocial.org.br/" TargetMode="External"/><Relationship Id="rId372" Type="http://schemas.openxmlformats.org/officeDocument/2006/relationships/hyperlink" Target="mailto:coordenacaoobrasocial@saojudas.org.br" TargetMode="External"/><Relationship Id="rId677" Type="http://schemas.openxmlformats.org/officeDocument/2006/relationships/hyperlink" Target="http://www.oscsamaritano.org.br/" TargetMode="External"/><Relationship Id="rId800" Type="http://schemas.openxmlformats.org/officeDocument/2006/relationships/hyperlink" Target="http://www.gmail.com/" TargetMode="External"/><Relationship Id="rId1223" Type="http://schemas.openxmlformats.org/officeDocument/2006/relationships/hyperlink" Target="mailto:contato@florescersenior.com.br" TargetMode="External"/><Relationship Id="rId1430" Type="http://schemas.openxmlformats.org/officeDocument/2006/relationships/hyperlink" Target="mailto:gestaodeparcerias@ligasolidaria.org.br" TargetMode="External"/><Relationship Id="rId1528" Type="http://schemas.openxmlformats.org/officeDocument/2006/relationships/hyperlink" Target="http://www.3ibemestar.com.br/" TargetMode="External"/><Relationship Id="rId232" Type="http://schemas.openxmlformats.org/officeDocument/2006/relationships/hyperlink" Target="http://www.crserenidade.com.br/" TargetMode="External"/><Relationship Id="rId884" Type="http://schemas.openxmlformats.org/officeDocument/2006/relationships/hyperlink" Target="http://www.casadebora.com.br/" TargetMode="External"/><Relationship Id="rId1735" Type="http://schemas.openxmlformats.org/officeDocument/2006/relationships/hyperlink" Target="mailto:repousodasoliveiras@gmail.com" TargetMode="External"/><Relationship Id="rId1942" Type="http://schemas.openxmlformats.org/officeDocument/2006/relationships/hyperlink" Target="mailto:luis.ferreira@ibr50mais.org.br" TargetMode="External"/><Relationship Id="rId27" Type="http://schemas.openxmlformats.org/officeDocument/2006/relationships/hyperlink" Target="http://www.dpaduaresidencial.com.br/" TargetMode="External"/><Relationship Id="rId537" Type="http://schemas.openxmlformats.org/officeDocument/2006/relationships/hyperlink" Target="mailto:legalizacao@grupopacini.com.br" TargetMode="External"/><Relationship Id="rId744" Type="http://schemas.openxmlformats.org/officeDocument/2006/relationships/hyperlink" Target="http://www.casaderepousocoracaodejesus.com.br/" TargetMode="External"/><Relationship Id="rId951" Type="http://schemas.openxmlformats.org/officeDocument/2006/relationships/hyperlink" Target="mailto:casaguiara@hotmail.com" TargetMode="External"/><Relationship Id="rId1167" Type="http://schemas.openxmlformats.org/officeDocument/2006/relationships/hyperlink" Target="mailto:anapaulabelmiro.81@gmail.com" TargetMode="External"/><Relationship Id="rId1374" Type="http://schemas.openxmlformats.org/officeDocument/2006/relationships/hyperlink" Target="mailto:e.assessoriaempresarial@hotmail.com" TargetMode="External"/><Relationship Id="rId1581" Type="http://schemas.openxmlformats.org/officeDocument/2006/relationships/hyperlink" Target="mailto:legalizacao@bslsaude.com.br" TargetMode="External"/><Relationship Id="rId1679" Type="http://schemas.openxmlformats.org/officeDocument/2006/relationships/hyperlink" Target="http://www.hospitaloswaldocruz.org.br/" TargetMode="External"/><Relationship Id="rId1802" Type="http://schemas.openxmlformats.org/officeDocument/2006/relationships/hyperlink" Target="mailto:enfermagemvovocecilia@gmail.com" TargetMode="External"/><Relationship Id="rId80" Type="http://schemas.openxmlformats.org/officeDocument/2006/relationships/hyperlink" Target="http://www.maisvidacasaderepouso.com.br/" TargetMode="External"/><Relationship Id="rId176" Type="http://schemas.openxmlformats.org/officeDocument/2006/relationships/hyperlink" Target="http://www.institutonovoshorizontes.org.br/" TargetMode="External"/><Relationship Id="rId383" Type="http://schemas.openxmlformats.org/officeDocument/2006/relationships/hyperlink" Target="http://www.icansp.com.br/" TargetMode="External"/><Relationship Id="rId590" Type="http://schemas.openxmlformats.org/officeDocument/2006/relationships/hyperlink" Target="http://www.hotmail.com/" TargetMode="External"/><Relationship Id="rId604" Type="http://schemas.openxmlformats.org/officeDocument/2006/relationships/hyperlink" Target="http://www.n/C" TargetMode="External"/><Relationship Id="rId811" Type="http://schemas.openxmlformats.org/officeDocument/2006/relationships/hyperlink" Target="http://www.crumnovotempo.com.br/" TargetMode="External"/><Relationship Id="rId1027" Type="http://schemas.openxmlformats.org/officeDocument/2006/relationships/hyperlink" Target="mailto:residencialvidahc@gmail.com" TargetMode="External"/><Relationship Id="rId1234" Type="http://schemas.openxmlformats.org/officeDocument/2006/relationships/hyperlink" Target="mailto:centrosocialbomjesus@ig.com.br" TargetMode="External"/><Relationship Id="rId1441" Type="http://schemas.openxmlformats.org/officeDocument/2006/relationships/hyperlink" Target="http://www.repousoparquedocarmo.com.br/" TargetMode="External"/><Relationship Id="rId1886" Type="http://schemas.openxmlformats.org/officeDocument/2006/relationships/hyperlink" Target="mailto:nciidelfranca@gmail.com" TargetMode="External"/><Relationship Id="rId243" Type="http://schemas.openxmlformats.org/officeDocument/2006/relationships/hyperlink" Target="mailto:contato.fdemaria@gmail.com" TargetMode="External"/><Relationship Id="rId450" Type="http://schemas.openxmlformats.org/officeDocument/2006/relationships/hyperlink" Target="http://www.sobei.org.br/" TargetMode="External"/><Relationship Id="rId688" Type="http://schemas.openxmlformats.org/officeDocument/2006/relationships/hyperlink" Target="http://www.gmail.com/" TargetMode="External"/><Relationship Id="rId895" Type="http://schemas.openxmlformats.org/officeDocument/2006/relationships/hyperlink" Target="mailto:retaguardacasaderepouso2023@gmail.com" TargetMode="External"/><Relationship Id="rId909" Type="http://schemas.openxmlformats.org/officeDocument/2006/relationships/hyperlink" Target="http://www.cerebroemacao.com.br/" TargetMode="External"/><Relationship Id="rId1080" Type="http://schemas.openxmlformats.org/officeDocument/2006/relationships/hyperlink" Target="mailto:residencialseniorsantanna@gmail.com" TargetMode="External"/><Relationship Id="rId1301" Type="http://schemas.openxmlformats.org/officeDocument/2006/relationships/hyperlink" Target="mailto:srfavato@gmail.com" TargetMode="External"/><Relationship Id="rId1539" Type="http://schemas.openxmlformats.org/officeDocument/2006/relationships/hyperlink" Target="http://www.oscmoca.com.br/" TargetMode="External"/><Relationship Id="rId1746" Type="http://schemas.openxmlformats.org/officeDocument/2006/relationships/hyperlink" Target="http://www.casaderepousoikebana.com.br/" TargetMode="External"/><Relationship Id="rId38" Type="http://schemas.openxmlformats.org/officeDocument/2006/relationships/hyperlink" Target="http://www.institutopilar.org.br/" TargetMode="External"/><Relationship Id="rId103" Type="http://schemas.openxmlformats.org/officeDocument/2006/relationships/hyperlink" Target="http://www.ascom.org.br/" TargetMode="External"/><Relationship Id="rId310" Type="http://schemas.openxmlformats.org/officeDocument/2006/relationships/hyperlink" Target="mailto:contato@crumnovotempo.com.br" TargetMode="External"/><Relationship Id="rId548" Type="http://schemas.openxmlformats.org/officeDocument/2006/relationships/hyperlink" Target="mailto:entidadejuntos@gmail.com" TargetMode="External"/><Relationship Id="rId755" Type="http://schemas.openxmlformats.org/officeDocument/2006/relationships/hyperlink" Target="http://www.gmail.com/" TargetMode="External"/><Relationship Id="rId962" Type="http://schemas.openxmlformats.org/officeDocument/2006/relationships/hyperlink" Target="mailto:sheilafeles@gmail.com" TargetMode="External"/><Relationship Id="rId1178" Type="http://schemas.openxmlformats.org/officeDocument/2006/relationships/hyperlink" Target="mailto:mcaridade@outlook.com" TargetMode="External"/><Relationship Id="rId1385" Type="http://schemas.openxmlformats.org/officeDocument/2006/relationships/hyperlink" Target="mailto:residenciallardocuidar@gmailcom" TargetMode="External"/><Relationship Id="rId1592" Type="http://schemas.openxmlformats.org/officeDocument/2006/relationships/hyperlink" Target="mailto:lacosdecarinho2024@gmail.com" TargetMode="External"/><Relationship Id="rId1606" Type="http://schemas.openxmlformats.org/officeDocument/2006/relationships/hyperlink" Target="http://www.casaderepousookinawa.com.br/" TargetMode="External"/><Relationship Id="rId1813" Type="http://schemas.openxmlformats.org/officeDocument/2006/relationships/hyperlink" Target="http://www.hotmail.com/" TargetMode="External"/><Relationship Id="rId91" Type="http://schemas.openxmlformats.org/officeDocument/2006/relationships/hyperlink" Target="http://www.reciclazaro.org.br/" TargetMode="External"/><Relationship Id="rId187" Type="http://schemas.openxmlformats.org/officeDocument/2006/relationships/hyperlink" Target="mailto:simoniorgado@yahoo.com.br" TargetMode="External"/><Relationship Id="rId394" Type="http://schemas.openxmlformats.org/officeDocument/2006/relationships/hyperlink" Target="mailto:icc@institutocasacomum.org" TargetMode="External"/><Relationship Id="rId408" Type="http://schemas.openxmlformats.org/officeDocument/2006/relationships/hyperlink" Target="mailto:caritas@caritascl.org.br" TargetMode="External"/><Relationship Id="rId615" Type="http://schemas.openxmlformats.org/officeDocument/2006/relationships/hyperlink" Target="http://www.gmail.com/" TargetMode="External"/><Relationship Id="rId822" Type="http://schemas.openxmlformats.org/officeDocument/2006/relationships/hyperlink" Target="http://www.gmail.com/" TargetMode="External"/><Relationship Id="rId1038" Type="http://schemas.openxmlformats.org/officeDocument/2006/relationships/hyperlink" Target="mailto:projetos@ijc.org.br" TargetMode="External"/><Relationship Id="rId1245" Type="http://schemas.openxmlformats.org/officeDocument/2006/relationships/hyperlink" Target="mailto:acaosocial@cip.org.br" TargetMode="External"/><Relationship Id="rId1452" Type="http://schemas.openxmlformats.org/officeDocument/2006/relationships/hyperlink" Target="mailto:amorresidencialsenior@gmail.com" TargetMode="External"/><Relationship Id="rId1897" Type="http://schemas.openxmlformats.org/officeDocument/2006/relationships/hyperlink" Target="mailto:raffaelalep@yahoo.com.br" TargetMode="External"/><Relationship Id="rId254" Type="http://schemas.openxmlformats.org/officeDocument/2006/relationships/hyperlink" Target="http://www.casadoidosofelizidade.com.br/" TargetMode="External"/><Relationship Id="rId699" Type="http://schemas.openxmlformats.org/officeDocument/2006/relationships/hyperlink" Target="http://www.bol.com.br/" TargetMode="External"/><Relationship Id="rId1091" Type="http://schemas.openxmlformats.org/officeDocument/2006/relationships/hyperlink" Target="mailto:residencialnovotempo@yahoo.com" TargetMode="External"/><Relationship Id="rId1105" Type="http://schemas.openxmlformats.org/officeDocument/2006/relationships/hyperlink" Target="mailto:cr-bellica@bol.com.br" TargetMode="External"/><Relationship Id="rId1312" Type="http://schemas.openxmlformats.org/officeDocument/2006/relationships/hyperlink" Target="mailto:seniorangil@outlook.com" TargetMode="External"/><Relationship Id="rId1757" Type="http://schemas.openxmlformats.org/officeDocument/2006/relationships/hyperlink" Target="http://www.residencialseniorharmonia.org.br/" TargetMode="External"/><Relationship Id="rId49" Type="http://schemas.openxmlformats.org/officeDocument/2006/relationships/hyperlink" Target="http://www.estanciadacantareira.com.br/" TargetMode="External"/><Relationship Id="rId114" Type="http://schemas.openxmlformats.org/officeDocument/2006/relationships/hyperlink" Target="http://www.safecaresp.com.br/" TargetMode="External"/><Relationship Id="rId461" Type="http://schemas.openxmlformats.org/officeDocument/2006/relationships/hyperlink" Target="http://www.solcanta.com.br/" TargetMode="External"/><Relationship Id="rId559" Type="http://schemas.openxmlformats.org/officeDocument/2006/relationships/hyperlink" Target="mailto:i.canticodevitoria@gmail.com.br" TargetMode="External"/><Relationship Id="rId766" Type="http://schemas.openxmlformats.org/officeDocument/2006/relationships/hyperlink" Target="http://www.arvoredavidasenior.com.br/" TargetMode="External"/><Relationship Id="rId1189" Type="http://schemas.openxmlformats.org/officeDocument/2006/relationships/hyperlink" Target="mailto:rj14speiar@gmail.com" TargetMode="External"/><Relationship Id="rId1396" Type="http://schemas.openxmlformats.org/officeDocument/2006/relationships/hyperlink" Target="http://www.residencialmerces.com.br/" TargetMode="External"/><Relationship Id="rId1617" Type="http://schemas.openxmlformats.org/officeDocument/2006/relationships/hyperlink" Target="mailto:residencialidosos.sophia@gmail.com" TargetMode="External"/><Relationship Id="rId1824" Type="http://schemas.openxmlformats.org/officeDocument/2006/relationships/hyperlink" Target="http://www.qualidadedeviver.com.br/" TargetMode="External"/><Relationship Id="rId198" Type="http://schemas.openxmlformats.org/officeDocument/2006/relationships/hyperlink" Target="http://www.casaderepousopenhadefranca.com.br/" TargetMode="External"/><Relationship Id="rId321" Type="http://schemas.openxmlformats.org/officeDocument/2006/relationships/hyperlink" Target="mailto:casaderepousomeusavos@gmail.com" TargetMode="External"/><Relationship Id="rId419" Type="http://schemas.openxmlformats.org/officeDocument/2006/relationships/hyperlink" Target="http://www.residencialmariaemaria.com/" TargetMode="External"/><Relationship Id="rId626" Type="http://schemas.openxmlformats.org/officeDocument/2006/relationships/hyperlink" Target="http://www.gmail.com/" TargetMode="External"/><Relationship Id="rId973" Type="http://schemas.openxmlformats.org/officeDocument/2006/relationships/hyperlink" Target="http://www.ondinalobo.org.br/" TargetMode="External"/><Relationship Id="rId1049" Type="http://schemas.openxmlformats.org/officeDocument/2006/relationships/hyperlink" Target="mailto:contato@oscesperanca.org.br" TargetMode="External"/><Relationship Id="rId1256" Type="http://schemas.openxmlformats.org/officeDocument/2006/relationships/hyperlink" Target="mailto:adm.residencialsantamadalena@gmail.com" TargetMode="External"/><Relationship Id="rId833" Type="http://schemas.openxmlformats.org/officeDocument/2006/relationships/hyperlink" Target="http://www.hotmail.com/" TargetMode="External"/><Relationship Id="rId1116" Type="http://schemas.openxmlformats.org/officeDocument/2006/relationships/hyperlink" Target="mailto:abigail@casadavilamariana.com.br" TargetMode="External"/><Relationship Id="rId1463" Type="http://schemas.openxmlformats.org/officeDocument/2006/relationships/hyperlink" Target="mailto:lardosidosos.adm@deusprovera.com" TargetMode="External"/><Relationship Id="rId1670" Type="http://schemas.openxmlformats.org/officeDocument/2006/relationships/hyperlink" Target="mailto:deco@jardimdaspalmeiras.com" TargetMode="External"/><Relationship Id="rId1768" Type="http://schemas.openxmlformats.org/officeDocument/2006/relationships/hyperlink" Target="mailto:residencialtatuape@gmail.com" TargetMode="External"/><Relationship Id="rId265" Type="http://schemas.openxmlformats.org/officeDocument/2006/relationships/hyperlink" Target="mailto:neto.gattolin@gmail.com" TargetMode="External"/><Relationship Id="rId472" Type="http://schemas.openxmlformats.org/officeDocument/2006/relationships/hyperlink" Target="http://www.casaderepousovidaesaude.com/" TargetMode="External"/><Relationship Id="rId900" Type="http://schemas.openxmlformats.org/officeDocument/2006/relationships/hyperlink" Target="http://www.institutorosadosventos.com.br/" TargetMode="External"/><Relationship Id="rId1323" Type="http://schemas.openxmlformats.org/officeDocument/2006/relationships/hyperlink" Target="mailto:adminsitracao@larvicentino.org.br" TargetMode="External"/><Relationship Id="rId1530" Type="http://schemas.openxmlformats.org/officeDocument/2006/relationships/hyperlink" Target="mailto:edemcentrodia@gmail.com" TargetMode="External"/><Relationship Id="rId1628" Type="http://schemas.openxmlformats.org/officeDocument/2006/relationships/hyperlink" Target="mailto:contato@residencialstar.com.br" TargetMode="External"/><Relationship Id="rId125" Type="http://schemas.openxmlformats.org/officeDocument/2006/relationships/hyperlink" Target="http://www.residencialsenior.com.br/" TargetMode="External"/><Relationship Id="rId332" Type="http://schemas.openxmlformats.org/officeDocument/2006/relationships/hyperlink" Target="http://www.aprofe.org.br/" TargetMode="External"/><Relationship Id="rId777" Type="http://schemas.openxmlformats.org/officeDocument/2006/relationships/hyperlink" Target="http://www.tercadaserra.com.br/" TargetMode="External"/><Relationship Id="rId984" Type="http://schemas.openxmlformats.org/officeDocument/2006/relationships/hyperlink" Target="http://www.institutoanimaeducacao.org.br/" TargetMode="External"/><Relationship Id="rId1835" Type="http://schemas.openxmlformats.org/officeDocument/2006/relationships/hyperlink" Target="mailto:simone.sa1@hotmail.com" TargetMode="External"/><Relationship Id="rId637" Type="http://schemas.openxmlformats.org/officeDocument/2006/relationships/hyperlink" Target="http://www.grupopacini.com.br/" TargetMode="External"/><Relationship Id="rId844" Type="http://schemas.openxmlformats.org/officeDocument/2006/relationships/hyperlink" Target="http://www.gmail.com/" TargetMode="External"/><Relationship Id="rId1267" Type="http://schemas.openxmlformats.org/officeDocument/2006/relationships/hyperlink" Target="mailto:contato@oscesperanca.org.br" TargetMode="External"/><Relationship Id="rId1474" Type="http://schemas.openxmlformats.org/officeDocument/2006/relationships/hyperlink" Target="mailto:dfabiorogerio@gmail.com" TargetMode="External"/><Relationship Id="rId1681" Type="http://schemas.openxmlformats.org/officeDocument/2006/relationships/hyperlink" Target="http://www.hospitaloswaldocruz.org.br/" TargetMode="External"/><Relationship Id="rId1902" Type="http://schemas.openxmlformats.org/officeDocument/2006/relationships/hyperlink" Target="http://www.mamae.org.br/" TargetMode="External"/><Relationship Id="rId276" Type="http://schemas.openxmlformats.org/officeDocument/2006/relationships/hyperlink" Target="mailto:sab.sapopemba@gmail.com" TargetMode="External"/><Relationship Id="rId483" Type="http://schemas.openxmlformats.org/officeDocument/2006/relationships/hyperlink" Target="http://www.casaderepousorecantoalegre.com.br/" TargetMode="External"/><Relationship Id="rId690" Type="http://schemas.openxmlformats.org/officeDocument/2006/relationships/hyperlink" Target="http://www.gmail.com/" TargetMode="External"/><Relationship Id="rId704" Type="http://schemas.openxmlformats.org/officeDocument/2006/relationships/hyperlink" Target="http://www.yahoo.com.br/" TargetMode="External"/><Relationship Id="rId911" Type="http://schemas.openxmlformats.org/officeDocument/2006/relationships/hyperlink" Target="http://www.associacaotocadaonca.com.br/" TargetMode="External"/><Relationship Id="rId1127" Type="http://schemas.openxmlformats.org/officeDocument/2006/relationships/hyperlink" Target="mailto:prestacaodecontas@aacd.org.br" TargetMode="External"/><Relationship Id="rId1334" Type="http://schemas.openxmlformats.org/officeDocument/2006/relationships/hyperlink" Target="mailto:secretaria@bunkyo.org.br" TargetMode="External"/><Relationship Id="rId1541" Type="http://schemas.openxmlformats.org/officeDocument/2006/relationships/hyperlink" Target="http://www.oscmoca.com.br/" TargetMode="External"/><Relationship Id="rId1779" Type="http://schemas.openxmlformats.org/officeDocument/2006/relationships/hyperlink" Target="mailto:adm@casaderepousopaineiras.com.br" TargetMode="External"/><Relationship Id="rId40" Type="http://schemas.openxmlformats.org/officeDocument/2006/relationships/hyperlink" Target="http://www.residencial60mais.com.br/" TargetMode="External"/><Relationship Id="rId136" Type="http://schemas.openxmlformats.org/officeDocument/2006/relationships/hyperlink" Target="http://www.saene.com.br/" TargetMode="External"/><Relationship Id="rId343" Type="http://schemas.openxmlformats.org/officeDocument/2006/relationships/hyperlink" Target="http://www.institutonovosvalores.org.br/" TargetMode="External"/><Relationship Id="rId550" Type="http://schemas.openxmlformats.org/officeDocument/2006/relationships/hyperlink" Target="mailto:projetosabp@gmail.com" TargetMode="External"/><Relationship Id="rId788" Type="http://schemas.openxmlformats.org/officeDocument/2006/relationships/hyperlink" Target="http://www.organife.com.br/" TargetMode="External"/><Relationship Id="rId995" Type="http://schemas.openxmlformats.org/officeDocument/2006/relationships/hyperlink" Target="mailto:contato@acirmesp.org.br" TargetMode="External"/><Relationship Id="rId1180" Type="http://schemas.openxmlformats.org/officeDocument/2006/relationships/hyperlink" Target="mailto:administradora@rtisa.org.br" TargetMode="External"/><Relationship Id="rId1401" Type="http://schemas.openxmlformats.org/officeDocument/2006/relationships/hyperlink" Target="http://www.casaderepousoelite/" TargetMode="External"/><Relationship Id="rId1639" Type="http://schemas.openxmlformats.org/officeDocument/2006/relationships/hyperlink" Target="mailto:rainhadapaz@terra.com.br" TargetMode="External"/><Relationship Id="rId1846" Type="http://schemas.openxmlformats.org/officeDocument/2006/relationships/hyperlink" Target="mailto:oscvaleverde@gmail.com" TargetMode="External"/><Relationship Id="rId203" Type="http://schemas.openxmlformats.org/officeDocument/2006/relationships/hyperlink" Target="mailto:floredalliance@yahoo.com" TargetMode="External"/><Relationship Id="rId648" Type="http://schemas.openxmlformats.org/officeDocument/2006/relationships/hyperlink" Target="http://www.hospedagemlightlife.com.br/" TargetMode="External"/><Relationship Id="rId855" Type="http://schemas.openxmlformats.org/officeDocument/2006/relationships/hyperlink" Target="http://www.gmail.com/" TargetMode="External"/><Relationship Id="rId1040" Type="http://schemas.openxmlformats.org/officeDocument/2006/relationships/hyperlink" Target="mailto:contato@casajsvitoria.com.br" TargetMode="External"/><Relationship Id="rId1278" Type="http://schemas.openxmlformats.org/officeDocument/2006/relationships/hyperlink" Target="mailto:ncm@nucleocoracaomaterno.org.br" TargetMode="External"/><Relationship Id="rId1485" Type="http://schemas.openxmlformats.org/officeDocument/2006/relationships/hyperlink" Target="mailto:admmoradadosavos@gmail.com" TargetMode="External"/><Relationship Id="rId1692" Type="http://schemas.openxmlformats.org/officeDocument/2006/relationships/hyperlink" Target="mailto:asecabbrasil@gmail.com" TargetMode="External"/><Relationship Id="rId1706" Type="http://schemas.openxmlformats.org/officeDocument/2006/relationships/hyperlink" Target="mailto:casaderepousoliberty@gmail.com" TargetMode="External"/><Relationship Id="rId1913" Type="http://schemas.openxmlformats.org/officeDocument/2006/relationships/hyperlink" Target="mailto:fiosdeternura@outlook.com" TargetMode="External"/><Relationship Id="rId287" Type="http://schemas.openxmlformats.org/officeDocument/2006/relationships/hyperlink" Target="mailto:contato@casaluzdocaminho.org.br" TargetMode="External"/><Relationship Id="rId410" Type="http://schemas.openxmlformats.org/officeDocument/2006/relationships/hyperlink" Target="mailto:contato@residencialmaster.com.br" TargetMode="External"/><Relationship Id="rId494" Type="http://schemas.openxmlformats.org/officeDocument/2006/relationships/hyperlink" Target="mailto:ultravioletapower@hotmail.com" TargetMode="External"/><Relationship Id="rId508" Type="http://schemas.openxmlformats.org/officeDocument/2006/relationships/hyperlink" Target="http://www.cpis26dejulho.org.br/" TargetMode="External"/><Relationship Id="rId715" Type="http://schemas.openxmlformats.org/officeDocument/2006/relationships/hyperlink" Target="http://www.uol.com.br/" TargetMode="External"/><Relationship Id="rId922" Type="http://schemas.openxmlformats.org/officeDocument/2006/relationships/hyperlink" Target="mailto:nelio@vilabrasilis.com.br" TargetMode="External"/><Relationship Id="rId1138" Type="http://schemas.openxmlformats.org/officeDocument/2006/relationships/hyperlink" Target="mailto:inh.matriz@gmail.com" TargetMode="External"/><Relationship Id="rId1345" Type="http://schemas.openxmlformats.org/officeDocument/2006/relationships/hyperlink" Target="mailto:contato@genesiscasaderepouso.com.br" TargetMode="External"/><Relationship Id="rId1552" Type="http://schemas.openxmlformats.org/officeDocument/2006/relationships/hyperlink" Target="mailto:unibes@unibes.org.br" TargetMode="External"/><Relationship Id="rId147" Type="http://schemas.openxmlformats.org/officeDocument/2006/relationships/hyperlink" Target="http://www.provedoria.org.br/" TargetMode="External"/><Relationship Id="rId354" Type="http://schemas.openxmlformats.org/officeDocument/2006/relationships/hyperlink" Target="http://www.ciapsaopatricio.org.br/" TargetMode="External"/><Relationship Id="rId799" Type="http://schemas.openxmlformats.org/officeDocument/2006/relationships/hyperlink" Target="http://www.gmail.com/" TargetMode="External"/><Relationship Id="rId1191" Type="http://schemas.openxmlformats.org/officeDocument/2006/relationships/hyperlink" Target="mailto:contato2@residencialhorizonte.com.br" TargetMode="External"/><Relationship Id="rId1205" Type="http://schemas.openxmlformats.org/officeDocument/2006/relationships/hyperlink" Target="mailto:residencialmaeteresa@gmail.com" TargetMode="External"/><Relationship Id="rId1857" Type="http://schemas.openxmlformats.org/officeDocument/2006/relationships/hyperlink" Target="mailto:tempodeamarnamelhoridade@gmail.com" TargetMode="External"/><Relationship Id="rId51" Type="http://schemas.openxmlformats.org/officeDocument/2006/relationships/hyperlink" Target="http://www.nossacasaresidencial.com.br/" TargetMode="External"/><Relationship Id="rId561" Type="http://schemas.openxmlformats.org/officeDocument/2006/relationships/hyperlink" Target="http://www.aprofe.org.br/" TargetMode="External"/><Relationship Id="rId659" Type="http://schemas.openxmlformats.org/officeDocument/2006/relationships/hyperlink" Target="http://www.yahoo.com/" TargetMode="External"/><Relationship Id="rId866" Type="http://schemas.openxmlformats.org/officeDocument/2006/relationships/hyperlink" Target="http://www.outlook.com/" TargetMode="External"/><Relationship Id="rId1289" Type="http://schemas.openxmlformats.org/officeDocument/2006/relationships/hyperlink" Target="mailto:tempodeamarnamelhoridade@gmail.com" TargetMode="External"/><Relationship Id="rId1412" Type="http://schemas.openxmlformats.org/officeDocument/2006/relationships/hyperlink" Target="mailto:contabilidadealvesbarbosa@outlook.com" TargetMode="External"/><Relationship Id="rId1496" Type="http://schemas.openxmlformats.org/officeDocument/2006/relationships/hyperlink" Target="mailto:levimed@levimed.com.br" TargetMode="External"/><Relationship Id="rId1717" Type="http://schemas.openxmlformats.org/officeDocument/2006/relationships/hyperlink" Target="http://www.residencialmaisvida.com.br/" TargetMode="External"/><Relationship Id="rId1924" Type="http://schemas.openxmlformats.org/officeDocument/2006/relationships/hyperlink" Target="mailto:ammjjsocial1@gmail.com" TargetMode="External"/><Relationship Id="rId214" Type="http://schemas.openxmlformats.org/officeDocument/2006/relationships/hyperlink" Target="http://www.residencialorquidea.com.br/" TargetMode="External"/><Relationship Id="rId298" Type="http://schemas.openxmlformats.org/officeDocument/2006/relationships/hyperlink" Target="http://www.avidaebelaresidencial.com.br/" TargetMode="External"/><Relationship Id="rId421" Type="http://schemas.openxmlformats.org/officeDocument/2006/relationships/hyperlink" Target="mailto:contato@identidadeperif&#233;rica.org" TargetMode="External"/><Relationship Id="rId519" Type="http://schemas.openxmlformats.org/officeDocument/2006/relationships/hyperlink" Target="http://www.casaderepousovidaesaude.com/" TargetMode="External"/><Relationship Id="rId1051" Type="http://schemas.openxmlformats.org/officeDocument/2006/relationships/hyperlink" Target="mailto:contato@oscesperanca.org.br" TargetMode="External"/><Relationship Id="rId1149" Type="http://schemas.openxmlformats.org/officeDocument/2006/relationships/hyperlink" Target="mailto:residencialmundomaior@gmail.com" TargetMode="External"/><Relationship Id="rId1356" Type="http://schemas.openxmlformats.org/officeDocument/2006/relationships/hyperlink" Target="mailto:gama_edi@yahoo.com.br" TargetMode="External"/><Relationship Id="rId158" Type="http://schemas.openxmlformats.org/officeDocument/2006/relationships/hyperlink" Target="http://www.vidanovaparaidosos.com.br/" TargetMode="External"/><Relationship Id="rId726" Type="http://schemas.openxmlformats.org/officeDocument/2006/relationships/hyperlink" Target="http://www.alltimesaude.com.br/" TargetMode="External"/><Relationship Id="rId933" Type="http://schemas.openxmlformats.org/officeDocument/2006/relationships/hyperlink" Target="http://www.oscesperanca.org.br/" TargetMode="External"/><Relationship Id="rId1009" Type="http://schemas.openxmlformats.org/officeDocument/2006/relationships/hyperlink" Target="http://www.institutomacedonia.com.br/" TargetMode="External"/><Relationship Id="rId1563" Type="http://schemas.openxmlformats.org/officeDocument/2006/relationships/hyperlink" Target="http://www.unidosdobem.org.br/" TargetMode="External"/><Relationship Id="rId1770" Type="http://schemas.openxmlformats.org/officeDocument/2006/relationships/hyperlink" Target="mailto:valsantos57@hotmail.com" TargetMode="External"/><Relationship Id="rId1868" Type="http://schemas.openxmlformats.org/officeDocument/2006/relationships/hyperlink" Target="mailto:caritas@caritascl.org.br" TargetMode="External"/><Relationship Id="rId62" Type="http://schemas.openxmlformats.org/officeDocument/2006/relationships/hyperlink" Target="http://www.apoio-sp.org.br/" TargetMode="External"/><Relationship Id="rId365" Type="http://schemas.openxmlformats.org/officeDocument/2006/relationships/hyperlink" Target="mailto:vilacarrao@outlook.com" TargetMode="External"/><Relationship Id="rId572" Type="http://schemas.openxmlformats.org/officeDocument/2006/relationships/hyperlink" Target="http://www.tellus.org.br/" TargetMode="External"/><Relationship Id="rId1216" Type="http://schemas.openxmlformats.org/officeDocument/2006/relationships/hyperlink" Target="mailto:luciana@maranata.org.br" TargetMode="External"/><Relationship Id="rId1423" Type="http://schemas.openxmlformats.org/officeDocument/2006/relationships/hyperlink" Target="http://www.isef.org.br/" TargetMode="External"/><Relationship Id="rId1630" Type="http://schemas.openxmlformats.org/officeDocument/2006/relationships/hyperlink" Target="http://www.bellasenior.com.br/" TargetMode="External"/><Relationship Id="rId225" Type="http://schemas.openxmlformats.org/officeDocument/2006/relationships/hyperlink" Target="mailto:vinatageresidencialsp@gmail.com" TargetMode="External"/><Relationship Id="rId432" Type="http://schemas.openxmlformats.org/officeDocument/2006/relationships/hyperlink" Target="http://www.casaderepousomoema.com.br/" TargetMode="External"/><Relationship Id="rId877" Type="http://schemas.openxmlformats.org/officeDocument/2006/relationships/hyperlink" Target="http://www.gmail.com/" TargetMode="External"/><Relationship Id="rId1062" Type="http://schemas.openxmlformats.org/officeDocument/2006/relationships/hyperlink" Target="mailto:ncitiaalzira@pontodeluz.ong.br" TargetMode="External"/><Relationship Id="rId1728" Type="http://schemas.openxmlformats.org/officeDocument/2006/relationships/hyperlink" Target="mailto:casaderepousomeular@hotmail.com" TargetMode="External"/><Relationship Id="rId1935" Type="http://schemas.openxmlformats.org/officeDocument/2006/relationships/hyperlink" Target="http://www.oscesperanca.org.br/" TargetMode="External"/><Relationship Id="rId737" Type="http://schemas.openxmlformats.org/officeDocument/2006/relationships/hyperlink" Target="http://www.casaderepousolardamelhoridade.com.br/" TargetMode="External"/><Relationship Id="rId944" Type="http://schemas.openxmlformats.org/officeDocument/2006/relationships/hyperlink" Target="mailto:servicosocial3coracoes@gmail.com" TargetMode="External"/><Relationship Id="rId1367" Type="http://schemas.openxmlformats.org/officeDocument/2006/relationships/hyperlink" Target="mailto:cadastro@sbaresidencial.org.br" TargetMode="External"/><Relationship Id="rId1574" Type="http://schemas.openxmlformats.org/officeDocument/2006/relationships/hyperlink" Target="mailto:manuella.gandarez@instituicaoirmaosdevida.com.br" TargetMode="External"/><Relationship Id="rId1781" Type="http://schemas.openxmlformats.org/officeDocument/2006/relationships/hyperlink" Target="mailto:companhiamaja@gmail.com" TargetMode="External"/><Relationship Id="rId73" Type="http://schemas.openxmlformats.org/officeDocument/2006/relationships/hyperlink" Target="http://www.casaviladeifiori.com/" TargetMode="External"/><Relationship Id="rId169" Type="http://schemas.openxmlformats.org/officeDocument/2006/relationships/hyperlink" Target="mailto:lardeidososflordeipanema@gmail.com" TargetMode="External"/><Relationship Id="rId376" Type="http://schemas.openxmlformats.org/officeDocument/2006/relationships/hyperlink" Target="mailto:thais.melgar@gmail.com" TargetMode="External"/><Relationship Id="rId583" Type="http://schemas.openxmlformats.org/officeDocument/2006/relationships/hyperlink" Target="http://www.hanamiresidencial.com.br/" TargetMode="External"/><Relationship Id="rId790" Type="http://schemas.openxmlformats.org/officeDocument/2006/relationships/hyperlink" Target="http://www.outlook.com/" TargetMode="External"/><Relationship Id="rId804" Type="http://schemas.openxmlformats.org/officeDocument/2006/relationships/hyperlink" Target="http://www.hotmail.com/" TargetMode="External"/><Relationship Id="rId1227" Type="http://schemas.openxmlformats.org/officeDocument/2006/relationships/hyperlink" Target="mailto:uniaopopmulheres@hotmail.com" TargetMode="External"/><Relationship Id="rId1434" Type="http://schemas.openxmlformats.org/officeDocument/2006/relationships/hyperlink" Target="mailto:contato@repousoparquedocarmo.com.br" TargetMode="External"/><Relationship Id="rId1641" Type="http://schemas.openxmlformats.org/officeDocument/2006/relationships/hyperlink" Target="mailto:padremoreira@sonhareacontecer.org.br" TargetMode="External"/><Relationship Id="rId1879" Type="http://schemas.openxmlformats.org/officeDocument/2006/relationships/hyperlink" Target="mailto:secretaria@bunkyo.org.br" TargetMode="External"/><Relationship Id="rId4" Type="http://schemas.openxmlformats.org/officeDocument/2006/relationships/hyperlink" Target="http://www.repousorecantodosavos.com.br/" TargetMode="External"/><Relationship Id="rId236" Type="http://schemas.openxmlformats.org/officeDocument/2006/relationships/hyperlink" Target="mailto:institutoirmadulce1@gmail.com" TargetMode="External"/><Relationship Id="rId443" Type="http://schemas.openxmlformats.org/officeDocument/2006/relationships/hyperlink" Target="http://www.sociedadeamigosdevilamara.com.br/" TargetMode="External"/><Relationship Id="rId650" Type="http://schemas.openxmlformats.org/officeDocument/2006/relationships/hyperlink" Target="http://www.solardosnobres.com.br/" TargetMode="External"/><Relationship Id="rId888" Type="http://schemas.openxmlformats.org/officeDocument/2006/relationships/hyperlink" Target="mailto:serenityresidencial@gmail.com" TargetMode="External"/><Relationship Id="rId1073" Type="http://schemas.openxmlformats.org/officeDocument/2006/relationships/hyperlink" Target="mailto:coordenacao@espacoaberto.org.br" TargetMode="External"/><Relationship Id="rId1280" Type="http://schemas.openxmlformats.org/officeDocument/2006/relationships/hyperlink" Target="mailto:apoio@apoio-sp.org.br" TargetMode="External"/><Relationship Id="rId1501" Type="http://schemas.openxmlformats.org/officeDocument/2006/relationships/hyperlink" Target="mailto:abegui@abegui.org" TargetMode="External"/><Relationship Id="rId1739" Type="http://schemas.openxmlformats.org/officeDocument/2006/relationships/hyperlink" Target="mailto:contato@redeinteracao.org.br" TargetMode="External"/><Relationship Id="rId1946" Type="http://schemas.openxmlformats.org/officeDocument/2006/relationships/vmlDrawing" Target="../drawings/vmlDrawing1.vml"/><Relationship Id="rId303" Type="http://schemas.openxmlformats.org/officeDocument/2006/relationships/hyperlink" Target="http://www.dpaduaresidencial.com.br/" TargetMode="External"/><Relationship Id="rId748" Type="http://schemas.openxmlformats.org/officeDocument/2006/relationships/hyperlink" Target="http://www.residencialmariafigueiredo.com.br/" TargetMode="External"/><Relationship Id="rId955" Type="http://schemas.openxmlformats.org/officeDocument/2006/relationships/hyperlink" Target="http://www.residencial60mais.com.br/" TargetMode="External"/><Relationship Id="rId1140" Type="http://schemas.openxmlformats.org/officeDocument/2006/relationships/hyperlink" Target="mailto:orquidea.amanda@hotmail.com" TargetMode="External"/><Relationship Id="rId1378" Type="http://schemas.openxmlformats.org/officeDocument/2006/relationships/hyperlink" Target="mailto:novolarresidencial@outlook.com" TargetMode="External"/><Relationship Id="rId1585" Type="http://schemas.openxmlformats.org/officeDocument/2006/relationships/hyperlink" Target="http://www.centrodeapoioizumiwatanabe.com/" TargetMode="External"/><Relationship Id="rId1792" Type="http://schemas.openxmlformats.org/officeDocument/2006/relationships/hyperlink" Target="mailto:residencialsaodomingos@outlook.com" TargetMode="External"/><Relationship Id="rId1806" Type="http://schemas.openxmlformats.org/officeDocument/2006/relationships/hyperlink" Target="mailto:sonia@residencialemfamilia.com.br" TargetMode="External"/><Relationship Id="rId84" Type="http://schemas.openxmlformats.org/officeDocument/2006/relationships/hyperlink" Target="http://www.ocaminho.org/" TargetMode="External"/><Relationship Id="rId387" Type="http://schemas.openxmlformats.org/officeDocument/2006/relationships/hyperlink" Target="http://www.aeb-brasil.org.br/" TargetMode="External"/><Relationship Id="rId510" Type="http://schemas.openxmlformats.org/officeDocument/2006/relationships/hyperlink" Target="mailto:legaliza&#231;&#227;o@grupopacini.com.br" TargetMode="External"/><Relationship Id="rId594" Type="http://schemas.openxmlformats.org/officeDocument/2006/relationships/hyperlink" Target="http://www.hotmail.com/" TargetMode="External"/><Relationship Id="rId608" Type="http://schemas.openxmlformats.org/officeDocument/2006/relationships/hyperlink" Target="http://www.camppinheiros.org.br/" TargetMode="External"/><Relationship Id="rId815" Type="http://schemas.openxmlformats.org/officeDocument/2006/relationships/hyperlink" Target="http://www.florrypaeamor.wixsite.com/florypaamor" TargetMode="External"/><Relationship Id="rId1238" Type="http://schemas.openxmlformats.org/officeDocument/2006/relationships/hyperlink" Target="mailto:ascom.prestacao@gmail.com" TargetMode="External"/><Relationship Id="rId1445" Type="http://schemas.openxmlformats.org/officeDocument/2006/relationships/hyperlink" Target="http://www.institutoakhanda.com/" TargetMode="External"/><Relationship Id="rId1652" Type="http://schemas.openxmlformats.org/officeDocument/2006/relationships/hyperlink" Target="http://www.ceja.org.br/" TargetMode="External"/><Relationship Id="rId247" Type="http://schemas.openxmlformats.org/officeDocument/2006/relationships/hyperlink" Target="mailto:atendimento@primeirodeoutubro.com.br" TargetMode="External"/><Relationship Id="rId899" Type="http://schemas.openxmlformats.org/officeDocument/2006/relationships/hyperlink" Target="mailto:contato@institutorosadosventos.com.br" TargetMode="External"/><Relationship Id="rId1000" Type="http://schemas.openxmlformats.org/officeDocument/2006/relationships/hyperlink" Target="mailto:casaderepousomundial@hotmail.com" TargetMode="External"/><Relationship Id="rId1084" Type="http://schemas.openxmlformats.org/officeDocument/2006/relationships/hyperlink" Target="mailto:admprojetos@institutoolgakos.org.br" TargetMode="External"/><Relationship Id="rId1305" Type="http://schemas.openxmlformats.org/officeDocument/2006/relationships/hyperlink" Target="mailto:contato@residencial60mais.com.br" TargetMode="External"/><Relationship Id="rId107" Type="http://schemas.openxmlformats.org/officeDocument/2006/relationships/hyperlink" Target="http://www.centrosocialbomjesus.org.br/" TargetMode="External"/><Relationship Id="rId454" Type="http://schemas.openxmlformats.org/officeDocument/2006/relationships/hyperlink" Target="mailto:villadeifiorisumarezinho@gmail.com" TargetMode="External"/><Relationship Id="rId661" Type="http://schemas.openxmlformats.org/officeDocument/2006/relationships/hyperlink" Target="http://www.gmail.com/" TargetMode="External"/><Relationship Id="rId759" Type="http://schemas.openxmlformats.org/officeDocument/2006/relationships/hyperlink" Target="http://www.outlook.com/" TargetMode="External"/><Relationship Id="rId966" Type="http://schemas.openxmlformats.org/officeDocument/2006/relationships/hyperlink" Target="mailto:acr.rockbrasil@gmail.com" TargetMode="External"/><Relationship Id="rId1291" Type="http://schemas.openxmlformats.org/officeDocument/2006/relationships/hyperlink" Target="mailto:adm.moema@nossacasaresidencial.com.br" TargetMode="External"/><Relationship Id="rId1389" Type="http://schemas.openxmlformats.org/officeDocument/2006/relationships/hyperlink" Target="mailto:crica.diretoria@gmail.com" TargetMode="External"/><Relationship Id="rId1512" Type="http://schemas.openxmlformats.org/officeDocument/2006/relationships/hyperlink" Target="mailto:contato@espacovitalis.com.br" TargetMode="External"/><Relationship Id="rId1596" Type="http://schemas.openxmlformats.org/officeDocument/2006/relationships/hyperlink" Target="mailto:presidencia@inataa.org.br" TargetMode="External"/><Relationship Id="rId1817" Type="http://schemas.openxmlformats.org/officeDocument/2006/relationships/hyperlink" Target="http://www.institutoolgakos.org.br/" TargetMode="External"/><Relationship Id="rId11" Type="http://schemas.openxmlformats.org/officeDocument/2006/relationships/hyperlink" Target="http://www.institutofelicidade.org.br/" TargetMode="External"/><Relationship Id="rId314" Type="http://schemas.openxmlformats.org/officeDocument/2006/relationships/hyperlink" Target="http://www.observatoriodolivro.org.br/" TargetMode="External"/><Relationship Id="rId398" Type="http://schemas.openxmlformats.org/officeDocument/2006/relationships/hyperlink" Target="http://www.nabemsp.com/" TargetMode="External"/><Relationship Id="rId521" Type="http://schemas.openxmlformats.org/officeDocument/2006/relationships/hyperlink" Target="mailto:ricaldonilima@yahoo.com.br" TargetMode="External"/><Relationship Id="rId619" Type="http://schemas.openxmlformats.org/officeDocument/2006/relationships/hyperlink" Target="http://www.yahoo.com.br/" TargetMode="External"/><Relationship Id="rId1151" Type="http://schemas.openxmlformats.org/officeDocument/2006/relationships/hyperlink" Target="mailto:vchadad@hcor.com.br" TargetMode="External"/><Relationship Id="rId1249" Type="http://schemas.openxmlformats.org/officeDocument/2006/relationships/hyperlink" Target="mailto:camila@reciclazaro.org.br" TargetMode="External"/><Relationship Id="rId95" Type="http://schemas.openxmlformats.org/officeDocument/2006/relationships/hyperlink" Target="http://www.fundacaobritanica.org.br/" TargetMode="External"/><Relationship Id="rId160" Type="http://schemas.openxmlformats.org/officeDocument/2006/relationships/hyperlink" Target="http://www.residencialdvillamathilde.com.br/" TargetMode="External"/><Relationship Id="rId826" Type="http://schemas.openxmlformats.org/officeDocument/2006/relationships/hyperlink" Target="http://www.grupopacini.com.br/" TargetMode="External"/><Relationship Id="rId1011" Type="http://schemas.openxmlformats.org/officeDocument/2006/relationships/hyperlink" Target="mailto:elizamcorreia@gmail.com" TargetMode="External"/><Relationship Id="rId1109" Type="http://schemas.openxmlformats.org/officeDocument/2006/relationships/hyperlink" Target="mailto:casaderepousosirius2@gmail.com" TargetMode="External"/><Relationship Id="rId1456" Type="http://schemas.openxmlformats.org/officeDocument/2006/relationships/hyperlink" Target="mailto:originaissantacruz@gmail.com" TargetMode="External"/><Relationship Id="rId1663" Type="http://schemas.openxmlformats.org/officeDocument/2006/relationships/hyperlink" Target="mailto:contato@larsaotiago.org.br" TargetMode="External"/><Relationship Id="rId1870" Type="http://schemas.openxmlformats.org/officeDocument/2006/relationships/hyperlink" Target="mailto:llvresidencialparaidosos@gmail.com" TargetMode="External"/><Relationship Id="rId258" Type="http://schemas.openxmlformats.org/officeDocument/2006/relationships/hyperlink" Target="http://www.sindicatodosaposentados.org.br/" TargetMode="External"/><Relationship Id="rId465" Type="http://schemas.openxmlformats.org/officeDocument/2006/relationships/hyperlink" Target="mailto:silvana.cazonato@adventistas.org" TargetMode="External"/><Relationship Id="rId672" Type="http://schemas.openxmlformats.org/officeDocument/2006/relationships/hyperlink" Target="http://www.hotmail.com/" TargetMode="External"/><Relationship Id="rId1095" Type="http://schemas.openxmlformats.org/officeDocument/2006/relationships/hyperlink" Target="mailto:hmacontabil@hotmail.com" TargetMode="External"/><Relationship Id="rId1316" Type="http://schemas.openxmlformats.org/officeDocument/2006/relationships/hyperlink" Target="mailto:residencialjardimdavida@hotmail.com" TargetMode="External"/><Relationship Id="rId1523" Type="http://schemas.openxmlformats.org/officeDocument/2006/relationships/hyperlink" Target="mailto:aamec10@yahoo.com.br" TargetMode="External"/><Relationship Id="rId1730" Type="http://schemas.openxmlformats.org/officeDocument/2006/relationships/hyperlink" Target="http://www.fundacaojulita.org.br/" TargetMode="External"/><Relationship Id="rId22" Type="http://schemas.openxmlformats.org/officeDocument/2006/relationships/hyperlink" Target="http://www.casaderepousovivace.com.br/" TargetMode="External"/><Relationship Id="rId118" Type="http://schemas.openxmlformats.org/officeDocument/2006/relationships/hyperlink" Target="http://www.recantodasflores-sp.com.br/" TargetMode="External"/><Relationship Id="rId325" Type="http://schemas.openxmlformats.org/officeDocument/2006/relationships/hyperlink" Target="http://www.abcaurora.org.br/" TargetMode="External"/><Relationship Id="rId532" Type="http://schemas.openxmlformats.org/officeDocument/2006/relationships/hyperlink" Target="http://www.tercadaserra.com.br/" TargetMode="External"/><Relationship Id="rId977" Type="http://schemas.openxmlformats.org/officeDocument/2006/relationships/hyperlink" Target="mailto:institutoformiguinhas@gmail.com" TargetMode="External"/><Relationship Id="rId1162" Type="http://schemas.openxmlformats.org/officeDocument/2006/relationships/hyperlink" Target="mailto:recantooswalito@gmail.com" TargetMode="External"/><Relationship Id="rId1828" Type="http://schemas.openxmlformats.org/officeDocument/2006/relationships/hyperlink" Target="http://www.residencialmariaejose.com.br/" TargetMode="External"/><Relationship Id="rId171" Type="http://schemas.openxmlformats.org/officeDocument/2006/relationships/hyperlink" Target="http://www.associacaofabiocandido.org.br/" TargetMode="External"/><Relationship Id="rId837" Type="http://schemas.openxmlformats.org/officeDocument/2006/relationships/hyperlink" Target="http://www.residencialmaster.com.br/" TargetMode="External"/><Relationship Id="rId1022" Type="http://schemas.openxmlformats.org/officeDocument/2006/relationships/hyperlink" Target="http://www.ondinalobo.org.br/" TargetMode="External"/><Relationship Id="rId1467" Type="http://schemas.openxmlformats.org/officeDocument/2006/relationships/hyperlink" Target="mailto:alex.tnobre@gmail.com" TargetMode="External"/><Relationship Id="rId1674" Type="http://schemas.openxmlformats.org/officeDocument/2006/relationships/hyperlink" Target="mailto:flavio.lanzelotti@hotmail.com" TargetMode="External"/><Relationship Id="rId1881" Type="http://schemas.openxmlformats.org/officeDocument/2006/relationships/hyperlink" Target="mailto:diretoria@institutoruas.org" TargetMode="External"/><Relationship Id="rId269" Type="http://schemas.openxmlformats.org/officeDocument/2006/relationships/hyperlink" Target="mailto:centrodeconvivenciaparaidosos@gmail.com" TargetMode="External"/><Relationship Id="rId476" Type="http://schemas.openxmlformats.org/officeDocument/2006/relationships/hyperlink" Target="http://www.aspromatina.org.br/" TargetMode="External"/><Relationship Id="rId683" Type="http://schemas.openxmlformats.org/officeDocument/2006/relationships/hyperlink" Target="http://www.casaderepousofilo.com.br/" TargetMode="External"/><Relationship Id="rId890" Type="http://schemas.openxmlformats.org/officeDocument/2006/relationships/hyperlink" Target="http://www.ctn.org.br/" TargetMode="External"/><Relationship Id="rId904" Type="http://schemas.openxmlformats.org/officeDocument/2006/relationships/hyperlink" Target="mailto:contato@institutogera.org" TargetMode="External"/><Relationship Id="rId1327" Type="http://schemas.openxmlformats.org/officeDocument/2006/relationships/hyperlink" Target="mailto:clinicageriatricabetel@outlook.com" TargetMode="External"/><Relationship Id="rId1534" Type="http://schemas.openxmlformats.org/officeDocument/2006/relationships/hyperlink" Target="mailto:casaderepousovivavida@gmail.com" TargetMode="External"/><Relationship Id="rId1741" Type="http://schemas.openxmlformats.org/officeDocument/2006/relationships/hyperlink" Target="mailto:institutosocialdalvarangel@gmail.com" TargetMode="External"/><Relationship Id="rId33" Type="http://schemas.openxmlformats.org/officeDocument/2006/relationships/hyperlink" Target="http://www.grupomdsi.com.br/" TargetMode="External"/><Relationship Id="rId129" Type="http://schemas.openxmlformats.org/officeDocument/2006/relationships/hyperlink" Target="http://www.casaderepousoanjogabriel.com.br/" TargetMode="External"/><Relationship Id="rId336" Type="http://schemas.openxmlformats.org/officeDocument/2006/relationships/hyperlink" Target="http://www.lardeidososparadainglesa.com.br/" TargetMode="External"/><Relationship Id="rId543" Type="http://schemas.openxmlformats.org/officeDocument/2006/relationships/hyperlink" Target="http://www.residencialespacosaude.com.br/" TargetMode="External"/><Relationship Id="rId988" Type="http://schemas.openxmlformats.org/officeDocument/2006/relationships/hyperlink" Target="http://www.maisviver.org.br/" TargetMode="External"/><Relationship Id="rId1173" Type="http://schemas.openxmlformats.org/officeDocument/2006/relationships/hyperlink" Target="mailto:contato@visaresidencial.com.br" TargetMode="External"/><Relationship Id="rId1380" Type="http://schemas.openxmlformats.org/officeDocument/2006/relationships/hyperlink" Target="mailto:residencialidosos.sophia@gmail.com" TargetMode="External"/><Relationship Id="rId1601" Type="http://schemas.openxmlformats.org/officeDocument/2006/relationships/hyperlink" Target="http://www.adetodos.org/" TargetMode="External"/><Relationship Id="rId1839" Type="http://schemas.openxmlformats.org/officeDocument/2006/relationships/hyperlink" Target="mailto:henriquelimaadonai@gmail.com" TargetMode="External"/><Relationship Id="rId182" Type="http://schemas.openxmlformats.org/officeDocument/2006/relationships/hyperlink" Target="http://www.casaderepousovivabem.com.br/" TargetMode="External"/><Relationship Id="rId403" Type="http://schemas.openxmlformats.org/officeDocument/2006/relationships/hyperlink" Target="http://www.aeb-brasil.org.br/" TargetMode="External"/><Relationship Id="rId750" Type="http://schemas.openxmlformats.org/officeDocument/2006/relationships/hyperlink" Target="http://www.unas.org.br/" TargetMode="External"/><Relationship Id="rId848" Type="http://schemas.openxmlformats.org/officeDocument/2006/relationships/hyperlink" Target="http://www.gmail.com/" TargetMode="External"/><Relationship Id="rId1033" Type="http://schemas.openxmlformats.org/officeDocument/2006/relationships/hyperlink" Target="mailto:daniele.paz@institutoanimaeducacao.org.br" TargetMode="External"/><Relationship Id="rId1478" Type="http://schemas.openxmlformats.org/officeDocument/2006/relationships/hyperlink" Target="mailto:mj14fonseca@gmail.com" TargetMode="External"/><Relationship Id="rId1685" Type="http://schemas.openxmlformats.org/officeDocument/2006/relationships/hyperlink" Target="mailto:padremoreira@sonhareacontecer.org.br" TargetMode="External"/><Relationship Id="rId1892" Type="http://schemas.openxmlformats.org/officeDocument/2006/relationships/hyperlink" Target="mailto:lucianadarning72@gmail.com" TargetMode="External"/><Relationship Id="rId1906" Type="http://schemas.openxmlformats.org/officeDocument/2006/relationships/hyperlink" Target="mailto:contato@parelheiros.org.br" TargetMode="External"/><Relationship Id="rId487" Type="http://schemas.openxmlformats.org/officeDocument/2006/relationships/hyperlink" Target="mailto:amaobranca@amaobranca.org.br" TargetMode="External"/><Relationship Id="rId610" Type="http://schemas.openxmlformats.org/officeDocument/2006/relationships/hyperlink" Target="http://www.gmail.com/" TargetMode="External"/><Relationship Id="rId694" Type="http://schemas.openxmlformats.org/officeDocument/2006/relationships/hyperlink" Target="http://www.gmail.com/" TargetMode="External"/><Relationship Id="rId708" Type="http://schemas.openxmlformats.org/officeDocument/2006/relationships/hyperlink" Target="http://www.invar.org.br/" TargetMode="External"/><Relationship Id="rId915" Type="http://schemas.openxmlformats.org/officeDocument/2006/relationships/hyperlink" Target="http://www.sorrirparavida.org.br/" TargetMode="External"/><Relationship Id="rId1240" Type="http://schemas.openxmlformats.org/officeDocument/2006/relationships/hyperlink" Target="mailto:financeiro@atados.com.br" TargetMode="External"/><Relationship Id="rId1338" Type="http://schemas.openxmlformats.org/officeDocument/2006/relationships/hyperlink" Target="mailto:servsocial@ocirculo.org.br" TargetMode="External"/><Relationship Id="rId1545" Type="http://schemas.openxmlformats.org/officeDocument/2006/relationships/hyperlink" Target="mailto:lucantadeiro@yahoo.com.br" TargetMode="External"/><Relationship Id="rId347" Type="http://schemas.openxmlformats.org/officeDocument/2006/relationships/hyperlink" Target="mailto:betellardeidosos@gmail.com" TargetMode="External"/><Relationship Id="rId999" Type="http://schemas.openxmlformats.org/officeDocument/2006/relationships/hyperlink" Target="mailto:jovensdofuturocoordenacao@gmail.com" TargetMode="External"/><Relationship Id="rId1100" Type="http://schemas.openxmlformats.org/officeDocument/2006/relationships/hyperlink" Target="mailto:juridico@abrigobezerrademenezes.org.br" TargetMode="External"/><Relationship Id="rId1184" Type="http://schemas.openxmlformats.org/officeDocument/2006/relationships/hyperlink" Target="mailto:cibocsocial@gmail.com" TargetMode="External"/><Relationship Id="rId1405" Type="http://schemas.openxmlformats.org/officeDocument/2006/relationships/hyperlink" Target="mailto:contato@famresidencial.com.br" TargetMode="External"/><Relationship Id="rId1752" Type="http://schemas.openxmlformats.org/officeDocument/2006/relationships/hyperlink" Target="mailto:divapisani77@gmail.com" TargetMode="External"/><Relationship Id="rId44" Type="http://schemas.openxmlformats.org/officeDocument/2006/relationships/hyperlink" Target="http://www.casavilladeifiori.com/" TargetMode="External"/><Relationship Id="rId554" Type="http://schemas.openxmlformats.org/officeDocument/2006/relationships/hyperlink" Target="http://www.gardenvillesp.com.br/" TargetMode="External"/><Relationship Id="rId761" Type="http://schemas.openxmlformats.org/officeDocument/2006/relationships/hyperlink" Target="http://www.uol.com.br/" TargetMode="External"/><Relationship Id="rId859" Type="http://schemas.openxmlformats.org/officeDocument/2006/relationships/hyperlink" Target="http://www.hotmail.com/" TargetMode="External"/><Relationship Id="rId1391" Type="http://schemas.openxmlformats.org/officeDocument/2006/relationships/hyperlink" Target="mailto:luigibalbi@gmail.com" TargetMode="External"/><Relationship Id="rId1489" Type="http://schemas.openxmlformats.org/officeDocument/2006/relationships/hyperlink" Target="mailto:pensionatohavila@gmail.com" TargetMode="External"/><Relationship Id="rId1612" Type="http://schemas.openxmlformats.org/officeDocument/2006/relationships/hyperlink" Target="http://www.velhoamigo.org.br/" TargetMode="External"/><Relationship Id="rId1696" Type="http://schemas.openxmlformats.org/officeDocument/2006/relationships/hyperlink" Target="mailto:videiradocelar@gmail.com" TargetMode="External"/><Relationship Id="rId1917" Type="http://schemas.openxmlformats.org/officeDocument/2006/relationships/hyperlink" Target="mailto:institutorosasdapaz@gmail.com" TargetMode="External"/><Relationship Id="rId193" Type="http://schemas.openxmlformats.org/officeDocument/2006/relationships/hyperlink" Target="http://www.villa4estacoes.com.br/" TargetMode="External"/><Relationship Id="rId207" Type="http://schemas.openxmlformats.org/officeDocument/2006/relationships/hyperlink" Target="mailto:amaspinheiro@uol.com.br" TargetMode="External"/><Relationship Id="rId414" Type="http://schemas.openxmlformats.org/officeDocument/2006/relationships/hyperlink" Target="mailto:villaunidadesantana@gmail.com" TargetMode="External"/><Relationship Id="rId498" Type="http://schemas.openxmlformats.org/officeDocument/2006/relationships/hyperlink" Target="mailto:aesds.aesds@gmail.com" TargetMode="External"/><Relationship Id="rId621" Type="http://schemas.openxmlformats.org/officeDocument/2006/relationships/hyperlink" Target="http://www.uol.com.br/" TargetMode="External"/><Relationship Id="rId1044" Type="http://schemas.openxmlformats.org/officeDocument/2006/relationships/hyperlink" Target="mailto:ncisamaritano@oscsamaritano.org.br" TargetMode="External"/><Relationship Id="rId1251" Type="http://schemas.openxmlformats.org/officeDocument/2006/relationships/hyperlink" Target="mailto:pensionatodire16@gmail.com" TargetMode="External"/><Relationship Id="rId1349" Type="http://schemas.openxmlformats.org/officeDocument/2006/relationships/hyperlink" Target="mailto:casaderepousonovamorada2024@gmail.com" TargetMode="External"/><Relationship Id="rId260" Type="http://schemas.openxmlformats.org/officeDocument/2006/relationships/hyperlink" Target="http://www.olhe.org.br/" TargetMode="External"/><Relationship Id="rId719" Type="http://schemas.openxmlformats.org/officeDocument/2006/relationships/hyperlink" Target="http://www.gmail.com/" TargetMode="External"/><Relationship Id="rId926" Type="http://schemas.openxmlformats.org/officeDocument/2006/relationships/hyperlink" Target="mailto:esfuco.escola@hotmail.com" TargetMode="External"/><Relationship Id="rId1111" Type="http://schemas.openxmlformats.org/officeDocument/2006/relationships/hyperlink" Target="mailto:apoio@apoio-sp.org.br" TargetMode="External"/><Relationship Id="rId1556" Type="http://schemas.openxmlformats.org/officeDocument/2006/relationships/hyperlink" Target="mailto:danielfugice@gmail.com" TargetMode="External"/><Relationship Id="rId1763" Type="http://schemas.openxmlformats.org/officeDocument/2006/relationships/hyperlink" Target="mailto:casaderepousosolarsoberano@outlook.com" TargetMode="External"/><Relationship Id="rId55" Type="http://schemas.openxmlformats.org/officeDocument/2006/relationships/hyperlink" Target="http://www.casaderepousoaquarius.com/" TargetMode="External"/><Relationship Id="rId120" Type="http://schemas.openxmlformats.org/officeDocument/2006/relationships/hyperlink" Target="http://www.residencialvivamelhor.com.br/" TargetMode="External"/><Relationship Id="rId358" Type="http://schemas.openxmlformats.org/officeDocument/2006/relationships/hyperlink" Target="http://www.apoio-sp.org.br/" TargetMode="External"/><Relationship Id="rId565" Type="http://schemas.openxmlformats.org/officeDocument/2006/relationships/hyperlink" Target="mailto:contato@casaderepousobelaidade.com.br" TargetMode="External"/><Relationship Id="rId772" Type="http://schemas.openxmlformats.org/officeDocument/2006/relationships/hyperlink" Target="http://www.gmail.com/" TargetMode="External"/><Relationship Id="rId1195" Type="http://schemas.openxmlformats.org/officeDocument/2006/relationships/hyperlink" Target="mailto:soniamcunha@hotmail.com" TargetMode="External"/><Relationship Id="rId1209" Type="http://schemas.openxmlformats.org/officeDocument/2006/relationships/hyperlink" Target="mailto:administracao@casadacriancasantoamaro.org.br" TargetMode="External"/><Relationship Id="rId1416" Type="http://schemas.openxmlformats.org/officeDocument/2006/relationships/hyperlink" Target="mailto:legalizacao@grupopacini.com.br" TargetMode="External"/><Relationship Id="rId1623" Type="http://schemas.openxmlformats.org/officeDocument/2006/relationships/hyperlink" Target="mailto:certificados@lemecontabil.com.br" TargetMode="External"/><Relationship Id="rId1830" Type="http://schemas.openxmlformats.org/officeDocument/2006/relationships/hyperlink" Target="http://www.florescersenior.com.br/" TargetMode="External"/><Relationship Id="rId218" Type="http://schemas.openxmlformats.org/officeDocument/2006/relationships/hyperlink" Target="mailto:fundacaosaopaulo@fundasp.org.br" TargetMode="External"/><Relationship Id="rId425" Type="http://schemas.openxmlformats.org/officeDocument/2006/relationships/hyperlink" Target="mailto:caritas@caritascl.org.br" TargetMode="External"/><Relationship Id="rId632" Type="http://schemas.openxmlformats.org/officeDocument/2006/relationships/hyperlink" Target="http://www.hotmail.com.br/" TargetMode="External"/><Relationship Id="rId1055" Type="http://schemas.openxmlformats.org/officeDocument/2006/relationships/hyperlink" Target="mailto:tcuido.assistencial@gmail.com" TargetMode="External"/><Relationship Id="rId1262" Type="http://schemas.openxmlformats.org/officeDocument/2006/relationships/hyperlink" Target="mailto:lu4060@hotmail.com" TargetMode="External"/><Relationship Id="rId1928" Type="http://schemas.openxmlformats.org/officeDocument/2006/relationships/hyperlink" Target="mailto:jana_sanchez@live.com" TargetMode="External"/><Relationship Id="rId271" Type="http://schemas.openxmlformats.org/officeDocument/2006/relationships/hyperlink" Target="mailto:fapesp@federacaofapesp.org.br" TargetMode="External"/><Relationship Id="rId937" Type="http://schemas.openxmlformats.org/officeDocument/2006/relationships/hyperlink" Target="http://www.amigosemsintonia.org.br/" TargetMode="External"/><Relationship Id="rId1122" Type="http://schemas.openxmlformats.org/officeDocument/2006/relationships/hyperlink" Target="mailto:marcelogallo01@gmail.com" TargetMode="External"/><Relationship Id="rId1567" Type="http://schemas.openxmlformats.org/officeDocument/2006/relationships/hyperlink" Target="http://www.abuelos.com.br/" TargetMode="External"/><Relationship Id="rId1774" Type="http://schemas.openxmlformats.org/officeDocument/2006/relationships/hyperlink" Target="mailto:casabrasileirauniaohuntington@gmail.com" TargetMode="External"/><Relationship Id="rId66" Type="http://schemas.openxmlformats.org/officeDocument/2006/relationships/hyperlink" Target="http://www.nucleocoracaomaterno.org.br/" TargetMode="External"/><Relationship Id="rId131" Type="http://schemas.openxmlformats.org/officeDocument/2006/relationships/hyperlink" Target="http://www.cacp.com.br/" TargetMode="External"/><Relationship Id="rId369" Type="http://schemas.openxmlformats.org/officeDocument/2006/relationships/hyperlink" Target="mailto:everton@grupopacini.com.br" TargetMode="External"/><Relationship Id="rId576" Type="http://schemas.openxmlformats.org/officeDocument/2006/relationships/hyperlink" Target="http://www.abrigobezerrademenezes.org.br/" TargetMode="External"/><Relationship Id="rId783" Type="http://schemas.openxmlformats.org/officeDocument/2006/relationships/hyperlink" Target="http://www.hotmail.com/" TargetMode="External"/><Relationship Id="rId990" Type="http://schemas.openxmlformats.org/officeDocument/2006/relationships/hyperlink" Target="http://www.inovha.org.br/" TargetMode="External"/><Relationship Id="rId1427" Type="http://schemas.openxmlformats.org/officeDocument/2006/relationships/hyperlink" Target="mailto:casaderepousoalvorecer7@gmail.com" TargetMode="External"/><Relationship Id="rId1634" Type="http://schemas.openxmlformats.org/officeDocument/2006/relationships/hyperlink" Target="mailto:casaderepousototalcare@gmail.com" TargetMode="External"/><Relationship Id="rId1841" Type="http://schemas.openxmlformats.org/officeDocument/2006/relationships/hyperlink" Target="http://www.institutoirmadulce.org.br/" TargetMode="External"/><Relationship Id="rId229" Type="http://schemas.openxmlformats.org/officeDocument/2006/relationships/hyperlink" Target="mailto:legal@organife.com.br" TargetMode="External"/><Relationship Id="rId436" Type="http://schemas.openxmlformats.org/officeDocument/2006/relationships/hyperlink" Target="mailto:michelli_teo@hotmail.com" TargetMode="External"/><Relationship Id="rId643" Type="http://schemas.openxmlformats.org/officeDocument/2006/relationships/hyperlink" Target="http://www.hotmail.com/" TargetMode="External"/><Relationship Id="rId1066" Type="http://schemas.openxmlformats.org/officeDocument/2006/relationships/hyperlink" Target="mailto:grupoaecres@gmail" TargetMode="External"/><Relationship Id="rId1273" Type="http://schemas.openxmlformats.org/officeDocument/2006/relationships/hyperlink" Target="mailto:adm@safecaresp.com.br" TargetMode="External"/><Relationship Id="rId1480" Type="http://schemas.openxmlformats.org/officeDocument/2006/relationships/hyperlink" Target="http://www.arrastao.org.br/" TargetMode="External"/><Relationship Id="rId1939" Type="http://schemas.openxmlformats.org/officeDocument/2006/relationships/hyperlink" Target="http://www.oscesperanca.org.br/" TargetMode="External"/><Relationship Id="rId850" Type="http://schemas.openxmlformats.org/officeDocument/2006/relationships/hyperlink" Target="http://www.gmail.com/" TargetMode="External"/><Relationship Id="rId948" Type="http://schemas.openxmlformats.org/officeDocument/2006/relationships/hyperlink" Target="http://www.ceuestrelaguia.org.br/" TargetMode="External"/><Relationship Id="rId1133" Type="http://schemas.openxmlformats.org/officeDocument/2006/relationships/hyperlink" Target="mailto:lardealiceeireli@gmail.com" TargetMode="External"/><Relationship Id="rId1578" Type="http://schemas.openxmlformats.org/officeDocument/2006/relationships/hyperlink" Target="http://www.verasenior.com.br/" TargetMode="External"/><Relationship Id="rId1701" Type="http://schemas.openxmlformats.org/officeDocument/2006/relationships/hyperlink" Target="mailto:ccidentrodeumabraco@gmail.com" TargetMode="External"/><Relationship Id="rId1785" Type="http://schemas.openxmlformats.org/officeDocument/2006/relationships/hyperlink" Target="http://www.casacafarnaum.com.br/" TargetMode="External"/><Relationship Id="rId77" Type="http://schemas.openxmlformats.org/officeDocument/2006/relationships/hyperlink" Target="http://www.institutonovoshorizontes.org.br/" TargetMode="External"/><Relationship Id="rId282" Type="http://schemas.openxmlformats.org/officeDocument/2006/relationships/hyperlink" Target="http://www.sedes.org.br/" TargetMode="External"/><Relationship Id="rId503" Type="http://schemas.openxmlformats.org/officeDocument/2006/relationships/hyperlink" Target="http://www.institutoamigosdafe.org.br/" TargetMode="External"/><Relationship Id="rId587" Type="http://schemas.openxmlformats.org/officeDocument/2006/relationships/hyperlink" Target="http://www.espacoaberto.org.br/" TargetMode="External"/><Relationship Id="rId710" Type="http://schemas.openxmlformats.org/officeDocument/2006/relationships/hyperlink" Target="http://www.funda&#231;&#227;ojulita.org.br/" TargetMode="External"/><Relationship Id="rId808" Type="http://schemas.openxmlformats.org/officeDocument/2006/relationships/hyperlink" Target="http://www.sfresidencialparaidosos.com.br/" TargetMode="External"/><Relationship Id="rId1340" Type="http://schemas.openxmlformats.org/officeDocument/2006/relationships/hyperlink" Target="mailto:casarepousohom@hotmail.com" TargetMode="External"/><Relationship Id="rId1438" Type="http://schemas.openxmlformats.org/officeDocument/2006/relationships/hyperlink" Target="http://www.repousoparquedocarmo.com.br/" TargetMode="External"/><Relationship Id="rId1645" Type="http://schemas.openxmlformats.org/officeDocument/2006/relationships/hyperlink" Target="mailto:antoine.vens@tercadaserra.com.br" TargetMode="External"/><Relationship Id="rId8" Type="http://schemas.openxmlformats.org/officeDocument/2006/relationships/hyperlink" Target="http://www.ligasolidaria.org.br/" TargetMode="External"/><Relationship Id="rId142" Type="http://schemas.openxmlformats.org/officeDocument/2006/relationships/hyperlink" Target="http://www.casarovigoresidencial.com.br/" TargetMode="External"/><Relationship Id="rId447" Type="http://schemas.openxmlformats.org/officeDocument/2006/relationships/hyperlink" Target="http://www.moradasaogualter.com.br/" TargetMode="External"/><Relationship Id="rId794" Type="http://schemas.openxmlformats.org/officeDocument/2006/relationships/hyperlink" Target="http://www.gmail.com/" TargetMode="External"/><Relationship Id="rId1077" Type="http://schemas.openxmlformats.org/officeDocument/2006/relationships/hyperlink" Target="mailto:mi@domboscoitaquera.org.br" TargetMode="External"/><Relationship Id="rId1200" Type="http://schemas.openxmlformats.org/officeDocument/2006/relationships/hyperlink" Target="mailto:residencialidosos@hotmail.com" TargetMode="External"/><Relationship Id="rId1852" Type="http://schemas.openxmlformats.org/officeDocument/2006/relationships/hyperlink" Target="http://www.ibisc.org.br/" TargetMode="External"/><Relationship Id="rId654" Type="http://schemas.openxmlformats.org/officeDocument/2006/relationships/hyperlink" Target="http://www.uol.com.br/" TargetMode="External"/><Relationship Id="rId861" Type="http://schemas.openxmlformats.org/officeDocument/2006/relationships/hyperlink" Target="http://www.hotmail.com/" TargetMode="External"/><Relationship Id="rId959" Type="http://schemas.openxmlformats.org/officeDocument/2006/relationships/hyperlink" Target="http://www.oram.org.br/" TargetMode="External"/><Relationship Id="rId1284" Type="http://schemas.openxmlformats.org/officeDocument/2006/relationships/hyperlink" Target="mailto:residencialroyalsenior@gmail.com" TargetMode="External"/><Relationship Id="rId1491" Type="http://schemas.openxmlformats.org/officeDocument/2006/relationships/hyperlink" Target="mailto:repousodasoliveiras@gmail.com" TargetMode="External"/><Relationship Id="rId1505" Type="http://schemas.openxmlformats.org/officeDocument/2006/relationships/hyperlink" Target="mailto:rosenaide.silva@institutoverter.com.br" TargetMode="External"/><Relationship Id="rId1589" Type="http://schemas.openxmlformats.org/officeDocument/2006/relationships/hyperlink" Target="mailto:moverhelipa@gmail.com" TargetMode="External"/><Relationship Id="rId1712" Type="http://schemas.openxmlformats.org/officeDocument/2006/relationships/hyperlink" Target="mailto:goreteandreozzi@hotmail.com" TargetMode="External"/><Relationship Id="rId293" Type="http://schemas.openxmlformats.org/officeDocument/2006/relationships/hyperlink" Target="http://www.casaderepousovivace.com.br/" TargetMode="External"/><Relationship Id="rId307" Type="http://schemas.openxmlformats.org/officeDocument/2006/relationships/hyperlink" Target="mailto:respousoafetobrasil@gmail.com" TargetMode="External"/><Relationship Id="rId514" Type="http://schemas.openxmlformats.org/officeDocument/2006/relationships/hyperlink" Target="http://www.carinonni.com.br/" TargetMode="External"/><Relationship Id="rId721" Type="http://schemas.openxmlformats.org/officeDocument/2006/relationships/hyperlink" Target="http://www.larsaonicolau.com.br/" TargetMode="External"/><Relationship Id="rId1144" Type="http://schemas.openxmlformats.org/officeDocument/2006/relationships/hyperlink" Target="mailto:secretaria@bunkyo.org.br" TargetMode="External"/><Relationship Id="rId1351" Type="http://schemas.openxmlformats.org/officeDocument/2006/relationships/hyperlink" Target="mailto:moca.sede@uol.com.br" TargetMode="External"/><Relationship Id="rId1449" Type="http://schemas.openxmlformats.org/officeDocument/2006/relationships/hyperlink" Target="http://www.unibes.org.br/" TargetMode="External"/><Relationship Id="rId1796" Type="http://schemas.openxmlformats.org/officeDocument/2006/relationships/hyperlink" Target="mailto:villafioriresidencial2@gmail.com" TargetMode="External"/><Relationship Id="rId88" Type="http://schemas.openxmlformats.org/officeDocument/2006/relationships/hyperlink" Target="http://www.promove.org.br/" TargetMode="External"/><Relationship Id="rId153" Type="http://schemas.openxmlformats.org/officeDocument/2006/relationships/hyperlink" Target="http://www.casaderepousoelite.com/" TargetMode="External"/><Relationship Id="rId360" Type="http://schemas.openxmlformats.org/officeDocument/2006/relationships/hyperlink" Target="http://www.residencialnewcare.com.br/" TargetMode="External"/><Relationship Id="rId598" Type="http://schemas.openxmlformats.org/officeDocument/2006/relationships/hyperlink" Target="http://www.sonhareacontecer.org.br/" TargetMode="External"/><Relationship Id="rId819" Type="http://schemas.openxmlformats.org/officeDocument/2006/relationships/hyperlink" Target="http://www.gmail.com/" TargetMode="External"/><Relationship Id="rId1004" Type="http://schemas.openxmlformats.org/officeDocument/2006/relationships/hyperlink" Target="mailto:diretoria.residencialmaximo@gmail.com" TargetMode="External"/><Relationship Id="rId1211" Type="http://schemas.openxmlformats.org/officeDocument/2006/relationships/hyperlink" Target="mailto:contatoresidencialemanuel@gmail.com" TargetMode="External"/><Relationship Id="rId1656" Type="http://schemas.openxmlformats.org/officeDocument/2006/relationships/hyperlink" Target="mailto:contato@ecrecantodoslirios.com.br" TargetMode="External"/><Relationship Id="rId1863" Type="http://schemas.openxmlformats.org/officeDocument/2006/relationships/hyperlink" Target="mailto:residencialharmony@outlook.com" TargetMode="External"/><Relationship Id="rId220" Type="http://schemas.openxmlformats.org/officeDocument/2006/relationships/hyperlink" Target="mailto:fundacaosaopaulo@fundasp.org.br" TargetMode="External"/><Relationship Id="rId458" Type="http://schemas.openxmlformats.org/officeDocument/2006/relationships/hyperlink" Target="http://www.esplendorresidencial.com.br/" TargetMode="External"/><Relationship Id="rId665" Type="http://schemas.openxmlformats.org/officeDocument/2006/relationships/hyperlink" Target="http://www.gmail.com/" TargetMode="External"/><Relationship Id="rId872" Type="http://schemas.openxmlformats.org/officeDocument/2006/relationships/hyperlink" Target="http://www.gmail.com/" TargetMode="External"/><Relationship Id="rId1088" Type="http://schemas.openxmlformats.org/officeDocument/2006/relationships/hyperlink" Target="mailto:crerecantoalegre@gmail.com" TargetMode="External"/><Relationship Id="rId1295" Type="http://schemas.openxmlformats.org/officeDocument/2006/relationships/hyperlink" Target="mailto:aconchegocasaidoso@gmail.com" TargetMode="External"/><Relationship Id="rId1309" Type="http://schemas.openxmlformats.org/officeDocument/2006/relationships/hyperlink" Target="mailto:contato@institutopilar.org.br" TargetMode="External"/><Relationship Id="rId1516" Type="http://schemas.openxmlformats.org/officeDocument/2006/relationships/hyperlink" Target="mailto:ljcprime@gmail.com" TargetMode="External"/><Relationship Id="rId1723" Type="http://schemas.openxmlformats.org/officeDocument/2006/relationships/hyperlink" Target="mailto:atendimento@institutoatiara.org" TargetMode="External"/><Relationship Id="rId1930" Type="http://schemas.openxmlformats.org/officeDocument/2006/relationships/hyperlink" Target="mailto:contato@afranco.org.br" TargetMode="External"/><Relationship Id="rId15" Type="http://schemas.openxmlformats.org/officeDocument/2006/relationships/hyperlink" Target="http://www.bunkyo.org.br/" TargetMode="External"/><Relationship Id="rId318" Type="http://schemas.openxmlformats.org/officeDocument/2006/relationships/hyperlink" Target="http://www.dpaduaresidencial.com.br/" TargetMode="External"/><Relationship Id="rId525" Type="http://schemas.openxmlformats.org/officeDocument/2006/relationships/hyperlink" Target="http://www.residencialespacosaude.com.br/" TargetMode="External"/><Relationship Id="rId732" Type="http://schemas.openxmlformats.org/officeDocument/2006/relationships/hyperlink" Target="http://www.hotmail.com/" TargetMode="External"/><Relationship Id="rId1155" Type="http://schemas.openxmlformats.org/officeDocument/2006/relationships/hyperlink" Target="mailto:fernandaprizon@gmail.com" TargetMode="External"/><Relationship Id="rId1362" Type="http://schemas.openxmlformats.org/officeDocument/2006/relationships/hyperlink" Target="mailto:invar@invar.org.br" TargetMode="External"/><Relationship Id="rId99" Type="http://schemas.openxmlformats.org/officeDocument/2006/relationships/hyperlink" Target="http://www.aventuradeconstruir.org.br/" TargetMode="External"/><Relationship Id="rId164" Type="http://schemas.openxmlformats.org/officeDocument/2006/relationships/hyperlink" Target="http://www.hcor.com.br/" TargetMode="External"/><Relationship Id="rId371" Type="http://schemas.openxmlformats.org/officeDocument/2006/relationships/hyperlink" Target="mailto:ilpisdamanu@gmail.com" TargetMode="External"/><Relationship Id="rId1015" Type="http://schemas.openxmlformats.org/officeDocument/2006/relationships/hyperlink" Target="http://www.mensagemdepaz.org.br/" TargetMode="External"/><Relationship Id="rId1222" Type="http://schemas.openxmlformats.org/officeDocument/2006/relationships/hyperlink" Target="mailto:alex.quirino@rsantacruz.com.br" TargetMode="External"/><Relationship Id="rId1667" Type="http://schemas.openxmlformats.org/officeDocument/2006/relationships/hyperlink" Target="mailto:associacaodemulheresjovarural@gmail.com" TargetMode="External"/><Relationship Id="rId1874" Type="http://schemas.openxmlformats.org/officeDocument/2006/relationships/hyperlink" Target="mailto:residamoremfamilia@gmail.com" TargetMode="External"/><Relationship Id="rId469" Type="http://schemas.openxmlformats.org/officeDocument/2006/relationships/hyperlink" Target="http://www.baliresidencial.com.br/" TargetMode="External"/><Relationship Id="rId676" Type="http://schemas.openxmlformats.org/officeDocument/2006/relationships/hyperlink" Target="http://www.adj.org.br/" TargetMode="External"/><Relationship Id="rId883" Type="http://schemas.openxmlformats.org/officeDocument/2006/relationships/hyperlink" Target="mailto:debora.casaderepouso@gmail.com" TargetMode="External"/><Relationship Id="rId1099" Type="http://schemas.openxmlformats.org/officeDocument/2006/relationships/hyperlink" Target="mailto:convivenciacasaderepouso@hotmail.com" TargetMode="External"/><Relationship Id="rId1527" Type="http://schemas.openxmlformats.org/officeDocument/2006/relationships/hyperlink" Target="mailto:sandra.klain@3ibemestar.com.br" TargetMode="External"/><Relationship Id="rId1734" Type="http://schemas.openxmlformats.org/officeDocument/2006/relationships/hyperlink" Target="mailto:ongmaglac@gmail.com" TargetMode="External"/><Relationship Id="rId1941" Type="http://schemas.openxmlformats.org/officeDocument/2006/relationships/hyperlink" Target="mailto:ccajanga2018@gmail.com" TargetMode="External"/><Relationship Id="rId26" Type="http://schemas.openxmlformats.org/officeDocument/2006/relationships/hyperlink" Target="http://www.casaderepousobelaidade.com.br/" TargetMode="External"/><Relationship Id="rId231" Type="http://schemas.openxmlformats.org/officeDocument/2006/relationships/hyperlink" Target="mailto:crserenidade@gmail.com" TargetMode="External"/><Relationship Id="rId329" Type="http://schemas.openxmlformats.org/officeDocument/2006/relationships/hyperlink" Target="http://www.casadavilamariana.com.br/" TargetMode="External"/><Relationship Id="rId536" Type="http://schemas.openxmlformats.org/officeDocument/2006/relationships/hyperlink" Target="http://www.acolmeia.org.br/" TargetMode="External"/><Relationship Id="rId1166" Type="http://schemas.openxmlformats.org/officeDocument/2006/relationships/hyperlink" Target="mailto:orraplanejados@gmail.com" TargetMode="External"/><Relationship Id="rId1373" Type="http://schemas.openxmlformats.org/officeDocument/2006/relationships/hyperlink" Target="mailto:residencialestrelasbrilhantes@gmail.com" TargetMode="External"/><Relationship Id="rId175" Type="http://schemas.openxmlformats.org/officeDocument/2006/relationships/hyperlink" Target="mailto:admccnsa@yahoo.com.br" TargetMode="External"/><Relationship Id="rId743" Type="http://schemas.openxmlformats.org/officeDocument/2006/relationships/hyperlink" Target="http://www.hotmail.com/" TargetMode="External"/><Relationship Id="rId950" Type="http://schemas.openxmlformats.org/officeDocument/2006/relationships/hyperlink" Target="mailto:recantodosavoscasaderepouso@gmail.com" TargetMode="External"/><Relationship Id="rId1026" Type="http://schemas.openxmlformats.org/officeDocument/2006/relationships/hyperlink" Target="mailto:projetos@ondinalobo.org.br" TargetMode="External"/><Relationship Id="rId1580" Type="http://schemas.openxmlformats.org/officeDocument/2006/relationships/hyperlink" Target="mailto:legalizacao@grupopacini.com.br" TargetMode="External"/><Relationship Id="rId1678" Type="http://schemas.openxmlformats.org/officeDocument/2006/relationships/hyperlink" Target="mailto:daniella.martins@haoc.com.br" TargetMode="External"/><Relationship Id="rId1801" Type="http://schemas.openxmlformats.org/officeDocument/2006/relationships/hyperlink" Target="mailto:residencialvivercomamor@gmail.com" TargetMode="External"/><Relationship Id="rId1885" Type="http://schemas.openxmlformats.org/officeDocument/2006/relationships/hyperlink" Target="mailto:contato@cuidareacolher.com.br" TargetMode="External"/><Relationship Id="rId382" Type="http://schemas.openxmlformats.org/officeDocument/2006/relationships/hyperlink" Target="mailto:contato@icansp.com.br" TargetMode="External"/><Relationship Id="rId603" Type="http://schemas.openxmlformats.org/officeDocument/2006/relationships/hyperlink" Target="http://www.casaderepousoamorevitta.com.br/" TargetMode="External"/><Relationship Id="rId687" Type="http://schemas.openxmlformats.org/officeDocument/2006/relationships/hyperlink" Target="http://www.casajsvitoria.com.br/" TargetMode="External"/><Relationship Id="rId810" Type="http://schemas.openxmlformats.org/officeDocument/2006/relationships/hyperlink" Target="http://www.gmail.com/" TargetMode="External"/><Relationship Id="rId908" Type="http://schemas.openxmlformats.org/officeDocument/2006/relationships/hyperlink" Target="mailto:contato@institutorascovski.com.be" TargetMode="External"/><Relationship Id="rId1233" Type="http://schemas.openxmlformats.org/officeDocument/2006/relationships/hyperlink" Target="mailto:centrosocialbomjesus@ig.com.br" TargetMode="External"/><Relationship Id="rId1440" Type="http://schemas.openxmlformats.org/officeDocument/2006/relationships/hyperlink" Target="mailto:contato@repousoparquedocarmo.com.br" TargetMode="External"/><Relationship Id="rId1538" Type="http://schemas.openxmlformats.org/officeDocument/2006/relationships/hyperlink" Target="mailto:moca.sede@uol.com.br" TargetMode="External"/><Relationship Id="rId242" Type="http://schemas.openxmlformats.org/officeDocument/2006/relationships/hyperlink" Target="mailto:contato.fdemaria@gmail.com" TargetMode="External"/><Relationship Id="rId894" Type="http://schemas.openxmlformats.org/officeDocument/2006/relationships/hyperlink" Target="mailto:edileuzasophye@gmail.com" TargetMode="External"/><Relationship Id="rId1177" Type="http://schemas.openxmlformats.org/officeDocument/2006/relationships/hyperlink" Target="mailto:enfermagem@jardinshermom.com.br" TargetMode="External"/><Relationship Id="rId1300" Type="http://schemas.openxmlformats.org/officeDocument/2006/relationships/hyperlink" Target="mailto:villadeifiori.osasco@gmail.com" TargetMode="External"/><Relationship Id="rId1745" Type="http://schemas.openxmlformats.org/officeDocument/2006/relationships/hyperlink" Target="mailto:casaderepousoikebana@gmail.com" TargetMode="External"/><Relationship Id="rId37" Type="http://schemas.openxmlformats.org/officeDocument/2006/relationships/hyperlink" Target="http://www.casaderepousobemmecare.com.br/" TargetMode="External"/><Relationship Id="rId102" Type="http://schemas.openxmlformats.org/officeDocument/2006/relationships/hyperlink" Target="http://www.abriqoozanam.org.br/" TargetMode="External"/><Relationship Id="rId547" Type="http://schemas.openxmlformats.org/officeDocument/2006/relationships/hyperlink" Target="http://www.casaderepousosolares.com.br/" TargetMode="External"/><Relationship Id="rId754" Type="http://schemas.openxmlformats.org/officeDocument/2006/relationships/hyperlink" Target="http://www.hotmail.com/" TargetMode="External"/><Relationship Id="rId961" Type="http://schemas.openxmlformats.org/officeDocument/2006/relationships/hyperlink" Target="http://www.ijc.org.br/" TargetMode="External"/><Relationship Id="rId1384" Type="http://schemas.openxmlformats.org/officeDocument/2006/relationships/hyperlink" Target="mailto:mulheres.semtera@gmail.com" TargetMode="External"/><Relationship Id="rId1591" Type="http://schemas.openxmlformats.org/officeDocument/2006/relationships/hyperlink" Target="mailto:jzildenarpaiva@gmail.com" TargetMode="External"/><Relationship Id="rId1605" Type="http://schemas.openxmlformats.org/officeDocument/2006/relationships/hyperlink" Target="mailto:joelzakimi7@gmail.com" TargetMode="External"/><Relationship Id="rId1689" Type="http://schemas.openxmlformats.org/officeDocument/2006/relationships/hyperlink" Target="mailto:novaiscarmem9@gmail.com" TargetMode="External"/><Relationship Id="rId1812" Type="http://schemas.openxmlformats.org/officeDocument/2006/relationships/hyperlink" Target="http://www.gmail.com/" TargetMode="External"/><Relationship Id="rId90" Type="http://schemas.openxmlformats.org/officeDocument/2006/relationships/hyperlink" Target="http://www.reciclazaro.org.br/" TargetMode="External"/><Relationship Id="rId186" Type="http://schemas.openxmlformats.org/officeDocument/2006/relationships/hyperlink" Target="http://www.bunkyo.org.br/" TargetMode="External"/><Relationship Id="rId393" Type="http://schemas.openxmlformats.org/officeDocument/2006/relationships/hyperlink" Target="http://www.casadecuidados.com.br/" TargetMode="External"/><Relationship Id="rId407" Type="http://schemas.openxmlformats.org/officeDocument/2006/relationships/hyperlink" Target="http://www.caritascl.org.br/" TargetMode="External"/><Relationship Id="rId614" Type="http://schemas.openxmlformats.org/officeDocument/2006/relationships/hyperlink" Target="http://www.homeadonai.com.br/" TargetMode="External"/><Relationship Id="rId821" Type="http://schemas.openxmlformats.org/officeDocument/2006/relationships/hyperlink" Target="http://www.hotmail.com/" TargetMode="External"/><Relationship Id="rId1037" Type="http://schemas.openxmlformats.org/officeDocument/2006/relationships/hyperlink" Target="mailto:projetos@ondinalobo.org.br" TargetMode="External"/><Relationship Id="rId1244" Type="http://schemas.openxmlformats.org/officeDocument/2006/relationships/hyperlink" Target="mailto:jubismar@gmail.com" TargetMode="External"/><Relationship Id="rId1451" Type="http://schemas.openxmlformats.org/officeDocument/2006/relationships/hyperlink" Target="mailto:administrativo@residencialviverbem.com.br" TargetMode="External"/><Relationship Id="rId1896" Type="http://schemas.openxmlformats.org/officeDocument/2006/relationships/hyperlink" Target="http://www.acbb.org.br/" TargetMode="External"/><Relationship Id="rId253" Type="http://schemas.openxmlformats.org/officeDocument/2006/relationships/hyperlink" Target="http://www.casaderepousosolar.com/" TargetMode="External"/><Relationship Id="rId460" Type="http://schemas.openxmlformats.org/officeDocument/2006/relationships/hyperlink" Target="mailto:solcanta@uo.com.br" TargetMode="External"/><Relationship Id="rId698" Type="http://schemas.openxmlformats.org/officeDocument/2006/relationships/hyperlink" Target="http://www.yahoo.com.br/" TargetMode="External"/><Relationship Id="rId919" Type="http://schemas.openxmlformats.org/officeDocument/2006/relationships/hyperlink" Target="http://www.casaderepousobrilhodalua.com.br/" TargetMode="External"/><Relationship Id="rId1090" Type="http://schemas.openxmlformats.org/officeDocument/2006/relationships/hyperlink" Target="mailto:marlene.neves@rcleger.com.br" TargetMode="External"/><Relationship Id="rId1104" Type="http://schemas.openxmlformats.org/officeDocument/2006/relationships/hyperlink" Target="mailto:financeiro@mentalsenior.com.br" TargetMode="External"/><Relationship Id="rId1311" Type="http://schemas.openxmlformats.org/officeDocument/2006/relationships/hyperlink" Target="mailto:orquidea.amanda@hotmail.com" TargetMode="External"/><Relationship Id="rId1549" Type="http://schemas.openxmlformats.org/officeDocument/2006/relationships/hyperlink" Target="mailto:luzdoamanhecer83@gmail.com" TargetMode="External"/><Relationship Id="rId1756" Type="http://schemas.openxmlformats.org/officeDocument/2006/relationships/hyperlink" Target="mailto:residencialseniorharmonia@gmailcom" TargetMode="External"/><Relationship Id="rId48" Type="http://schemas.openxmlformats.org/officeDocument/2006/relationships/hyperlink" Target="http://www.aconchegocasaidoso.com/" TargetMode="External"/><Relationship Id="rId113" Type="http://schemas.openxmlformats.org/officeDocument/2006/relationships/hyperlink" Target="http://www.residencialvovocatarina.com.br/" TargetMode="External"/><Relationship Id="rId320" Type="http://schemas.openxmlformats.org/officeDocument/2006/relationships/hyperlink" Target="mailto:aflorypaeamor@hotmail.com" TargetMode="External"/><Relationship Id="rId558" Type="http://schemas.openxmlformats.org/officeDocument/2006/relationships/hyperlink" Target="http://www.residencialsenioripeamarelo.com/" TargetMode="External"/><Relationship Id="rId765" Type="http://schemas.openxmlformats.org/officeDocument/2006/relationships/hyperlink" Target="http://www.oscesperanca.org.br/" TargetMode="External"/><Relationship Id="rId972" Type="http://schemas.openxmlformats.org/officeDocument/2006/relationships/hyperlink" Target="mailto:sardilliclovis@hotmail.com" TargetMode="External"/><Relationship Id="rId1188" Type="http://schemas.openxmlformats.org/officeDocument/2006/relationships/hyperlink" Target="mailto:magdasilvasantossilva@gmail.com" TargetMode="External"/><Relationship Id="rId1395" Type="http://schemas.openxmlformats.org/officeDocument/2006/relationships/hyperlink" Target="mailto:crepousopremium@gmail.com" TargetMode="External"/><Relationship Id="rId1409" Type="http://schemas.openxmlformats.org/officeDocument/2006/relationships/hyperlink" Target="mailto:contato@casaderepousodasazaleias.com.br" TargetMode="External"/><Relationship Id="rId1616" Type="http://schemas.openxmlformats.org/officeDocument/2006/relationships/hyperlink" Target="http://www.baliresidencial.com.br/" TargetMode="External"/><Relationship Id="rId1823" Type="http://schemas.openxmlformats.org/officeDocument/2006/relationships/hyperlink" Target="http://www.institutoolgakos.org.br/" TargetMode="External"/><Relationship Id="rId197" Type="http://schemas.openxmlformats.org/officeDocument/2006/relationships/hyperlink" Target="http://www.casaderepousopenhadefranca.com.br/" TargetMode="External"/><Relationship Id="rId418" Type="http://schemas.openxmlformats.org/officeDocument/2006/relationships/hyperlink" Target="mailto:contato@residencialmariaemaria.com" TargetMode="External"/><Relationship Id="rId625" Type="http://schemas.openxmlformats.org/officeDocument/2006/relationships/hyperlink" Target="http://www.solardamooca.com.br/" TargetMode="External"/><Relationship Id="rId832" Type="http://schemas.openxmlformats.org/officeDocument/2006/relationships/hyperlink" Target="http://www.gmail.com/" TargetMode="External"/><Relationship Id="rId1048" Type="http://schemas.openxmlformats.org/officeDocument/2006/relationships/hyperlink" Target="mailto:crserenidade2@gmail.com" TargetMode="External"/><Relationship Id="rId1255" Type="http://schemas.openxmlformats.org/officeDocument/2006/relationships/hyperlink" Target="mailto:adm.residencialsantamadalena2@gmail.com" TargetMode="External"/><Relationship Id="rId1462" Type="http://schemas.openxmlformats.org/officeDocument/2006/relationships/hyperlink" Target="http://www.casateresa.com.br/" TargetMode="External"/><Relationship Id="rId264" Type="http://schemas.openxmlformats.org/officeDocument/2006/relationships/hyperlink" Target="mailto:crepousoflorescer@gmail.com" TargetMode="External"/><Relationship Id="rId471" Type="http://schemas.openxmlformats.org/officeDocument/2006/relationships/hyperlink" Target="http://www.clinicaderepousoperdizes.com.br/" TargetMode="External"/><Relationship Id="rId1115" Type="http://schemas.openxmlformats.org/officeDocument/2006/relationships/hyperlink" Target="mailto:abigail@casadavilamariana.com.br" TargetMode="External"/><Relationship Id="rId1322" Type="http://schemas.openxmlformats.org/officeDocument/2006/relationships/hyperlink" Target="mailto:lda@lardivinoamigo.org.br" TargetMode="External"/><Relationship Id="rId1767" Type="http://schemas.openxmlformats.org/officeDocument/2006/relationships/hyperlink" Target="mailto:crperseveran&#231;a@gmail.com" TargetMode="External"/><Relationship Id="rId59" Type="http://schemas.openxmlformats.org/officeDocument/2006/relationships/hyperlink" Target="https://casaderepousomoradaprimavera.com/" TargetMode="External"/><Relationship Id="rId124" Type="http://schemas.openxmlformats.org/officeDocument/2006/relationships/hyperlink" Target="http://www.casaderepousonoipiranga.com.br/" TargetMode="External"/><Relationship Id="rId569" Type="http://schemas.openxmlformats.org/officeDocument/2006/relationships/hyperlink" Target="http://www.larpedrobalazs.com.br/" TargetMode="External"/><Relationship Id="rId776" Type="http://schemas.openxmlformats.org/officeDocument/2006/relationships/hyperlink" Target="http://www.yahoo.com.br/" TargetMode="External"/><Relationship Id="rId983" Type="http://schemas.openxmlformats.org/officeDocument/2006/relationships/hyperlink" Target="http://www.institutoanimaeducacao.org.br/" TargetMode="External"/><Relationship Id="rId1199" Type="http://schemas.openxmlformats.org/officeDocument/2006/relationships/hyperlink" Target="mailto:luciana.1506@hotmail.com" TargetMode="External"/><Relationship Id="rId1627" Type="http://schemas.openxmlformats.org/officeDocument/2006/relationships/hyperlink" Target="mailto:asteca_contabil@hotmail.com" TargetMode="External"/><Relationship Id="rId1834" Type="http://schemas.openxmlformats.org/officeDocument/2006/relationships/hyperlink" Target="http://www.paese.org.br/" TargetMode="External"/><Relationship Id="rId331" Type="http://schemas.openxmlformats.org/officeDocument/2006/relationships/hyperlink" Target="mailto:nadiramaral@uol.com.br" TargetMode="External"/><Relationship Id="rId429" Type="http://schemas.openxmlformats.org/officeDocument/2006/relationships/hyperlink" Target="mailto:administra&#231;&#227;o@residencialklabin.com" TargetMode="External"/><Relationship Id="rId636" Type="http://schemas.openxmlformats.org/officeDocument/2006/relationships/hyperlink" Target="http://www.hotmail.com/" TargetMode="External"/><Relationship Id="rId1059" Type="http://schemas.openxmlformats.org/officeDocument/2006/relationships/hyperlink" Target="mailto:residencialjoseemaria@gmail.com" TargetMode="External"/><Relationship Id="rId1266" Type="http://schemas.openxmlformats.org/officeDocument/2006/relationships/hyperlink" Target="mailto:legalizacao@grupopacini.com.br" TargetMode="External"/><Relationship Id="rId1473" Type="http://schemas.openxmlformats.org/officeDocument/2006/relationships/hyperlink" Target="mailto:vienacasaderepouso@gmail.com" TargetMode="External"/><Relationship Id="rId843" Type="http://schemas.openxmlformats.org/officeDocument/2006/relationships/hyperlink" Target="http://www.grupopacini.com.br/" TargetMode="External"/><Relationship Id="rId1126" Type="http://schemas.openxmlformats.org/officeDocument/2006/relationships/hyperlink" Target="mailto:nurseslifems@gmail.com" TargetMode="External"/><Relationship Id="rId1680" Type="http://schemas.openxmlformats.org/officeDocument/2006/relationships/hyperlink" Target="mailto:daniella.martins@haoc.com.br" TargetMode="External"/><Relationship Id="rId1778" Type="http://schemas.openxmlformats.org/officeDocument/2006/relationships/hyperlink" Target="mailto:juridico@hospitalplatinum.com.br" TargetMode="External"/><Relationship Id="rId1901" Type="http://schemas.openxmlformats.org/officeDocument/2006/relationships/hyperlink" Target="mailto:ccinter@mamae.org.br" TargetMode="External"/><Relationship Id="rId275" Type="http://schemas.openxmlformats.org/officeDocument/2006/relationships/hyperlink" Target="mailto:assosemeador@uol.com.br" TargetMode="External"/><Relationship Id="rId482" Type="http://schemas.openxmlformats.org/officeDocument/2006/relationships/hyperlink" Target="http://www.amoraoidoso.com.br/" TargetMode="External"/><Relationship Id="rId703" Type="http://schemas.openxmlformats.org/officeDocument/2006/relationships/hyperlink" Target="http://www.villaprimaverasenior.com.br/" TargetMode="External"/><Relationship Id="rId910" Type="http://schemas.openxmlformats.org/officeDocument/2006/relationships/hyperlink" Target="mailto:associacaotocadaonca@gmail.com" TargetMode="External"/><Relationship Id="rId1333" Type="http://schemas.openxmlformats.org/officeDocument/2006/relationships/hyperlink" Target="mailto:secretaria@bunkyo.org.br" TargetMode="External"/><Relationship Id="rId1540" Type="http://schemas.openxmlformats.org/officeDocument/2006/relationships/hyperlink" Target="mailto:moca.sede@uol.com.br" TargetMode="External"/><Relationship Id="rId1638" Type="http://schemas.openxmlformats.org/officeDocument/2006/relationships/hyperlink" Target="mailto:secretaria@mamae.org.br" TargetMode="External"/><Relationship Id="rId135" Type="http://schemas.openxmlformats.org/officeDocument/2006/relationships/hyperlink" Target="http://www.casaderepousolacoseternos.com.br/" TargetMode="External"/><Relationship Id="rId342" Type="http://schemas.openxmlformats.org/officeDocument/2006/relationships/hyperlink" Target="mailto:diretoria@institutonovosvalores.org.br" TargetMode="External"/><Relationship Id="rId787" Type="http://schemas.openxmlformats.org/officeDocument/2006/relationships/hyperlink" Target="http://www.uol.com.br/" TargetMode="External"/><Relationship Id="rId994" Type="http://schemas.openxmlformats.org/officeDocument/2006/relationships/hyperlink" Target="mailto:institutomaosegratidao@gmail.com" TargetMode="External"/><Relationship Id="rId1400" Type="http://schemas.openxmlformats.org/officeDocument/2006/relationships/hyperlink" Target="mailto:pensionatobelissima@hotmail.com" TargetMode="External"/><Relationship Id="rId1845" Type="http://schemas.openxmlformats.org/officeDocument/2006/relationships/hyperlink" Target="mailto:associacaorosadeouro2023@gmail.com" TargetMode="External"/><Relationship Id="rId202" Type="http://schemas.openxmlformats.org/officeDocument/2006/relationships/hyperlink" Target="mailto:gialtruda@hotmail.com" TargetMode="External"/><Relationship Id="rId647" Type="http://schemas.openxmlformats.org/officeDocument/2006/relationships/hyperlink" Target="http://www.residencialipiranga.com.br/" TargetMode="External"/><Relationship Id="rId854" Type="http://schemas.openxmlformats.org/officeDocument/2006/relationships/hyperlink" Target="http://www.gmail.com/" TargetMode="External"/><Relationship Id="rId1277" Type="http://schemas.openxmlformats.org/officeDocument/2006/relationships/hyperlink" Target="mailto:nossolar@capsnossolar.org.br" TargetMode="External"/><Relationship Id="rId1484" Type="http://schemas.openxmlformats.org/officeDocument/2006/relationships/hyperlink" Target="http://www.altodepinheirosgeriatrico.com.br/" TargetMode="External"/><Relationship Id="rId1691" Type="http://schemas.openxmlformats.org/officeDocument/2006/relationships/hyperlink" Target="mailto:larevidabueno@gmail.com" TargetMode="External"/><Relationship Id="rId1705" Type="http://schemas.openxmlformats.org/officeDocument/2006/relationships/hyperlink" Target="http://www.sorrirparavida.org.br/" TargetMode="External"/><Relationship Id="rId1912" Type="http://schemas.openxmlformats.org/officeDocument/2006/relationships/hyperlink" Target="mailto:associacao-uniao@outlook,com" TargetMode="External"/><Relationship Id="rId286" Type="http://schemas.openxmlformats.org/officeDocument/2006/relationships/hyperlink" Target="http://www.instituogera.org/" TargetMode="External"/><Relationship Id="rId493" Type="http://schemas.openxmlformats.org/officeDocument/2006/relationships/hyperlink" Target="http://www.funda&#231;&#227;ojulita.org.br/" TargetMode="External"/><Relationship Id="rId507" Type="http://schemas.openxmlformats.org/officeDocument/2006/relationships/hyperlink" Target="mailto:cpis26dejulho@cpis26dejulho.org.br" TargetMode="External"/><Relationship Id="rId714" Type="http://schemas.openxmlformats.org/officeDocument/2006/relationships/hyperlink" Target="http://www.uol.com.br/" TargetMode="External"/><Relationship Id="rId921" Type="http://schemas.openxmlformats.org/officeDocument/2006/relationships/hyperlink" Target="mailto:residencialnoah@hotmail.com" TargetMode="External"/><Relationship Id="rId1137" Type="http://schemas.openxmlformats.org/officeDocument/2006/relationships/hyperlink" Target="mailto:premiumed@uol.com.br" TargetMode="External"/><Relationship Id="rId1344" Type="http://schemas.openxmlformats.org/officeDocument/2006/relationships/hyperlink" Target="mailto:amandapelegrina@hotmail.com" TargetMode="External"/><Relationship Id="rId1551" Type="http://schemas.openxmlformats.org/officeDocument/2006/relationships/hyperlink" Target="mailto:administrativo@residencialviverbem.com.br" TargetMode="External"/><Relationship Id="rId1789" Type="http://schemas.openxmlformats.org/officeDocument/2006/relationships/hyperlink" Target="http://www.madanisaude.com.br/servi&#231;o/residencialnitanair" TargetMode="External"/><Relationship Id="rId50" Type="http://schemas.openxmlformats.org/officeDocument/2006/relationships/hyperlink" Target="http://www.nossacasaresidencial.com.br/" TargetMode="External"/><Relationship Id="rId146" Type="http://schemas.openxmlformats.org/officeDocument/2006/relationships/hyperlink" Target="http://www.hcor.com.br/" TargetMode="External"/><Relationship Id="rId353" Type="http://schemas.openxmlformats.org/officeDocument/2006/relationships/hyperlink" Target="http://www.seniorvita.com.br/" TargetMode="External"/><Relationship Id="rId560" Type="http://schemas.openxmlformats.org/officeDocument/2006/relationships/hyperlink" Target="mailto:nadiramaral@uol.com.br" TargetMode="External"/><Relationship Id="rId798" Type="http://schemas.openxmlformats.org/officeDocument/2006/relationships/hyperlink" Target="http://www.hotmail.com/" TargetMode="External"/><Relationship Id="rId1190" Type="http://schemas.openxmlformats.org/officeDocument/2006/relationships/hyperlink" Target="mailto:ednaguerra09@yahoo.com.br" TargetMode="External"/><Relationship Id="rId1204" Type="http://schemas.openxmlformats.org/officeDocument/2006/relationships/hyperlink" Target="mailto:qualitylive1@gmail.com" TargetMode="External"/><Relationship Id="rId1411" Type="http://schemas.openxmlformats.org/officeDocument/2006/relationships/hyperlink" Target="mailto:residencialjoseemaria2024@gmail.com" TargetMode="External"/><Relationship Id="rId1649" Type="http://schemas.openxmlformats.org/officeDocument/2006/relationships/hyperlink" Target="mailto:administracao_sb@residencialviverbem.com.br" TargetMode="External"/><Relationship Id="rId1856" Type="http://schemas.openxmlformats.org/officeDocument/2006/relationships/hyperlink" Target="http://www.fundasp.org.br/" TargetMode="External"/><Relationship Id="rId213" Type="http://schemas.openxmlformats.org/officeDocument/2006/relationships/hyperlink" Target="http://www.acirmesp.org.br/" TargetMode="External"/><Relationship Id="rId420" Type="http://schemas.openxmlformats.org/officeDocument/2006/relationships/hyperlink" Target="https://www.facebook.com/idade.dourada/" TargetMode="External"/><Relationship Id="rId658" Type="http://schemas.openxmlformats.org/officeDocument/2006/relationships/hyperlink" Target="http://www.gmail.com/" TargetMode="External"/><Relationship Id="rId865" Type="http://schemas.openxmlformats.org/officeDocument/2006/relationships/hyperlink" Target="http://www.gmail.com/" TargetMode="External"/><Relationship Id="rId1050" Type="http://schemas.openxmlformats.org/officeDocument/2006/relationships/hyperlink" Target="mailto:contato@oscesperanca.org.br" TargetMode="External"/><Relationship Id="rId1288" Type="http://schemas.openxmlformats.org/officeDocument/2006/relationships/hyperlink" Target="mailto:cvsocial1@gmail.com" TargetMode="External"/><Relationship Id="rId1495" Type="http://schemas.openxmlformats.org/officeDocument/2006/relationships/hyperlink" Target="mailto:coordenacaoidelfranca@gmail.com" TargetMode="External"/><Relationship Id="rId1509" Type="http://schemas.openxmlformats.org/officeDocument/2006/relationships/hyperlink" Target="http://www.novauniaodaarte.org/" TargetMode="External"/><Relationship Id="rId1716" Type="http://schemas.openxmlformats.org/officeDocument/2006/relationships/hyperlink" Target="mailto:contato@residencialmaisvida.com.br" TargetMode="External"/><Relationship Id="rId1923" Type="http://schemas.openxmlformats.org/officeDocument/2006/relationships/hyperlink" Target="mailto:vilaplena02@gmail.com" TargetMode="External"/><Relationship Id="rId297" Type="http://schemas.openxmlformats.org/officeDocument/2006/relationships/hyperlink" Target="http://www.marpecasaderepouso.com.br/" TargetMode="External"/><Relationship Id="rId518" Type="http://schemas.openxmlformats.org/officeDocument/2006/relationships/hyperlink" Target="http://www.ipvss.org.br/" TargetMode="External"/><Relationship Id="rId725" Type="http://schemas.openxmlformats.org/officeDocument/2006/relationships/hyperlink" Target="http://www.anniazzurri.com.br/" TargetMode="External"/><Relationship Id="rId932" Type="http://schemas.openxmlformats.org/officeDocument/2006/relationships/hyperlink" Target="http://www.oscesperanca.org.br/" TargetMode="External"/><Relationship Id="rId1148" Type="http://schemas.openxmlformats.org/officeDocument/2006/relationships/hyperlink" Target="mailto:contato@recantovomimar.com.br" TargetMode="External"/><Relationship Id="rId1355" Type="http://schemas.openxmlformats.org/officeDocument/2006/relationships/hyperlink" Target="mailto:gama_edi@yahoo.com.br" TargetMode="External"/><Relationship Id="rId1562" Type="http://schemas.openxmlformats.org/officeDocument/2006/relationships/hyperlink" Target="mailto:operacao@unidosdobem.org.br" TargetMode="External"/><Relationship Id="rId157" Type="http://schemas.openxmlformats.org/officeDocument/2006/relationships/hyperlink" Target="http://www.angels4u.com.br/" TargetMode="External"/><Relationship Id="rId364" Type="http://schemas.openxmlformats.org/officeDocument/2006/relationships/hyperlink" Target="mailto:ilp.yeshuah@gmail.com" TargetMode="External"/><Relationship Id="rId1008" Type="http://schemas.openxmlformats.org/officeDocument/2006/relationships/hyperlink" Target="mailto:institutomacedonia4@gmail.com" TargetMode="External"/><Relationship Id="rId1215" Type="http://schemas.openxmlformats.org/officeDocument/2006/relationships/hyperlink" Target="mailto:celialimapires@yahoo.com.br" TargetMode="External"/><Relationship Id="rId1422" Type="http://schemas.openxmlformats.org/officeDocument/2006/relationships/hyperlink" Target="mailto:iseflorescer@gmail.com" TargetMode="External"/><Relationship Id="rId1867" Type="http://schemas.openxmlformats.org/officeDocument/2006/relationships/hyperlink" Target="mailto:contato@redecomunita.org.br" TargetMode="External"/><Relationship Id="rId61" Type="http://schemas.openxmlformats.org/officeDocument/2006/relationships/hyperlink" Target="http://www.casaderepousolongevidade.com.br/" TargetMode="External"/><Relationship Id="rId571" Type="http://schemas.openxmlformats.org/officeDocument/2006/relationships/hyperlink" Target="http://www.residencialvida.com/" TargetMode="External"/><Relationship Id="rId669" Type="http://schemas.openxmlformats.org/officeDocument/2006/relationships/hyperlink" Target="http://www.gmail.com/" TargetMode="External"/><Relationship Id="rId876" Type="http://schemas.openxmlformats.org/officeDocument/2006/relationships/hyperlink" Target="http://www.casaderepousoamorevitta.com.br/" TargetMode="External"/><Relationship Id="rId1299" Type="http://schemas.openxmlformats.org/officeDocument/2006/relationships/hyperlink" Target="mailto:srfavato@gmail.com" TargetMode="External"/><Relationship Id="rId1727" Type="http://schemas.openxmlformats.org/officeDocument/2006/relationships/hyperlink" Target="http://www.institutogiorgionicoli.org.br/" TargetMode="External"/><Relationship Id="rId1934" Type="http://schemas.openxmlformats.org/officeDocument/2006/relationships/hyperlink" Target="mailto:contato@oscesperanca.org.br" TargetMode="External"/><Relationship Id="rId19" Type="http://schemas.openxmlformats.org/officeDocument/2006/relationships/hyperlink" Target="http://www.residencialpinheiros.com.br/" TargetMode="External"/><Relationship Id="rId224" Type="http://schemas.openxmlformats.org/officeDocument/2006/relationships/hyperlink" Target="mailto:residencialbianchi@gmail.com" TargetMode="External"/><Relationship Id="rId431" Type="http://schemas.openxmlformats.org/officeDocument/2006/relationships/hyperlink" Target="mailto:residencialgeriatrico@hotmail.com" TargetMode="External"/><Relationship Id="rId529" Type="http://schemas.openxmlformats.org/officeDocument/2006/relationships/hyperlink" Target="mailto:homecfamily@gmail.com" TargetMode="External"/><Relationship Id="rId736" Type="http://schemas.openxmlformats.org/officeDocument/2006/relationships/hyperlink" Target="http://www.gmail.com/" TargetMode="External"/><Relationship Id="rId1061" Type="http://schemas.openxmlformats.org/officeDocument/2006/relationships/hyperlink" Target="mailto:legalizacao@bslsaude.com.br" TargetMode="External"/><Relationship Id="rId1159" Type="http://schemas.openxmlformats.org/officeDocument/2006/relationships/hyperlink" Target="mailto:franciescaoliver2@gmail.com" TargetMode="External"/><Relationship Id="rId1366" Type="http://schemas.openxmlformats.org/officeDocument/2006/relationships/hyperlink" Target="mailto:adm2@residencialqualita.com.br" TargetMode="External"/><Relationship Id="rId168" Type="http://schemas.openxmlformats.org/officeDocument/2006/relationships/hyperlink" Target="mailto:raiosdeluar2008@hotmail.com" TargetMode="External"/><Relationship Id="rId943" Type="http://schemas.openxmlformats.org/officeDocument/2006/relationships/hyperlink" Target="mailto:associacao_acsl@yahoo.com.br" TargetMode="External"/><Relationship Id="rId1019" Type="http://schemas.openxmlformats.org/officeDocument/2006/relationships/hyperlink" Target="mailto:casa.de.repouso.gilleade2018@gmail.com" TargetMode="External"/><Relationship Id="rId1573" Type="http://schemas.openxmlformats.org/officeDocument/2006/relationships/hyperlink" Target="http://www.tercadaserra.com.br/unidade/europa" TargetMode="External"/><Relationship Id="rId1780" Type="http://schemas.openxmlformats.org/officeDocument/2006/relationships/hyperlink" Target="http://www.casaderepousopaineiras.com.br/" TargetMode="External"/><Relationship Id="rId1878" Type="http://schemas.openxmlformats.org/officeDocument/2006/relationships/hyperlink" Target="mailto:casaokinawauni4@gmail.com" TargetMode="External"/><Relationship Id="rId72" Type="http://schemas.openxmlformats.org/officeDocument/2006/relationships/hyperlink" Target="http://www.casaviladeifiori.com/" TargetMode="External"/><Relationship Id="rId375" Type="http://schemas.openxmlformats.org/officeDocument/2006/relationships/hyperlink" Target="mailto:ricardonei.benedito@yahoo.com.br" TargetMode="External"/><Relationship Id="rId582" Type="http://schemas.openxmlformats.org/officeDocument/2006/relationships/hyperlink" Target="http://www.casaderepousomammamia.com.br/" TargetMode="External"/><Relationship Id="rId803" Type="http://schemas.openxmlformats.org/officeDocument/2006/relationships/hyperlink" Target="http://www.gmail.com/" TargetMode="External"/><Relationship Id="rId1226" Type="http://schemas.openxmlformats.org/officeDocument/2006/relationships/hyperlink" Target="mailto:uniaopopmulheres@hotmail.com" TargetMode="External"/><Relationship Id="rId1433" Type="http://schemas.openxmlformats.org/officeDocument/2006/relationships/hyperlink" Target="http://www.residencialveneza.com.br/" TargetMode="External"/><Relationship Id="rId1640" Type="http://schemas.openxmlformats.org/officeDocument/2006/relationships/hyperlink" Target="http://www.rainhadapaz.org/" TargetMode="External"/><Relationship Id="rId1738" Type="http://schemas.openxmlformats.org/officeDocument/2006/relationships/hyperlink" Target="http://www.rosajuliet.com.br/" TargetMode="External"/><Relationship Id="rId3" Type="http://schemas.openxmlformats.org/officeDocument/2006/relationships/hyperlink" Target="http://www.repousorecantodosavos.com.br/" TargetMode="External"/><Relationship Id="rId235" Type="http://schemas.openxmlformats.org/officeDocument/2006/relationships/hyperlink" Target="mailto:higienopolis@tercadaserra.com.br" TargetMode="External"/><Relationship Id="rId442" Type="http://schemas.openxmlformats.org/officeDocument/2006/relationships/hyperlink" Target="http://www.sociedadeamigosdevilamara.com.br/" TargetMode="External"/><Relationship Id="rId887" Type="http://schemas.openxmlformats.org/officeDocument/2006/relationships/hyperlink" Target="http://www.spazioresidencialsenior.com.br/" TargetMode="External"/><Relationship Id="rId1072" Type="http://schemas.openxmlformats.org/officeDocument/2006/relationships/hyperlink" Target="mailto:redivivolar@hotmail.com" TargetMode="External"/><Relationship Id="rId1500" Type="http://schemas.openxmlformats.org/officeDocument/2006/relationships/hyperlink" Target="mailto:solardamatrizidosos@gmail.com" TargetMode="External"/><Relationship Id="rId1945" Type="http://schemas.openxmlformats.org/officeDocument/2006/relationships/drawing" Target="../drawings/drawing1.xml"/><Relationship Id="rId302" Type="http://schemas.openxmlformats.org/officeDocument/2006/relationships/hyperlink" Target="http://www.bemvivercasarepouso.com.br/" TargetMode="External"/><Relationship Id="rId747" Type="http://schemas.openxmlformats.org/officeDocument/2006/relationships/hyperlink" Target="http://www.gmail.com/" TargetMode="External"/><Relationship Id="rId954" Type="http://schemas.openxmlformats.org/officeDocument/2006/relationships/hyperlink" Target="mailto:fabiolopes4@hotmail.com" TargetMode="External"/><Relationship Id="rId1377" Type="http://schemas.openxmlformats.org/officeDocument/2006/relationships/hyperlink" Target="http://www.adra.org.br/" TargetMode="External"/><Relationship Id="rId1584" Type="http://schemas.openxmlformats.org/officeDocument/2006/relationships/hyperlink" Target="mailto:centrodeapoiowatanabe@gmail.com" TargetMode="External"/><Relationship Id="rId1791" Type="http://schemas.openxmlformats.org/officeDocument/2006/relationships/hyperlink" Target="https://intecsbr.org/" TargetMode="External"/><Relationship Id="rId1805" Type="http://schemas.openxmlformats.org/officeDocument/2006/relationships/hyperlink" Target="http://www.ivm.org.br/" TargetMode="External"/><Relationship Id="rId83" Type="http://schemas.openxmlformats.org/officeDocument/2006/relationships/hyperlink" Target="http://www.casaderepouso.negocio.site/" TargetMode="External"/><Relationship Id="rId179" Type="http://schemas.openxmlformats.org/officeDocument/2006/relationships/hyperlink" Target="mailto:recantodosavos1@gmail.com" TargetMode="External"/><Relationship Id="rId386" Type="http://schemas.openxmlformats.org/officeDocument/2006/relationships/hyperlink" Target="http://www.aeb-brasil.org.br/" TargetMode="External"/><Relationship Id="rId593" Type="http://schemas.openxmlformats.org/officeDocument/2006/relationships/hyperlink" Target="http://www.alps.org.br/" TargetMode="External"/><Relationship Id="rId607" Type="http://schemas.openxmlformats.org/officeDocument/2006/relationships/hyperlink" Target="http://www.hotmail.com/" TargetMode="External"/><Relationship Id="rId814" Type="http://schemas.openxmlformats.org/officeDocument/2006/relationships/hyperlink" Target="http://www.gmail.com/" TargetMode="External"/><Relationship Id="rId1237" Type="http://schemas.openxmlformats.org/officeDocument/2006/relationships/hyperlink" Target="mailto:centrosocialbomjesus@ig.com.br" TargetMode="External"/><Relationship Id="rId1444" Type="http://schemas.openxmlformats.org/officeDocument/2006/relationships/hyperlink" Target="mailto:coordenacaoidelfranca@gmail.com" TargetMode="External"/><Relationship Id="rId1651" Type="http://schemas.openxmlformats.org/officeDocument/2006/relationships/hyperlink" Target="mailto:comercial@cejabrasil.org.br" TargetMode="External"/><Relationship Id="rId1889" Type="http://schemas.openxmlformats.org/officeDocument/2006/relationships/hyperlink" Target="mailto:muriloeacintia@gmail.com" TargetMode="External"/><Relationship Id="rId246" Type="http://schemas.openxmlformats.org/officeDocument/2006/relationships/hyperlink" Target="mailto:residencialplenitude0@gmail.com" TargetMode="External"/><Relationship Id="rId453" Type="http://schemas.openxmlformats.org/officeDocument/2006/relationships/hyperlink" Target="http://www.abrati.org/" TargetMode="External"/><Relationship Id="rId660" Type="http://schemas.openxmlformats.org/officeDocument/2006/relationships/hyperlink" Target="http://www.larsantaana.com.br/" TargetMode="External"/><Relationship Id="rId898" Type="http://schemas.openxmlformats.org/officeDocument/2006/relationships/hyperlink" Target="mailto:casaderepousogolden@gmail.com" TargetMode="External"/><Relationship Id="rId1083" Type="http://schemas.openxmlformats.org/officeDocument/2006/relationships/hyperlink" Target="mailto:Crepousoesperancaeprosperidade@gmail.com" TargetMode="External"/><Relationship Id="rId1290" Type="http://schemas.openxmlformats.org/officeDocument/2006/relationships/hyperlink" Target="mailto:adm.moema@nossacasaresidencial.com.br" TargetMode="External"/><Relationship Id="rId1304" Type="http://schemas.openxmlformats.org/officeDocument/2006/relationships/hyperlink" Target="mailto:lardadonacida@gmail.com" TargetMode="External"/><Relationship Id="rId1511" Type="http://schemas.openxmlformats.org/officeDocument/2006/relationships/hyperlink" Target="mailto:cor.psicossocial@gmail.com" TargetMode="External"/><Relationship Id="rId1749" Type="http://schemas.openxmlformats.org/officeDocument/2006/relationships/hyperlink" Target="mailto:contato@dpaduaresidencial.com.br" TargetMode="External"/><Relationship Id="rId106" Type="http://schemas.openxmlformats.org/officeDocument/2006/relationships/hyperlink" Target="http://www.centrosocialbomjesus.org.br/" TargetMode="External"/><Relationship Id="rId313" Type="http://schemas.openxmlformats.org/officeDocument/2006/relationships/hyperlink" Target="mailto:fundacao@observatoriodolivro.org.br" TargetMode="External"/><Relationship Id="rId758" Type="http://schemas.openxmlformats.org/officeDocument/2006/relationships/hyperlink" Target="http://www.gmail.com/" TargetMode="External"/><Relationship Id="rId965" Type="http://schemas.openxmlformats.org/officeDocument/2006/relationships/hyperlink" Target="http://www.residencialmardeolivas.com.br/" TargetMode="External"/><Relationship Id="rId1150" Type="http://schemas.openxmlformats.org/officeDocument/2006/relationships/hyperlink" Target="mailto:presidente@amapsocial.org.br" TargetMode="External"/><Relationship Id="rId1388" Type="http://schemas.openxmlformats.org/officeDocument/2006/relationships/hyperlink" Target="mailto:adm.chpprime@gmail.com" TargetMode="External"/><Relationship Id="rId1595" Type="http://schemas.openxmlformats.org/officeDocument/2006/relationships/hyperlink" Target="mailto:adm@villaggiobellaprosa.com.br" TargetMode="External"/><Relationship Id="rId1609" Type="http://schemas.openxmlformats.org/officeDocument/2006/relationships/hyperlink" Target="http://www.residencialdeidosospisamju.com.br/" TargetMode="External"/><Relationship Id="rId1816" Type="http://schemas.openxmlformats.org/officeDocument/2006/relationships/hyperlink" Target="http://www.institutoolgakos.org.br/" TargetMode="External"/><Relationship Id="rId10" Type="http://schemas.openxmlformats.org/officeDocument/2006/relationships/hyperlink" Target="http://www.centrodia-pasargada.com.br/" TargetMode="External"/><Relationship Id="rId94" Type="http://schemas.openxmlformats.org/officeDocument/2006/relationships/hyperlink" Target="mailto:isabela@fundacaobritanica.org.br" TargetMode="External"/><Relationship Id="rId397" Type="http://schemas.openxmlformats.org/officeDocument/2006/relationships/hyperlink" Target="mailto:josianifernandes4@gmail.com" TargetMode="External"/><Relationship Id="rId520" Type="http://schemas.openxmlformats.org/officeDocument/2006/relationships/hyperlink" Target="http://www.ligasolidaria.org.br/" TargetMode="External"/><Relationship Id="rId618" Type="http://schemas.openxmlformats.org/officeDocument/2006/relationships/hyperlink" Target="http://www.repousodocelar.com.br/" TargetMode="External"/><Relationship Id="rId825" Type="http://schemas.openxmlformats.org/officeDocument/2006/relationships/hyperlink" Target="http://www.adv.oabsp.org.br/" TargetMode="External"/><Relationship Id="rId1248" Type="http://schemas.openxmlformats.org/officeDocument/2006/relationships/hyperlink" Target="mailto:ecossocial15@outlook.com" TargetMode="External"/><Relationship Id="rId1455" Type="http://schemas.openxmlformats.org/officeDocument/2006/relationships/hyperlink" Target="mailto:larditoso40@gmail.com" TargetMode="External"/><Relationship Id="rId1662" Type="http://schemas.openxmlformats.org/officeDocument/2006/relationships/hyperlink" Target="http://www.residencialvida.com.br/" TargetMode="External"/><Relationship Id="rId257" Type="http://schemas.openxmlformats.org/officeDocument/2006/relationships/hyperlink" Target="http://www.casaderepousovida.com.br/" TargetMode="External"/><Relationship Id="rId464" Type="http://schemas.openxmlformats.org/officeDocument/2006/relationships/hyperlink" Target="mailto:casaderepousokampai@gmail.com" TargetMode="External"/><Relationship Id="rId1010" Type="http://schemas.openxmlformats.org/officeDocument/2006/relationships/hyperlink" Target="mailto:tesouraria.potencial@yahoo.com.br" TargetMode="External"/><Relationship Id="rId1094" Type="http://schemas.openxmlformats.org/officeDocument/2006/relationships/hyperlink" Target="mailto:abrati@abrati.org" TargetMode="External"/><Relationship Id="rId1108" Type="http://schemas.openxmlformats.org/officeDocument/2006/relationships/hyperlink" Target="mailto:hoperesidencial@gmail.com" TargetMode="External"/><Relationship Id="rId1315" Type="http://schemas.openxmlformats.org/officeDocument/2006/relationships/hyperlink" Target="mailto:casadhermonnipo@gmail.com" TargetMode="External"/><Relationship Id="rId117" Type="http://schemas.openxmlformats.org/officeDocument/2006/relationships/hyperlink" Target="http://www.casaderepousonavilamatilde.com.br/" TargetMode="External"/><Relationship Id="rId671" Type="http://schemas.openxmlformats.org/officeDocument/2006/relationships/hyperlink" Target="http://www.gmail.com/" TargetMode="External"/><Relationship Id="rId769" Type="http://schemas.openxmlformats.org/officeDocument/2006/relationships/hyperlink" Target="http://www.gmail.com/" TargetMode="External"/><Relationship Id="rId976" Type="http://schemas.openxmlformats.org/officeDocument/2006/relationships/hyperlink" Target="http://www.colegiotezza.com.br/" TargetMode="External"/><Relationship Id="rId1399" Type="http://schemas.openxmlformats.org/officeDocument/2006/relationships/hyperlink" Target="http://www.acbb.org.br/" TargetMode="External"/><Relationship Id="rId324" Type="http://schemas.openxmlformats.org/officeDocument/2006/relationships/hyperlink" Target="mailto:thalita@abcaurora.org.br" TargetMode="External"/><Relationship Id="rId531" Type="http://schemas.openxmlformats.org/officeDocument/2006/relationships/hyperlink" Target="mailto:ingrid.carvalho@tercadaserrra.com.br" TargetMode="External"/><Relationship Id="rId629" Type="http://schemas.openxmlformats.org/officeDocument/2006/relationships/hyperlink" Target="http://www.hotmail.com/" TargetMode="External"/><Relationship Id="rId1161" Type="http://schemas.openxmlformats.org/officeDocument/2006/relationships/hyperlink" Target="mailto:admviverbem01@gmail.com" TargetMode="External"/><Relationship Id="rId1259" Type="http://schemas.openxmlformats.org/officeDocument/2006/relationships/hyperlink" Target="mailto:atendimentolardimaria@gmail.com" TargetMode="External"/><Relationship Id="rId1466" Type="http://schemas.openxmlformats.org/officeDocument/2006/relationships/hyperlink" Target="mailto:atendimento@institutoatiara.org" TargetMode="External"/><Relationship Id="rId836" Type="http://schemas.openxmlformats.org/officeDocument/2006/relationships/hyperlink" Target="http://www.gmail.com/" TargetMode="External"/><Relationship Id="rId1021" Type="http://schemas.openxmlformats.org/officeDocument/2006/relationships/hyperlink" Target="mailto:raafadm@outlook.com" TargetMode="External"/><Relationship Id="rId1119" Type="http://schemas.openxmlformats.org/officeDocument/2006/relationships/hyperlink" Target="mailto:tcuido.assistencial@gmail.com" TargetMode="External"/><Relationship Id="rId1673" Type="http://schemas.openxmlformats.org/officeDocument/2006/relationships/hyperlink" Target="mailto:larditoso40@gmail.com" TargetMode="External"/><Relationship Id="rId1880" Type="http://schemas.openxmlformats.org/officeDocument/2006/relationships/hyperlink" Target="http://www.bunkyo.org.br/" TargetMode="External"/><Relationship Id="rId903" Type="http://schemas.openxmlformats.org/officeDocument/2006/relationships/hyperlink" Target="http://www.instituogera.org/" TargetMode="External"/><Relationship Id="rId1326" Type="http://schemas.openxmlformats.org/officeDocument/2006/relationships/hyperlink" Target="mailto:pinheiros@residencialpinheiros.com.br" TargetMode="External"/><Relationship Id="rId1533" Type="http://schemas.openxmlformats.org/officeDocument/2006/relationships/hyperlink" Target="http://www.casaderepousosalvatore.com.br/" TargetMode="External"/><Relationship Id="rId1740" Type="http://schemas.openxmlformats.org/officeDocument/2006/relationships/hyperlink" Target="http://www.redeinteracao.org.br/" TargetMode="External"/><Relationship Id="rId32" Type="http://schemas.openxmlformats.org/officeDocument/2006/relationships/hyperlink" Target="http://www.clinicacestarisilveira.com.br/" TargetMode="External"/><Relationship Id="rId1600" Type="http://schemas.openxmlformats.org/officeDocument/2006/relationships/hyperlink" Target="mailto:adetodoscontato@gmail.com" TargetMode="External"/><Relationship Id="rId1838" Type="http://schemas.openxmlformats.org/officeDocument/2006/relationships/hyperlink" Target="mailto:hospedariavotata@hotmail.com" TargetMode="External"/><Relationship Id="rId181" Type="http://schemas.openxmlformats.org/officeDocument/2006/relationships/hyperlink" Target="mailto:residencialvidasaudavel@gmail.com" TargetMode="External"/><Relationship Id="rId1905" Type="http://schemas.openxmlformats.org/officeDocument/2006/relationships/hyperlink" Target="mailto:enf.ronaldomoreira@gmail.com" TargetMode="External"/><Relationship Id="rId279" Type="http://schemas.openxmlformats.org/officeDocument/2006/relationships/hyperlink" Target="mailto:residencialvovocatarina2@gmail.com" TargetMode="External"/><Relationship Id="rId486" Type="http://schemas.openxmlformats.org/officeDocument/2006/relationships/hyperlink" Target="mailto:amaobranca@amaobranca.org.br" TargetMode="External"/><Relationship Id="rId693" Type="http://schemas.openxmlformats.org/officeDocument/2006/relationships/hyperlink" Target="http://www.hotmail.com/" TargetMode="External"/><Relationship Id="rId139" Type="http://schemas.openxmlformats.org/officeDocument/2006/relationships/hyperlink" Target="http://www.larbelavida.org.br/" TargetMode="External"/><Relationship Id="rId346" Type="http://schemas.openxmlformats.org/officeDocument/2006/relationships/hyperlink" Target="mailto:residencialvivalavitta@gmail.com.br" TargetMode="External"/><Relationship Id="rId553" Type="http://schemas.openxmlformats.org/officeDocument/2006/relationships/hyperlink" Target="mailto:rh.gardenvillesp@gmail.com" TargetMode="External"/><Relationship Id="rId760" Type="http://schemas.openxmlformats.org/officeDocument/2006/relationships/hyperlink" Target="http://www.outlook.com/" TargetMode="External"/><Relationship Id="rId998" Type="http://schemas.openxmlformats.org/officeDocument/2006/relationships/hyperlink" Target="http://www.merakiresidencial.com.br/" TargetMode="External"/><Relationship Id="rId1183" Type="http://schemas.openxmlformats.org/officeDocument/2006/relationships/hyperlink" Target="mailto:adm.residencialsaojose2@gmail.com" TargetMode="External"/><Relationship Id="rId1390" Type="http://schemas.openxmlformats.org/officeDocument/2006/relationships/hyperlink" Target="mailto:leandromachadolfmm@gmail.com" TargetMode="External"/><Relationship Id="rId206" Type="http://schemas.openxmlformats.org/officeDocument/2006/relationships/hyperlink" Target="http://www.cecilia.org.br/" TargetMode="External"/><Relationship Id="rId413" Type="http://schemas.openxmlformats.org/officeDocument/2006/relationships/hyperlink" Target="https://luzaoscegos.00webhostapp.com/" TargetMode="External"/><Relationship Id="rId858" Type="http://schemas.openxmlformats.org/officeDocument/2006/relationships/hyperlink" Target="http://www.hotmail.com/" TargetMode="External"/><Relationship Id="rId1043" Type="http://schemas.openxmlformats.org/officeDocument/2006/relationships/hyperlink" Target="mailto:silkava.nutri@outlook.com" TargetMode="External"/><Relationship Id="rId1488" Type="http://schemas.openxmlformats.org/officeDocument/2006/relationships/hyperlink" Target="mailto:residencialsaoluis@outlook.com" TargetMode="External"/><Relationship Id="rId1695" Type="http://schemas.openxmlformats.org/officeDocument/2006/relationships/hyperlink" Target="mailto:abdhec2007@gmail.com" TargetMode="External"/><Relationship Id="rId620" Type="http://schemas.openxmlformats.org/officeDocument/2006/relationships/hyperlink" Target="http://www.gmail.com/" TargetMode="External"/><Relationship Id="rId718" Type="http://schemas.openxmlformats.org/officeDocument/2006/relationships/hyperlink" Target="http://www.casaderepousooliveiras.com.br/" TargetMode="External"/><Relationship Id="rId925" Type="http://schemas.openxmlformats.org/officeDocument/2006/relationships/hyperlink" Target="http://www.espacovidailpi.com/" TargetMode="External"/><Relationship Id="rId1250" Type="http://schemas.openxmlformats.org/officeDocument/2006/relationships/hyperlink" Target="mailto:bortolandia@promove.org.br" TargetMode="External"/><Relationship Id="rId1348" Type="http://schemas.openxmlformats.org/officeDocument/2006/relationships/hyperlink" Target="mailto:adm@casaderepousoamparo.com.br" TargetMode="External"/><Relationship Id="rId1555" Type="http://schemas.openxmlformats.org/officeDocument/2006/relationships/hyperlink" Target="mailto:sfpsecretaria@gmail.com" TargetMode="External"/><Relationship Id="rId1762" Type="http://schemas.openxmlformats.org/officeDocument/2006/relationships/hyperlink" Target="mailto:revivernci@gmail.com" TargetMode="External"/><Relationship Id="rId1110" Type="http://schemas.openxmlformats.org/officeDocument/2006/relationships/hyperlink" Target="mailto:enfermagem@hortoflorestal.com.br" TargetMode="External"/><Relationship Id="rId1208" Type="http://schemas.openxmlformats.org/officeDocument/2006/relationships/hyperlink" Target="mailto:valsantos57@hotmail.com" TargetMode="External"/><Relationship Id="rId1415" Type="http://schemas.openxmlformats.org/officeDocument/2006/relationships/hyperlink" Target="mailto:residencialsnf@gmail.com" TargetMode="External"/><Relationship Id="rId54" Type="http://schemas.openxmlformats.org/officeDocument/2006/relationships/hyperlink" Target="http://www.tempodeamarnamelhoridade.com.br/" TargetMode="External"/><Relationship Id="rId1622" Type="http://schemas.openxmlformats.org/officeDocument/2006/relationships/hyperlink" Target="mailto:aba.bellaatitude@gmail.com" TargetMode="External"/><Relationship Id="rId1927" Type="http://schemas.openxmlformats.org/officeDocument/2006/relationships/hyperlink" Target="mailto:casaderepousoliberty@gmail.com" TargetMode="External"/><Relationship Id="rId270" Type="http://schemas.openxmlformats.org/officeDocument/2006/relationships/hyperlink" Target="http://www.dpaduaresidencial.com.br/" TargetMode="External"/><Relationship Id="rId130" Type="http://schemas.openxmlformats.org/officeDocument/2006/relationships/hyperlink" Target="http://www.santaluciasp.org/" TargetMode="External"/><Relationship Id="rId368" Type="http://schemas.openxmlformats.org/officeDocument/2006/relationships/hyperlink" Target="http://www.vitacaremelhoridade.com.br/" TargetMode="External"/><Relationship Id="rId575" Type="http://schemas.openxmlformats.org/officeDocument/2006/relationships/hyperlink" Target="http://www.abrigobezerrademenezes.org.br/" TargetMode="External"/><Relationship Id="rId782" Type="http://schemas.openxmlformats.org/officeDocument/2006/relationships/hyperlink" Target="http://www.gmail.com/" TargetMode="External"/><Relationship Id="rId228" Type="http://schemas.openxmlformats.org/officeDocument/2006/relationships/hyperlink" Target="mailto:reimberg.ong@uol.com.br" TargetMode="External"/><Relationship Id="rId435" Type="http://schemas.openxmlformats.org/officeDocument/2006/relationships/hyperlink" Target="http://www.laramoremio.com.br/" TargetMode="External"/><Relationship Id="rId642" Type="http://schemas.openxmlformats.org/officeDocument/2006/relationships/hyperlink" Target="http://www.gmail.com/" TargetMode="External"/><Relationship Id="rId1065" Type="http://schemas.openxmlformats.org/officeDocument/2006/relationships/hyperlink" Target="mailto:casaderepousovozelinda@gmail.com" TargetMode="External"/><Relationship Id="rId1272" Type="http://schemas.openxmlformats.org/officeDocument/2006/relationships/hyperlink" Target="mailto:rita.moutte@gmail.com" TargetMode="External"/><Relationship Id="rId502" Type="http://schemas.openxmlformats.org/officeDocument/2006/relationships/hyperlink" Target="mailto:amigosdafe.iaf@gmail.com" TargetMode="External"/><Relationship Id="rId947" Type="http://schemas.openxmlformats.org/officeDocument/2006/relationships/hyperlink" Target="mailto:ceupelavida@gmail.com" TargetMode="External"/><Relationship Id="rId1132" Type="http://schemas.openxmlformats.org/officeDocument/2006/relationships/hyperlink" Target="mailto:casaderepousosantafe@hotmail.com" TargetMode="External"/><Relationship Id="rId1577" Type="http://schemas.openxmlformats.org/officeDocument/2006/relationships/hyperlink" Target="mailto:contato@verasenior.com.br" TargetMode="External"/><Relationship Id="rId1784" Type="http://schemas.openxmlformats.org/officeDocument/2006/relationships/hyperlink" Target="mailto:casacafarnaum@gmail.com" TargetMode="External"/><Relationship Id="rId76" Type="http://schemas.openxmlformats.org/officeDocument/2006/relationships/hyperlink" Target="http://www.coraresidencial.com.br/" TargetMode="External"/><Relationship Id="rId807" Type="http://schemas.openxmlformats.org/officeDocument/2006/relationships/hyperlink" Target="http://www.gmail.com/" TargetMode="External"/><Relationship Id="rId1437" Type="http://schemas.openxmlformats.org/officeDocument/2006/relationships/hyperlink" Target="mailto:contato@repousoparquedocarmo.com.br" TargetMode="External"/><Relationship Id="rId1644" Type="http://schemas.openxmlformats.org/officeDocument/2006/relationships/hyperlink" Target="http://www.asben.org/" TargetMode="External"/><Relationship Id="rId1851" Type="http://schemas.openxmlformats.org/officeDocument/2006/relationships/hyperlink" Target="mailto:contato@ibisc.org.br" TargetMode="External"/><Relationship Id="rId1504" Type="http://schemas.openxmlformats.org/officeDocument/2006/relationships/hyperlink" Target="http://www.cantinhodafamilia.org/" TargetMode="External"/><Relationship Id="rId1711" Type="http://schemas.openxmlformats.org/officeDocument/2006/relationships/hyperlink" Target="mailto:legalizacao@grupopacini.com.br" TargetMode="External"/><Relationship Id="rId292" Type="http://schemas.openxmlformats.org/officeDocument/2006/relationships/hyperlink" Target="http://www.aacd.org.br/" TargetMode="External"/><Relationship Id="rId1809" Type="http://schemas.openxmlformats.org/officeDocument/2006/relationships/hyperlink" Target="http://www.hotmail.com/" TargetMode="External"/><Relationship Id="rId597" Type="http://schemas.openxmlformats.org/officeDocument/2006/relationships/hyperlink" Target="http://www.gmail.com/" TargetMode="External"/><Relationship Id="rId152" Type="http://schemas.openxmlformats.org/officeDocument/2006/relationships/hyperlink" Target="http://www.clinicacestarisilveira.com.br/" TargetMode="External"/><Relationship Id="rId457" Type="http://schemas.openxmlformats.org/officeDocument/2006/relationships/hyperlink" Target="mailto:esplendorresidencial@gmail.com" TargetMode="External"/><Relationship Id="rId1087" Type="http://schemas.openxmlformats.org/officeDocument/2006/relationships/hyperlink" Target="mailto:projetos@funda&#231;&#227;ojulita.org.br" TargetMode="External"/><Relationship Id="rId1294" Type="http://schemas.openxmlformats.org/officeDocument/2006/relationships/hyperlink" Target="mailto:marizaluciadossantos@gmail.com" TargetMode="External"/><Relationship Id="rId664" Type="http://schemas.openxmlformats.org/officeDocument/2006/relationships/hyperlink" Target="http://www.hotmail.com/" TargetMode="External"/><Relationship Id="rId871" Type="http://schemas.openxmlformats.org/officeDocument/2006/relationships/hyperlink" Target="http://www.gmail.com/" TargetMode="External"/><Relationship Id="rId969" Type="http://schemas.openxmlformats.org/officeDocument/2006/relationships/hyperlink" Target="mailto:residencialotta@gmail.com" TargetMode="External"/><Relationship Id="rId1599" Type="http://schemas.openxmlformats.org/officeDocument/2006/relationships/hyperlink" Target="http://www.grupomdsi.com.br/" TargetMode="External"/><Relationship Id="rId317" Type="http://schemas.openxmlformats.org/officeDocument/2006/relationships/hyperlink" Target="mailto:contato@dpaduaresidencial.com.br" TargetMode="External"/><Relationship Id="rId524" Type="http://schemas.openxmlformats.org/officeDocument/2006/relationships/hyperlink" Target="http://www.residencialespacosaude.com.br/" TargetMode="External"/><Relationship Id="rId731" Type="http://schemas.openxmlformats.org/officeDocument/2006/relationships/hyperlink" Target="http://www.casaderepousoarcanjogabriel.com/" TargetMode="External"/><Relationship Id="rId1154" Type="http://schemas.openxmlformats.org/officeDocument/2006/relationships/hyperlink" Target="mailto:assessoria@ondinalobo.org.br" TargetMode="External"/><Relationship Id="rId1361" Type="http://schemas.openxmlformats.org/officeDocument/2006/relationships/hyperlink" Target="mailto:renatopcampos@gmail.com" TargetMode="External"/><Relationship Id="rId1459" Type="http://schemas.openxmlformats.org/officeDocument/2006/relationships/hyperlink" Target="mailto:williamss927@gmail.com" TargetMode="External"/><Relationship Id="rId98" Type="http://schemas.openxmlformats.org/officeDocument/2006/relationships/hyperlink" Target="http://www.hplifecare.com.br/" TargetMode="External"/><Relationship Id="rId829" Type="http://schemas.openxmlformats.org/officeDocument/2006/relationships/hyperlink" Target="http://www.yahoo.com.br/" TargetMode="External"/><Relationship Id="rId1014" Type="http://schemas.openxmlformats.org/officeDocument/2006/relationships/hyperlink" Target="mailto:instituto@mensagemdepaz@org.br" TargetMode="External"/><Relationship Id="rId1221" Type="http://schemas.openxmlformats.org/officeDocument/2006/relationships/hyperlink" Target="mailto:juridicofiscal@einstein.br" TargetMode="External"/><Relationship Id="rId1666" Type="http://schemas.openxmlformats.org/officeDocument/2006/relationships/hyperlink" Target="mailto:associacaodemulheresjovarural@gmail.com" TargetMode="External"/><Relationship Id="rId1873" Type="http://schemas.openxmlformats.org/officeDocument/2006/relationships/hyperlink" Target="mailto:residamoremfamilia@gmail.com" TargetMode="External"/><Relationship Id="rId1319" Type="http://schemas.openxmlformats.org/officeDocument/2006/relationships/hyperlink" Target="mailto:lardeidososjdjapao@gmail.com" TargetMode="External"/><Relationship Id="rId1526" Type="http://schemas.openxmlformats.org/officeDocument/2006/relationships/hyperlink" Target="http://www.imperiumresidencial.com.br/" TargetMode="External"/><Relationship Id="rId1733" Type="http://schemas.openxmlformats.org/officeDocument/2006/relationships/hyperlink" Target="mailto:amorresidencialuni2@gmail.com" TargetMode="External"/><Relationship Id="rId1940" Type="http://schemas.openxmlformats.org/officeDocument/2006/relationships/hyperlink" Target="mailto:maryllimary523482@gmail.com" TargetMode="External"/><Relationship Id="rId25" Type="http://schemas.openxmlformats.org/officeDocument/2006/relationships/hyperlink" Target="http://www.geriatricapanamby.com.br/" TargetMode="External"/><Relationship Id="rId1800" Type="http://schemas.openxmlformats.org/officeDocument/2006/relationships/hyperlink" Target="mailto:inovaresidencial@outlook.com" TargetMode="External"/><Relationship Id="rId174" Type="http://schemas.openxmlformats.org/officeDocument/2006/relationships/hyperlink" Target="mailto:jessica.residencialsenior@gmail.com" TargetMode="External"/><Relationship Id="rId381" Type="http://schemas.openxmlformats.org/officeDocument/2006/relationships/hyperlink" Target="http://www.caritascl.org.br/" TargetMode="External"/><Relationship Id="rId241" Type="http://schemas.openxmlformats.org/officeDocument/2006/relationships/hyperlink" Target="mailto:parcerias@fundacaoalphaville.org.br" TargetMode="External"/><Relationship Id="rId479" Type="http://schemas.openxmlformats.org/officeDocument/2006/relationships/hyperlink" Target="http://www.caritascl.org.br/" TargetMode="External"/><Relationship Id="rId686" Type="http://schemas.openxmlformats.org/officeDocument/2006/relationships/hyperlink" Target="http://www.yahoo.com.br/" TargetMode="External"/><Relationship Id="rId893" Type="http://schemas.openxmlformats.org/officeDocument/2006/relationships/hyperlink" Target="mailto:contato@residencialaconchegosenior.com.br" TargetMode="External"/><Relationship Id="rId339" Type="http://schemas.openxmlformats.org/officeDocument/2006/relationships/hyperlink" Target="mailto:repousodasoliveiras@gmail.com" TargetMode="External"/><Relationship Id="rId546" Type="http://schemas.openxmlformats.org/officeDocument/2006/relationships/hyperlink" Target="http://www.colibriresidencial.com.br/" TargetMode="External"/><Relationship Id="rId753" Type="http://schemas.openxmlformats.org/officeDocument/2006/relationships/hyperlink" Target="http://www.residencialharmoniasenior.com.br/" TargetMode="External"/><Relationship Id="rId1176" Type="http://schemas.openxmlformats.org/officeDocument/2006/relationships/hyperlink" Target="mailto:casaderepousovpf2020@gmail.com" TargetMode="External"/><Relationship Id="rId1383" Type="http://schemas.openxmlformats.org/officeDocument/2006/relationships/hyperlink" Target="mailto:vintageresidencialsp@gmail.com" TargetMode="External"/><Relationship Id="rId101" Type="http://schemas.openxmlformats.org/officeDocument/2006/relationships/hyperlink" Target="http://www.atados.com.br/" TargetMode="External"/><Relationship Id="rId406" Type="http://schemas.openxmlformats.org/officeDocument/2006/relationships/hyperlink" Target="http://www.caritascl.org.br/" TargetMode="External"/><Relationship Id="rId960" Type="http://schemas.openxmlformats.org/officeDocument/2006/relationships/hyperlink" Target="http://www.institutonovoshorizontes.org.br/" TargetMode="External"/><Relationship Id="rId1036" Type="http://schemas.openxmlformats.org/officeDocument/2006/relationships/hyperlink" Target="mailto:priscilla@casaderepousonewlife.com.br" TargetMode="External"/><Relationship Id="rId1243" Type="http://schemas.openxmlformats.org/officeDocument/2006/relationships/hyperlink" Target="mailto:sulifecare@hotmail.com" TargetMode="External"/><Relationship Id="rId1590" Type="http://schemas.openxmlformats.org/officeDocument/2006/relationships/hyperlink" Target="http://www.moverhelipa.org.br/" TargetMode="External"/><Relationship Id="rId1688" Type="http://schemas.openxmlformats.org/officeDocument/2006/relationships/hyperlink" Target="mailto:associacaoesfuco@gmail.com" TargetMode="External"/><Relationship Id="rId1895" Type="http://schemas.openxmlformats.org/officeDocument/2006/relationships/hyperlink" Target="mailto:acbb.org@gmail.com" TargetMode="External"/><Relationship Id="rId613" Type="http://schemas.openxmlformats.org/officeDocument/2006/relationships/hyperlink" Target="http://www.hospedagemparamelhoridade.com/" TargetMode="External"/><Relationship Id="rId820" Type="http://schemas.openxmlformats.org/officeDocument/2006/relationships/hyperlink" Target="http://www.gmail.com/" TargetMode="External"/><Relationship Id="rId918" Type="http://schemas.openxmlformats.org/officeDocument/2006/relationships/hyperlink" Target="mailto:enfermagem@casaderepousobrilhodalua.com.br" TargetMode="External"/><Relationship Id="rId1450" Type="http://schemas.openxmlformats.org/officeDocument/2006/relationships/hyperlink" Target="mailto:ilpismanu@gmail.com" TargetMode="External"/><Relationship Id="rId1548" Type="http://schemas.openxmlformats.org/officeDocument/2006/relationships/hyperlink" Target="mailto:soleidecj@gmail.com" TargetMode="External"/><Relationship Id="rId1755" Type="http://schemas.openxmlformats.org/officeDocument/2006/relationships/hyperlink" Target="http://www.residencialalvorada.com.br/" TargetMode="External"/><Relationship Id="rId1103" Type="http://schemas.openxmlformats.org/officeDocument/2006/relationships/hyperlink" Target="mailto:villaunidadesantana@gmail.com" TargetMode="External"/><Relationship Id="rId1310" Type="http://schemas.openxmlformats.org/officeDocument/2006/relationships/hyperlink" Target="mailto:aleite731@gmail.com" TargetMode="External"/><Relationship Id="rId1408" Type="http://schemas.openxmlformats.org/officeDocument/2006/relationships/hyperlink" Target="mailto:pensionatorezende@outlook.com.br" TargetMode="External"/><Relationship Id="rId47" Type="http://schemas.openxmlformats.org/officeDocument/2006/relationships/hyperlink" Target="http://www.residencialvochico.com.br/" TargetMode="External"/><Relationship Id="rId1615" Type="http://schemas.openxmlformats.org/officeDocument/2006/relationships/hyperlink" Target="mailto:contato@baliresidencial.com.br" TargetMode="External"/><Relationship Id="rId1822" Type="http://schemas.openxmlformats.org/officeDocument/2006/relationships/hyperlink" Target="http://www.itinovacao.org.br/" TargetMode="External"/><Relationship Id="rId196" Type="http://schemas.openxmlformats.org/officeDocument/2006/relationships/hyperlink" Target="http://www.oram.org.be/" TargetMode="External"/><Relationship Id="rId263" Type="http://schemas.openxmlformats.org/officeDocument/2006/relationships/hyperlink" Target="http://www.olhe.org.br/" TargetMode="External"/><Relationship Id="rId470" Type="http://schemas.openxmlformats.org/officeDocument/2006/relationships/hyperlink" Target="mailto:residencialvovodito@gmail.com" TargetMode="External"/><Relationship Id="rId123" Type="http://schemas.openxmlformats.org/officeDocument/2006/relationships/hyperlink" Target="http://www.lareirapensionato.com.br/" TargetMode="External"/><Relationship Id="rId330" Type="http://schemas.openxmlformats.org/officeDocument/2006/relationships/hyperlink" Target="mailto:trilhadiversidadeculturalbras@gmail.com" TargetMode="External"/><Relationship Id="rId568" Type="http://schemas.openxmlformats.org/officeDocument/2006/relationships/hyperlink" Target="http://www.sepas.org.br/" TargetMode="External"/><Relationship Id="rId775" Type="http://schemas.openxmlformats.org/officeDocument/2006/relationships/hyperlink" Target="http://www.hotmail.com/" TargetMode="External"/><Relationship Id="rId982" Type="http://schemas.openxmlformats.org/officeDocument/2006/relationships/hyperlink" Target="http://www.institutoanimaeducacao.org.br/" TargetMode="External"/><Relationship Id="rId1198" Type="http://schemas.openxmlformats.org/officeDocument/2006/relationships/hyperlink" Target="mailto:projetos@institutoolgakos.org.br" TargetMode="External"/><Relationship Id="rId428" Type="http://schemas.openxmlformats.org/officeDocument/2006/relationships/hyperlink" Target="mailto:ljcprime@gmail.com" TargetMode="External"/><Relationship Id="rId635" Type="http://schemas.openxmlformats.org/officeDocument/2006/relationships/hyperlink" Target="http://www.gmail.com/" TargetMode="External"/><Relationship Id="rId842" Type="http://schemas.openxmlformats.org/officeDocument/2006/relationships/hyperlink" Target="http://www.gmail.com/" TargetMode="External"/><Relationship Id="rId1058" Type="http://schemas.openxmlformats.org/officeDocument/2006/relationships/hyperlink" Target="mailto:coordena&#231;&#227;oidelfranca@gmail.com" TargetMode="External"/><Relationship Id="rId1265" Type="http://schemas.openxmlformats.org/officeDocument/2006/relationships/hyperlink" Target="mailto:contato@arvoredavidasenior.com.br" TargetMode="External"/><Relationship Id="rId1472" Type="http://schemas.openxmlformats.org/officeDocument/2006/relationships/hyperlink" Target="mailto:residencialluarcasaderepouso@gmail.com" TargetMode="External"/><Relationship Id="rId702" Type="http://schemas.openxmlformats.org/officeDocument/2006/relationships/hyperlink" Target="http://www.residencialsaudeacao.com.br/" TargetMode="External"/><Relationship Id="rId1125" Type="http://schemas.openxmlformats.org/officeDocument/2006/relationships/hyperlink" Target="mailto:r.forgiarini@orpea.com.br" TargetMode="External"/><Relationship Id="rId1332" Type="http://schemas.openxmlformats.org/officeDocument/2006/relationships/hyperlink" Target="mailto:secretaria@bunkyo.org.br" TargetMode="External"/><Relationship Id="rId1777" Type="http://schemas.openxmlformats.org/officeDocument/2006/relationships/hyperlink" Target="mailto:aba.bellaatitude@gmail.com" TargetMode="External"/><Relationship Id="rId69" Type="http://schemas.openxmlformats.org/officeDocument/2006/relationships/hyperlink" Target="http://www.marpecasaderepouso.com.br/" TargetMode="External"/><Relationship Id="rId1637" Type="http://schemas.openxmlformats.org/officeDocument/2006/relationships/hyperlink" Target="http://www.unibes.org.br/" TargetMode="External"/><Relationship Id="rId1844" Type="http://schemas.openxmlformats.org/officeDocument/2006/relationships/hyperlink" Target="mailto:hospedariafratellos@gmail.com" TargetMode="External"/><Relationship Id="rId1704" Type="http://schemas.openxmlformats.org/officeDocument/2006/relationships/hyperlink" Target="mailto:contato@sorrirparavida.org.br" TargetMode="External"/><Relationship Id="rId285" Type="http://schemas.openxmlformats.org/officeDocument/2006/relationships/hyperlink" Target="http://www.instituogera.org/" TargetMode="External"/><Relationship Id="rId1911" Type="http://schemas.openxmlformats.org/officeDocument/2006/relationships/hyperlink" Target="mailto:adrianoluigysilva2012@gmail.com" TargetMode="External"/><Relationship Id="rId492" Type="http://schemas.openxmlformats.org/officeDocument/2006/relationships/hyperlink" Target="http://www.institutoirmadulce.org.br/" TargetMode="External"/><Relationship Id="rId797" Type="http://schemas.openxmlformats.org/officeDocument/2006/relationships/hyperlink" Target="http://www.gmail.com/" TargetMode="External"/><Relationship Id="rId145" Type="http://schemas.openxmlformats.org/officeDocument/2006/relationships/hyperlink" Target="http://www.residencialvovomargarida.com/" TargetMode="External"/><Relationship Id="rId352" Type="http://schemas.openxmlformats.org/officeDocument/2006/relationships/hyperlink" Target="mailto:ale.benitez@seniorvita.com.br" TargetMode="External"/><Relationship Id="rId1287" Type="http://schemas.openxmlformats.org/officeDocument/2006/relationships/hyperlink" Target="mailto:contato@bellasenior.com.br" TargetMode="External"/><Relationship Id="rId212" Type="http://schemas.openxmlformats.org/officeDocument/2006/relationships/hyperlink" Target="http://www.acirmesp.org.br/" TargetMode="External"/><Relationship Id="rId657" Type="http://schemas.openxmlformats.org/officeDocument/2006/relationships/hyperlink" Target="http://www.casaderepousorddocelar.com.br/" TargetMode="External"/><Relationship Id="rId864" Type="http://schemas.openxmlformats.org/officeDocument/2006/relationships/hyperlink" Target="http://www.bol.com.br/" TargetMode="External"/><Relationship Id="rId1494" Type="http://schemas.openxmlformats.org/officeDocument/2006/relationships/hyperlink" Target="http://www.altodepinheirosgeriatrico.com.br/" TargetMode="External"/><Relationship Id="rId1799" Type="http://schemas.openxmlformats.org/officeDocument/2006/relationships/hyperlink" Target="mailto:certificados@lemecontabil.com.br" TargetMode="External"/><Relationship Id="rId517" Type="http://schemas.openxmlformats.org/officeDocument/2006/relationships/hyperlink" Target="http://www.asatransforma.org.br/" TargetMode="External"/><Relationship Id="rId724" Type="http://schemas.openxmlformats.org/officeDocument/2006/relationships/hyperlink" Target="http://www.casalaura.wordpress.com/" TargetMode="External"/><Relationship Id="rId931" Type="http://schemas.openxmlformats.org/officeDocument/2006/relationships/hyperlink" Target="http://www.oscesperanca.org.br/" TargetMode="External"/><Relationship Id="rId1147" Type="http://schemas.openxmlformats.org/officeDocument/2006/relationships/hyperlink" Target="mailto:gama_edi@yahoo.com.br" TargetMode="External"/><Relationship Id="rId1354" Type="http://schemas.openxmlformats.org/officeDocument/2006/relationships/hyperlink" Target="mailto:villaprimaverasenior@gmail.com" TargetMode="External"/><Relationship Id="rId1561" Type="http://schemas.openxmlformats.org/officeDocument/2006/relationships/hyperlink" Target="http://www.abecam.com.br/" TargetMode="External"/><Relationship Id="rId60" Type="http://schemas.openxmlformats.org/officeDocument/2006/relationships/hyperlink" Target="http://www.alps.org.br/" TargetMode="External"/><Relationship Id="rId1007" Type="http://schemas.openxmlformats.org/officeDocument/2006/relationships/hyperlink" Target="http://www.eternamentesou.org/" TargetMode="External"/><Relationship Id="rId1214" Type="http://schemas.openxmlformats.org/officeDocument/2006/relationships/hyperlink" Target="mailto:contato@casaderepousopordosol.com.br" TargetMode="External"/><Relationship Id="rId1421" Type="http://schemas.openxmlformats.org/officeDocument/2006/relationships/hyperlink" Target="mailto:casaderepousotrescoracoes@gmail.com" TargetMode="External"/><Relationship Id="rId1659" Type="http://schemas.openxmlformats.org/officeDocument/2006/relationships/hyperlink" Target="mailto:adm.croph@uol.com.br" TargetMode="External"/><Relationship Id="rId1866" Type="http://schemas.openxmlformats.org/officeDocument/2006/relationships/hyperlink" Target="http://www.3ibemestar.com.br/" TargetMode="External"/><Relationship Id="rId1519" Type="http://schemas.openxmlformats.org/officeDocument/2006/relationships/hyperlink" Target="http://www.primaveralardeidosos.com.br/" TargetMode="External"/><Relationship Id="rId1726" Type="http://schemas.openxmlformats.org/officeDocument/2006/relationships/hyperlink" Target="mailto:administrativo@institutogiorgionicoli.org.br" TargetMode="External"/><Relationship Id="rId1933" Type="http://schemas.openxmlformats.org/officeDocument/2006/relationships/hyperlink" Target="mailto:elianereiscruz@hotmail.com" TargetMode="External"/><Relationship Id="rId18" Type="http://schemas.openxmlformats.org/officeDocument/2006/relationships/hyperlink" Target="http://www.csleao13.org.br/" TargetMode="External"/><Relationship Id="rId167" Type="http://schemas.openxmlformats.org/officeDocument/2006/relationships/hyperlink" Target="http://www.residencialsalute.com.br/" TargetMode="External"/><Relationship Id="rId374" Type="http://schemas.openxmlformats.org/officeDocument/2006/relationships/hyperlink" Target="mailto:larbellabento@hotmail.com" TargetMode="External"/><Relationship Id="rId581" Type="http://schemas.openxmlformats.org/officeDocument/2006/relationships/hyperlink" Target="http://www.casaderepousoemfamilia.com.br/" TargetMode="External"/><Relationship Id="rId234" Type="http://schemas.openxmlformats.org/officeDocument/2006/relationships/hyperlink" Target="http://www.casaderepousobrilhodosol.com.br/" TargetMode="External"/><Relationship Id="rId679" Type="http://schemas.openxmlformats.org/officeDocument/2006/relationships/hyperlink" Target="http://www.residencialjoseemaria.com.br/" TargetMode="External"/><Relationship Id="rId886" Type="http://schemas.openxmlformats.org/officeDocument/2006/relationships/hyperlink" Target="mailto:diretoria@spazioresidencialsenior.com.br" TargetMode="External"/><Relationship Id="rId2" Type="http://schemas.openxmlformats.org/officeDocument/2006/relationships/hyperlink" Target="http://www.tatuaperesidencialsenior.com.br/" TargetMode="External"/><Relationship Id="rId441" Type="http://schemas.openxmlformats.org/officeDocument/2006/relationships/hyperlink" Target="mailto:micarvalho.isabel@gmail.com" TargetMode="External"/><Relationship Id="rId539" Type="http://schemas.openxmlformats.org/officeDocument/2006/relationships/hyperlink" Target="mailto:irnac@irnac.com.br" TargetMode="External"/><Relationship Id="rId746" Type="http://schemas.openxmlformats.org/officeDocument/2006/relationships/hyperlink" Target="http://www.ecrecantodoslirios.com.br/" TargetMode="External"/><Relationship Id="rId1071" Type="http://schemas.openxmlformats.org/officeDocument/2006/relationships/hyperlink" Target="mailto:crvidaesaude@outlook.com" TargetMode="External"/><Relationship Id="rId1169" Type="http://schemas.openxmlformats.org/officeDocument/2006/relationships/hyperlink" Target="mailto:residencialcasadoidoso@gmail.com" TargetMode="External"/><Relationship Id="rId1376" Type="http://schemas.openxmlformats.org/officeDocument/2006/relationships/hyperlink" Target="http://www.adra.org.br/" TargetMode="External"/><Relationship Id="rId1583" Type="http://schemas.openxmlformats.org/officeDocument/2006/relationships/hyperlink" Target="mailto:residencialflowersgarden19@gmail.com" TargetMode="External"/><Relationship Id="rId301" Type="http://schemas.openxmlformats.org/officeDocument/2006/relationships/hyperlink" Target="http://www.xododavovo.wix.com/" TargetMode="External"/><Relationship Id="rId953" Type="http://schemas.openxmlformats.org/officeDocument/2006/relationships/hyperlink" Target="http://www.residencialpordosol.org.br/" TargetMode="External"/><Relationship Id="rId1029" Type="http://schemas.openxmlformats.org/officeDocument/2006/relationships/hyperlink" Target="mailto:lda@lardivinoamigo.org.br" TargetMode="External"/><Relationship Id="rId1236" Type="http://schemas.openxmlformats.org/officeDocument/2006/relationships/hyperlink" Target="mailto:centrosocialbomjesus@ig.com.br" TargetMode="External"/><Relationship Id="rId1790" Type="http://schemas.openxmlformats.org/officeDocument/2006/relationships/hyperlink" Target="mailto:fran.carvalho@scritacontabil.com.br" TargetMode="External"/><Relationship Id="rId1888" Type="http://schemas.openxmlformats.org/officeDocument/2006/relationships/hyperlink" Target="mailto:desenvolvenoespectro@gmail.com" TargetMode="External"/><Relationship Id="rId82" Type="http://schemas.openxmlformats.org/officeDocument/2006/relationships/hyperlink" Target="http://www.tercadaserra.com.br/" TargetMode="External"/><Relationship Id="rId606" Type="http://schemas.openxmlformats.org/officeDocument/2006/relationships/hyperlink" Target="http://www.gmail.com/" TargetMode="External"/><Relationship Id="rId813" Type="http://schemas.openxmlformats.org/officeDocument/2006/relationships/hyperlink" Target="http://www.grupopacini.com.br/" TargetMode="External"/><Relationship Id="rId1443" Type="http://schemas.openxmlformats.org/officeDocument/2006/relationships/hyperlink" Target="mailto:financeiro.hanami@gmail.com" TargetMode="External"/><Relationship Id="rId1650" Type="http://schemas.openxmlformats.org/officeDocument/2006/relationships/hyperlink" Target="mailto:marcianaoficial31@gmail.com" TargetMode="External"/><Relationship Id="rId1748" Type="http://schemas.openxmlformats.org/officeDocument/2006/relationships/hyperlink" Target="http://www.toqueparaofuturo.com.br/" TargetMode="External"/><Relationship Id="rId1303" Type="http://schemas.openxmlformats.org/officeDocument/2006/relationships/hyperlink" Target="mailto:danielmendes@casaderepousoreviver.com.br" TargetMode="External"/><Relationship Id="rId1510" Type="http://schemas.openxmlformats.org/officeDocument/2006/relationships/hyperlink" Target="mailto:residencialseniorimperio@gmail.com" TargetMode="External"/><Relationship Id="rId1608" Type="http://schemas.openxmlformats.org/officeDocument/2006/relationships/hyperlink" Target="mailto:elisangela.carvalhoecl@gmail.com" TargetMode="External"/><Relationship Id="rId1815" Type="http://schemas.openxmlformats.org/officeDocument/2006/relationships/hyperlink" Target="http://www.yahoo.com.br/" TargetMode="External"/><Relationship Id="rId189" Type="http://schemas.openxmlformats.org/officeDocument/2006/relationships/hyperlink" Target="http://www.villadeifiori.com/" TargetMode="External"/><Relationship Id="rId396" Type="http://schemas.openxmlformats.org/officeDocument/2006/relationships/hyperlink" Target="http://www.repousovidanova.com.br/" TargetMode="External"/><Relationship Id="rId256" Type="http://schemas.openxmlformats.org/officeDocument/2006/relationships/hyperlink" Target="http://www.casapedrabranca.com.br/" TargetMode="External"/><Relationship Id="rId463" Type="http://schemas.openxmlformats.org/officeDocument/2006/relationships/hyperlink" Target="mailto:vintageresidencialsp@gmail.com" TargetMode="External"/><Relationship Id="rId670" Type="http://schemas.openxmlformats.org/officeDocument/2006/relationships/hyperlink" Target="http://www.hotmail.com/" TargetMode="External"/><Relationship Id="rId1093" Type="http://schemas.openxmlformats.org/officeDocument/2006/relationships/hyperlink" Target="mailto:casaderepousoluzdamanha@gmail.com" TargetMode="External"/><Relationship Id="rId116" Type="http://schemas.openxmlformats.org/officeDocument/2006/relationships/hyperlink" Target="http://www.larbellabento.com.br/" TargetMode="External"/><Relationship Id="rId323" Type="http://schemas.openxmlformats.org/officeDocument/2006/relationships/hyperlink" Target="mailto:simonegrave@hotmail.com" TargetMode="External"/><Relationship Id="rId530" Type="http://schemas.openxmlformats.org/officeDocument/2006/relationships/hyperlink" Target="mailto:residencialjaquequeiroz@gmail.com" TargetMode="External"/><Relationship Id="rId768" Type="http://schemas.openxmlformats.org/officeDocument/2006/relationships/hyperlink" Target="http://www.gmail.com.com/" TargetMode="External"/><Relationship Id="rId975" Type="http://schemas.openxmlformats.org/officeDocument/2006/relationships/hyperlink" Target="mailto:administracao@colegiotezza.com.br" TargetMode="External"/><Relationship Id="rId1160" Type="http://schemas.openxmlformats.org/officeDocument/2006/relationships/hyperlink" Target="mailto:aparecida.anjo@hotmail.com" TargetMode="External"/><Relationship Id="rId1398" Type="http://schemas.openxmlformats.org/officeDocument/2006/relationships/hyperlink" Target="mailto:acbb.org@gmail.com" TargetMode="External"/><Relationship Id="rId628" Type="http://schemas.openxmlformats.org/officeDocument/2006/relationships/hyperlink" Target="http://www.gmail.com/" TargetMode="External"/><Relationship Id="rId835" Type="http://schemas.openxmlformats.org/officeDocument/2006/relationships/hyperlink" Target="http://www.bol.com.br/" TargetMode="External"/><Relationship Id="rId1258" Type="http://schemas.openxmlformats.org/officeDocument/2006/relationships/hyperlink" Target="mailto:assidadedourada@outlook.com.br" TargetMode="External"/><Relationship Id="rId1465" Type="http://schemas.openxmlformats.org/officeDocument/2006/relationships/hyperlink" Target="mailto:sabrinacdm1237@gmail.com" TargetMode="External"/><Relationship Id="rId1672" Type="http://schemas.openxmlformats.org/officeDocument/2006/relationships/hyperlink" Target="mailto:casaderepousosaojudastadeu@gmail.com" TargetMode="External"/><Relationship Id="rId1020" Type="http://schemas.openxmlformats.org/officeDocument/2006/relationships/hyperlink" Target="mailto:Residencialjardimdocarmo1@gmail.com" TargetMode="External"/><Relationship Id="rId1118" Type="http://schemas.openxmlformats.org/officeDocument/2006/relationships/hyperlink" Target="mailto:legalizacao@grupopacini.com.br" TargetMode="External"/><Relationship Id="rId1325" Type="http://schemas.openxmlformats.org/officeDocument/2006/relationships/hyperlink" Target="mailto:secretaria@bompar.org.br" TargetMode="External"/><Relationship Id="rId1532" Type="http://schemas.openxmlformats.org/officeDocument/2006/relationships/hyperlink" Target="mailto:vanessa.coppia@casaderepousosalvatore.com.br" TargetMode="External"/><Relationship Id="rId902" Type="http://schemas.openxmlformats.org/officeDocument/2006/relationships/hyperlink" Target="mailto:contato@institutogera.org" TargetMode="External"/><Relationship Id="rId1837" Type="http://schemas.openxmlformats.org/officeDocument/2006/relationships/hyperlink" Target="http://www.enyvieira.com.br/" TargetMode="External"/><Relationship Id="rId31" Type="http://schemas.openxmlformats.org/officeDocument/2006/relationships/hyperlink" Target="http://www.vivendasantafe.com.br/" TargetMode="External"/><Relationship Id="rId180" Type="http://schemas.openxmlformats.org/officeDocument/2006/relationships/hyperlink" Target="http://www.recantoavos.com.br/" TargetMode="External"/><Relationship Id="rId278" Type="http://schemas.openxmlformats.org/officeDocument/2006/relationships/hyperlink" Target="mailto:residencialarcoiris728@gmail.com" TargetMode="External"/><Relationship Id="rId1904" Type="http://schemas.openxmlformats.org/officeDocument/2006/relationships/hyperlink" Target="mailto:contato.casaderepousomedessa@gmail.com" TargetMode="External"/><Relationship Id="rId485" Type="http://schemas.openxmlformats.org/officeDocument/2006/relationships/hyperlink" Target="mailto:amaobranca@amaobranca.org.br" TargetMode="External"/><Relationship Id="rId692" Type="http://schemas.openxmlformats.org/officeDocument/2006/relationships/hyperlink" Target="http://www.casaderepousostyllo.com.br/" TargetMode="External"/><Relationship Id="rId138" Type="http://schemas.openxmlformats.org/officeDocument/2006/relationships/hyperlink" Target="http://www.rtisa.org.br/" TargetMode="External"/><Relationship Id="rId345" Type="http://schemas.openxmlformats.org/officeDocument/2006/relationships/hyperlink" Target="http://www.residencialbgv.com.br/" TargetMode="External"/><Relationship Id="rId552" Type="http://schemas.openxmlformats.org/officeDocument/2006/relationships/hyperlink" Target="mailto:moradanossolar@gmail.com" TargetMode="External"/><Relationship Id="rId997" Type="http://schemas.openxmlformats.org/officeDocument/2006/relationships/hyperlink" Target="mailto:merakiresidencialsenior@gmail.com" TargetMode="External"/><Relationship Id="rId1182" Type="http://schemas.openxmlformats.org/officeDocument/2006/relationships/hyperlink" Target="mailto:contato@saene.com.br" TargetMode="External"/><Relationship Id="rId205" Type="http://schemas.openxmlformats.org/officeDocument/2006/relationships/hyperlink" Target="mailto:gestao.stacecilia@gmail.com" TargetMode="External"/><Relationship Id="rId412" Type="http://schemas.openxmlformats.org/officeDocument/2006/relationships/hyperlink" Target="mailto:luzaoscegos@gmail.com" TargetMode="External"/><Relationship Id="rId857" Type="http://schemas.openxmlformats.org/officeDocument/2006/relationships/hyperlink" Target="http://www.hotmail.com/" TargetMode="External"/><Relationship Id="rId1042" Type="http://schemas.openxmlformats.org/officeDocument/2006/relationships/hyperlink" Target="mailto:hugosp25@hotmail.com" TargetMode="External"/><Relationship Id="rId1487" Type="http://schemas.openxmlformats.org/officeDocument/2006/relationships/hyperlink" Target="mailto:legalizacao@grupopacini.com.br" TargetMode="External"/><Relationship Id="rId1694" Type="http://schemas.openxmlformats.org/officeDocument/2006/relationships/hyperlink" Target="mailto:germania.residencial@outlook.com" TargetMode="External"/><Relationship Id="rId717" Type="http://schemas.openxmlformats.org/officeDocument/2006/relationships/hyperlink" Target="http://www.casaderepousopaineiras.com.br/" TargetMode="External"/><Relationship Id="rId924" Type="http://schemas.openxmlformats.org/officeDocument/2006/relationships/hyperlink" Target="mailto:contato.vilaformosa@espacovidailpi.com" TargetMode="External"/><Relationship Id="rId1347" Type="http://schemas.openxmlformats.org/officeDocument/2006/relationships/hyperlink" Target="mailto:eliclic@hotmail.com%20(indispon&#237;vel)" TargetMode="External"/><Relationship Id="rId1554" Type="http://schemas.openxmlformats.org/officeDocument/2006/relationships/hyperlink" Target="mailto:adm@casaderepousopaineiras.com.br" TargetMode="External"/><Relationship Id="rId1761" Type="http://schemas.openxmlformats.org/officeDocument/2006/relationships/hyperlink" Target="http://www.associacaolonan.com.br/" TargetMode="External"/><Relationship Id="rId53" Type="http://schemas.openxmlformats.org/officeDocument/2006/relationships/hyperlink" Target="http://www.unibes.org.br/" TargetMode="External"/><Relationship Id="rId1207" Type="http://schemas.openxmlformats.org/officeDocument/2006/relationships/hyperlink" Target="mailto:sonia@residencialemfamilia.com.br" TargetMode="External"/><Relationship Id="rId1414" Type="http://schemas.openxmlformats.org/officeDocument/2006/relationships/hyperlink" Target="mailto:conficareresidencial@gmail.com" TargetMode="External"/><Relationship Id="rId1621" Type="http://schemas.openxmlformats.org/officeDocument/2006/relationships/hyperlink" Target="mailto:institutovidaspelofuturo@gmail.com" TargetMode="External"/><Relationship Id="rId1859" Type="http://schemas.openxmlformats.org/officeDocument/2006/relationships/hyperlink" Target="mailto:residencialarcoiris72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Y1408"/>
  <sheetViews>
    <sheetView tabSelected="1" zoomScale="90" zoomScaleNormal="90" workbookViewId="0">
      <pane ySplit="2" topLeftCell="A1367" activePane="bottomLeft" state="frozen"/>
      <selection pane="bottomLeft" activeCell="A1387" sqref="A1387"/>
    </sheetView>
  </sheetViews>
  <sheetFormatPr defaultRowHeight="15" x14ac:dyDescent="0.25"/>
  <cols>
    <col min="2" max="2" width="18.42578125" style="6" customWidth="1"/>
    <col min="3" max="3" width="13.85546875" style="14" customWidth="1"/>
    <col min="4" max="4" width="15.7109375" style="6" customWidth="1"/>
    <col min="5" max="5" width="87.85546875" style="6" customWidth="1"/>
    <col min="6" max="6" width="75" style="15" customWidth="1"/>
    <col min="7" max="7" width="19.7109375" style="6" bestFit="1" customWidth="1"/>
    <col min="8" max="8" width="19.5703125" style="6" customWidth="1"/>
    <col min="9" max="9" width="16.85546875" style="13" customWidth="1"/>
    <col min="10" max="10" width="9.85546875" style="13" customWidth="1"/>
    <col min="11" max="11" width="15.7109375" style="6" customWidth="1"/>
    <col min="12" max="12" width="35" style="13" customWidth="1"/>
    <col min="13" max="13" width="22.5703125" style="13" customWidth="1"/>
    <col min="14" max="14" width="26" style="13" customWidth="1"/>
    <col min="15" max="15" width="30.28515625" style="13" customWidth="1"/>
    <col min="16" max="16" width="13.5703125" style="13" customWidth="1"/>
    <col min="17" max="17" width="17.5703125" style="13" customWidth="1"/>
    <col min="18" max="18" width="49.140625" style="6" customWidth="1"/>
    <col min="19" max="19" width="38.42578125" style="6" customWidth="1"/>
    <col min="20" max="20" width="11.7109375" style="6" customWidth="1"/>
    <col min="21" max="21" width="9.140625" style="6" customWidth="1"/>
    <col min="22" max="22" width="20.28515625" style="6" customWidth="1"/>
    <col min="23" max="23" width="29.5703125" style="6" customWidth="1"/>
    <col min="24" max="24" width="10.5703125" style="6" customWidth="1"/>
    <col min="25" max="25" width="2.85546875" style="128" customWidth="1"/>
    <col min="26" max="16384" width="9.140625" style="6"/>
  </cols>
  <sheetData>
    <row r="1" spans="1:25" ht="57.75" customHeight="1" x14ac:dyDescent="0.2">
      <c r="A1" s="155" t="s">
        <v>11962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6"/>
    </row>
    <row r="2" spans="1:25" ht="12.75" x14ac:dyDescent="0.2">
      <c r="A2" s="8" t="s">
        <v>11961</v>
      </c>
      <c r="B2" s="8" t="s">
        <v>1517</v>
      </c>
      <c r="C2" s="9" t="s">
        <v>1534</v>
      </c>
      <c r="D2" s="8" t="s">
        <v>1525</v>
      </c>
      <c r="E2" s="9" t="s">
        <v>1518</v>
      </c>
      <c r="F2" s="10" t="s">
        <v>1520</v>
      </c>
      <c r="G2" s="9" t="s">
        <v>4974</v>
      </c>
      <c r="H2" s="9" t="s">
        <v>4973</v>
      </c>
      <c r="I2" s="9" t="s">
        <v>1519</v>
      </c>
      <c r="J2" s="9" t="s">
        <v>4975</v>
      </c>
      <c r="K2" s="9" t="s">
        <v>1535</v>
      </c>
      <c r="L2" s="8" t="s">
        <v>4976</v>
      </c>
      <c r="M2" s="9" t="s">
        <v>2086</v>
      </c>
      <c r="N2" s="9" t="s">
        <v>2087</v>
      </c>
      <c r="O2" s="9" t="s">
        <v>1521</v>
      </c>
      <c r="P2" s="9" t="s">
        <v>1522</v>
      </c>
      <c r="Q2" s="9" t="s">
        <v>1524</v>
      </c>
      <c r="R2" s="9" t="s">
        <v>1523</v>
      </c>
      <c r="S2" s="9" t="s">
        <v>2088</v>
      </c>
      <c r="T2" s="11" t="s">
        <v>1797</v>
      </c>
      <c r="U2" s="11" t="s">
        <v>1798</v>
      </c>
      <c r="V2" s="9" t="s">
        <v>2501</v>
      </c>
      <c r="W2" s="9" t="s">
        <v>7145</v>
      </c>
      <c r="X2" s="127" t="s">
        <v>11960</v>
      </c>
      <c r="Y2" s="6"/>
    </row>
    <row r="3" spans="1:25" ht="15" customHeight="1" x14ac:dyDescent="0.2">
      <c r="A3" s="12" t="s">
        <v>0</v>
      </c>
      <c r="B3" s="13" t="s">
        <v>4978</v>
      </c>
      <c r="C3" s="74">
        <v>46705</v>
      </c>
      <c r="D3" s="13" t="s">
        <v>1533</v>
      </c>
      <c r="E3" s="6" t="s">
        <v>11653</v>
      </c>
      <c r="F3" s="15" t="s">
        <v>6277</v>
      </c>
      <c r="G3" s="6" t="s">
        <v>3</v>
      </c>
      <c r="H3" s="6" t="s">
        <v>6276</v>
      </c>
      <c r="I3" s="13" t="s">
        <v>7931</v>
      </c>
      <c r="J3" s="13">
        <v>9</v>
      </c>
      <c r="K3" s="13" t="s">
        <v>6603</v>
      </c>
      <c r="L3" s="6" t="s">
        <v>6278</v>
      </c>
      <c r="M3" s="108" t="s">
        <v>6283</v>
      </c>
      <c r="N3" s="13" t="s">
        <v>2145</v>
      </c>
      <c r="O3" s="13" t="s">
        <v>2146</v>
      </c>
      <c r="P3" s="13" t="s">
        <v>68</v>
      </c>
      <c r="Q3" s="6" t="s">
        <v>6279</v>
      </c>
      <c r="R3" s="17" t="s">
        <v>6280</v>
      </c>
      <c r="S3" s="17" t="s">
        <v>6281</v>
      </c>
      <c r="T3" s="13">
        <v>31</v>
      </c>
      <c r="U3" s="13">
        <v>31</v>
      </c>
      <c r="V3" s="13" t="s">
        <v>6282</v>
      </c>
      <c r="X3" s="132">
        <v>1</v>
      </c>
      <c r="Y3" s="6"/>
    </row>
    <row r="4" spans="1:25" ht="15" customHeight="1" x14ac:dyDescent="0.2">
      <c r="A4" s="20" t="s">
        <v>6600</v>
      </c>
      <c r="B4" s="22" t="s">
        <v>2608</v>
      </c>
      <c r="C4" s="14">
        <v>46036</v>
      </c>
      <c r="D4" s="13" t="s">
        <v>1533</v>
      </c>
      <c r="E4" s="6" t="s">
        <v>11653</v>
      </c>
      <c r="F4" s="15" t="s">
        <v>6601</v>
      </c>
      <c r="G4" s="6" t="s">
        <v>3</v>
      </c>
      <c r="H4" s="6" t="s">
        <v>3</v>
      </c>
      <c r="I4" s="13" t="s">
        <v>39</v>
      </c>
      <c r="J4" s="13">
        <v>12</v>
      </c>
      <c r="K4" s="13" t="s">
        <v>6574</v>
      </c>
      <c r="L4" s="6" t="s">
        <v>7623</v>
      </c>
      <c r="M4" s="108"/>
      <c r="N4" s="13" t="s">
        <v>7622</v>
      </c>
      <c r="O4" s="13" t="s">
        <v>2146</v>
      </c>
      <c r="P4" s="13" t="s">
        <v>68</v>
      </c>
      <c r="Q4" s="6"/>
      <c r="R4" s="17" t="s">
        <v>6602</v>
      </c>
      <c r="S4" s="17" t="s">
        <v>6281</v>
      </c>
      <c r="T4" s="18">
        <v>36</v>
      </c>
      <c r="U4" s="18">
        <v>36</v>
      </c>
      <c r="V4" s="13" t="s">
        <v>6282</v>
      </c>
      <c r="X4" s="132">
        <v>2</v>
      </c>
      <c r="Y4" s="6"/>
    </row>
    <row r="5" spans="1:25" ht="15" customHeight="1" x14ac:dyDescent="0.2">
      <c r="A5" s="20" t="s">
        <v>5</v>
      </c>
      <c r="B5" s="22" t="s">
        <v>2608</v>
      </c>
      <c r="C5" s="14">
        <v>43390</v>
      </c>
      <c r="D5" s="13" t="s">
        <v>1533</v>
      </c>
      <c r="E5" s="6" t="s">
        <v>11654</v>
      </c>
      <c r="G5" s="6" t="s">
        <v>7</v>
      </c>
      <c r="I5" s="13" t="s">
        <v>7931</v>
      </c>
      <c r="K5" s="13"/>
      <c r="L5" s="6"/>
      <c r="M5" s="108"/>
      <c r="O5" s="13" t="s">
        <v>8</v>
      </c>
      <c r="P5" s="13" t="s">
        <v>9</v>
      </c>
      <c r="Q5" s="6"/>
      <c r="R5" s="6" t="s">
        <v>10</v>
      </c>
      <c r="T5" s="13"/>
      <c r="U5" s="13"/>
      <c r="V5" s="13"/>
      <c r="X5" s="132">
        <v>3</v>
      </c>
      <c r="Y5" s="6"/>
    </row>
    <row r="6" spans="1:25" ht="15" customHeight="1" x14ac:dyDescent="0.25">
      <c r="A6" s="12" t="s">
        <v>2381</v>
      </c>
      <c r="B6" s="13" t="s">
        <v>4977</v>
      </c>
      <c r="C6" s="14">
        <v>46675</v>
      </c>
      <c r="D6" s="13" t="s">
        <v>1533</v>
      </c>
      <c r="E6" s="6" t="s">
        <v>10600</v>
      </c>
      <c r="F6" s="15" t="s">
        <v>10601</v>
      </c>
      <c r="G6" s="6" t="s">
        <v>14</v>
      </c>
      <c r="H6" s="6" t="s">
        <v>10602</v>
      </c>
      <c r="I6" s="13" t="s">
        <v>13</v>
      </c>
      <c r="J6" s="13">
        <v>8</v>
      </c>
      <c r="K6" s="13" t="s">
        <v>1714</v>
      </c>
      <c r="L6" s="6" t="s">
        <v>2383</v>
      </c>
      <c r="M6" s="108" t="s">
        <v>10664</v>
      </c>
      <c r="N6" s="13" t="s">
        <v>2384</v>
      </c>
      <c r="O6" s="13" t="s">
        <v>15</v>
      </c>
      <c r="P6" s="13" t="s">
        <v>16</v>
      </c>
      <c r="Q6" s="6" t="s">
        <v>10603</v>
      </c>
      <c r="R6" s="69" t="s">
        <v>10604</v>
      </c>
      <c r="S6" s="6" t="s">
        <v>2386</v>
      </c>
      <c r="T6" s="13">
        <v>200</v>
      </c>
      <c r="U6" s="13">
        <v>170</v>
      </c>
      <c r="V6" s="13" t="s">
        <v>10605</v>
      </c>
      <c r="X6" s="132">
        <v>4</v>
      </c>
      <c r="Y6" s="6"/>
    </row>
    <row r="7" spans="1:25" ht="15" customHeight="1" x14ac:dyDescent="0.2">
      <c r="A7" s="20" t="s">
        <v>2382</v>
      </c>
      <c r="B7" s="21" t="s">
        <v>2608</v>
      </c>
      <c r="C7" s="14">
        <v>45802</v>
      </c>
      <c r="D7" s="13" t="s">
        <v>1533</v>
      </c>
      <c r="E7" s="6" t="s">
        <v>11655</v>
      </c>
      <c r="F7" s="15" t="s">
        <v>10601</v>
      </c>
      <c r="G7" s="6" t="s">
        <v>14</v>
      </c>
      <c r="I7" s="13" t="s">
        <v>7931</v>
      </c>
      <c r="J7" s="13">
        <v>9</v>
      </c>
      <c r="K7" s="13" t="s">
        <v>6603</v>
      </c>
      <c r="L7" s="6" t="s">
        <v>2383</v>
      </c>
      <c r="M7" s="108" t="s">
        <v>10664</v>
      </c>
      <c r="N7" s="13" t="s">
        <v>2384</v>
      </c>
      <c r="O7" s="13" t="s">
        <v>15</v>
      </c>
      <c r="P7" s="13" t="s">
        <v>16</v>
      </c>
      <c r="Q7" s="6" t="s">
        <v>2385</v>
      </c>
      <c r="R7" s="6" t="s">
        <v>17</v>
      </c>
      <c r="S7" s="6" t="s">
        <v>2386</v>
      </c>
      <c r="T7" s="13">
        <v>30</v>
      </c>
      <c r="U7" s="13">
        <v>29</v>
      </c>
      <c r="V7" s="13" t="s">
        <v>3407</v>
      </c>
      <c r="X7" s="132">
        <v>5</v>
      </c>
      <c r="Y7" s="6"/>
    </row>
    <row r="8" spans="1:25" ht="15" customHeight="1" x14ac:dyDescent="0.25">
      <c r="A8" s="12" t="s">
        <v>8468</v>
      </c>
      <c r="B8" s="13" t="s">
        <v>4978</v>
      </c>
      <c r="C8" s="74">
        <v>47090</v>
      </c>
      <c r="D8" s="13" t="s">
        <v>1533</v>
      </c>
      <c r="E8" s="6" t="s">
        <v>8470</v>
      </c>
      <c r="F8" s="15" t="s">
        <v>8469</v>
      </c>
      <c r="G8" s="6" t="s">
        <v>5713</v>
      </c>
      <c r="H8" s="6" t="s">
        <v>20</v>
      </c>
      <c r="I8" s="13" t="s">
        <v>13</v>
      </c>
      <c r="J8" s="13">
        <v>7</v>
      </c>
      <c r="K8" s="13" t="s">
        <v>6603</v>
      </c>
      <c r="L8" s="6" t="s">
        <v>8497</v>
      </c>
      <c r="M8" s="108" t="s">
        <v>8498</v>
      </c>
      <c r="N8" s="13" t="s">
        <v>8499</v>
      </c>
      <c r="O8" s="13" t="s">
        <v>21</v>
      </c>
      <c r="P8" s="13" t="s">
        <v>9</v>
      </c>
      <c r="Q8" s="6" t="s">
        <v>8500</v>
      </c>
      <c r="R8" s="69" t="s">
        <v>8501</v>
      </c>
      <c r="S8" s="17" t="s">
        <v>5731</v>
      </c>
      <c r="T8" s="13">
        <v>200</v>
      </c>
      <c r="U8" s="13">
        <v>200</v>
      </c>
      <c r="V8" s="13" t="s">
        <v>8502</v>
      </c>
      <c r="X8" s="132">
        <v>6</v>
      </c>
      <c r="Y8" s="6"/>
    </row>
    <row r="9" spans="1:25" ht="15" customHeight="1" x14ac:dyDescent="0.2">
      <c r="A9" s="20" t="s">
        <v>9147</v>
      </c>
      <c r="B9" s="22" t="s">
        <v>2608</v>
      </c>
      <c r="C9" s="14">
        <v>43820</v>
      </c>
      <c r="D9" s="13" t="s">
        <v>1533</v>
      </c>
      <c r="E9" s="6" t="s">
        <v>8470</v>
      </c>
      <c r="F9" s="15" t="s">
        <v>23</v>
      </c>
      <c r="G9" s="6" t="s">
        <v>5713</v>
      </c>
      <c r="H9" s="6" t="s">
        <v>24</v>
      </c>
      <c r="I9" s="13" t="s">
        <v>13</v>
      </c>
      <c r="K9" s="13"/>
      <c r="L9" s="6"/>
      <c r="M9" s="108"/>
      <c r="O9" s="13" t="s">
        <v>21</v>
      </c>
      <c r="P9" s="13" t="s">
        <v>9</v>
      </c>
      <c r="Q9" s="6"/>
      <c r="R9" s="6" t="s">
        <v>22</v>
      </c>
      <c r="S9" s="17" t="s">
        <v>5731</v>
      </c>
      <c r="T9" s="13"/>
      <c r="U9" s="13"/>
      <c r="V9" s="13"/>
      <c r="X9" s="132">
        <v>7</v>
      </c>
      <c r="Y9" s="6"/>
    </row>
    <row r="10" spans="1:25" ht="15" customHeight="1" x14ac:dyDescent="0.2">
      <c r="A10" s="20" t="s">
        <v>9148</v>
      </c>
      <c r="B10" s="22" t="s">
        <v>2608</v>
      </c>
      <c r="C10" s="14">
        <v>45643</v>
      </c>
      <c r="D10" s="13" t="s">
        <v>1533</v>
      </c>
      <c r="E10" s="6" t="s">
        <v>8470</v>
      </c>
      <c r="G10" s="6" t="s">
        <v>5713</v>
      </c>
      <c r="H10" s="6" t="s">
        <v>26</v>
      </c>
      <c r="I10" s="13" t="s">
        <v>25</v>
      </c>
      <c r="K10" s="13"/>
      <c r="L10" s="6"/>
      <c r="M10" s="108"/>
      <c r="O10" s="13" t="s">
        <v>27</v>
      </c>
      <c r="P10" s="13" t="s">
        <v>9</v>
      </c>
      <c r="Q10" s="6"/>
      <c r="R10" s="6" t="s">
        <v>22</v>
      </c>
      <c r="S10" s="17" t="s">
        <v>5731</v>
      </c>
      <c r="T10" s="13"/>
      <c r="U10" s="13"/>
      <c r="V10" s="13"/>
      <c r="X10" s="132">
        <v>8</v>
      </c>
      <c r="Y10" s="6"/>
    </row>
    <row r="11" spans="1:25" ht="15" customHeight="1" x14ac:dyDescent="0.2">
      <c r="A11" s="12" t="s">
        <v>5725</v>
      </c>
      <c r="B11" s="13" t="s">
        <v>4978</v>
      </c>
      <c r="C11" s="74">
        <v>46582</v>
      </c>
      <c r="D11" s="13" t="s">
        <v>1533</v>
      </c>
      <c r="E11" s="6" t="s">
        <v>8470</v>
      </c>
      <c r="F11" s="15" t="s">
        <v>5726</v>
      </c>
      <c r="G11" s="6" t="s">
        <v>5713</v>
      </c>
      <c r="H11" s="6" t="s">
        <v>5727</v>
      </c>
      <c r="I11" s="13" t="s">
        <v>2702</v>
      </c>
      <c r="J11" s="13">
        <v>11</v>
      </c>
      <c r="K11" s="13" t="s">
        <v>6603</v>
      </c>
      <c r="L11" s="6" t="s">
        <v>5733</v>
      </c>
      <c r="M11" s="108" t="s">
        <v>5728</v>
      </c>
      <c r="N11" s="13" t="s">
        <v>5729</v>
      </c>
      <c r="O11" s="13" t="s">
        <v>21</v>
      </c>
      <c r="P11" s="13" t="s">
        <v>9</v>
      </c>
      <c r="Q11" s="6" t="s">
        <v>5730</v>
      </c>
      <c r="R11" s="6" t="s">
        <v>22</v>
      </c>
      <c r="S11" s="17" t="s">
        <v>5731</v>
      </c>
      <c r="T11" s="18">
        <v>240</v>
      </c>
      <c r="U11" s="18">
        <v>240</v>
      </c>
      <c r="V11" s="13" t="s">
        <v>5732</v>
      </c>
      <c r="X11" s="132">
        <v>9</v>
      </c>
      <c r="Y11" s="6"/>
    </row>
    <row r="12" spans="1:25" ht="15" customHeight="1" x14ac:dyDescent="0.2">
      <c r="A12" s="20" t="s">
        <v>28</v>
      </c>
      <c r="B12" s="22" t="s">
        <v>2608</v>
      </c>
      <c r="C12" s="14">
        <v>43820</v>
      </c>
      <c r="D12" s="13" t="s">
        <v>1533</v>
      </c>
      <c r="E12" s="6" t="s">
        <v>11656</v>
      </c>
      <c r="G12" s="6" t="s">
        <v>30</v>
      </c>
      <c r="I12" s="13" t="s">
        <v>13</v>
      </c>
      <c r="K12" s="13"/>
      <c r="L12" s="6"/>
      <c r="M12" s="108"/>
      <c r="O12" s="13" t="s">
        <v>8</v>
      </c>
      <c r="P12" s="13" t="s">
        <v>9</v>
      </c>
      <c r="Q12" s="6"/>
      <c r="R12" s="6" t="s">
        <v>31</v>
      </c>
      <c r="T12" s="13"/>
      <c r="U12" s="13"/>
      <c r="V12" s="13"/>
      <c r="X12" s="132">
        <v>10</v>
      </c>
      <c r="Y12" s="6"/>
    </row>
    <row r="13" spans="1:25" ht="15" customHeight="1" x14ac:dyDescent="0.2">
      <c r="A13" s="12" t="s">
        <v>32</v>
      </c>
      <c r="B13" s="13" t="s">
        <v>4978</v>
      </c>
      <c r="C13" s="99">
        <v>46320</v>
      </c>
      <c r="D13" s="13" t="s">
        <v>33</v>
      </c>
      <c r="E13" s="6" t="s">
        <v>4384</v>
      </c>
      <c r="F13" s="15" t="s">
        <v>11685</v>
      </c>
      <c r="G13" s="6" t="s">
        <v>35</v>
      </c>
      <c r="I13" s="13" t="s">
        <v>25</v>
      </c>
      <c r="J13" s="13">
        <v>3</v>
      </c>
      <c r="K13" s="13" t="s">
        <v>1714</v>
      </c>
      <c r="L13" s="6" t="s">
        <v>4385</v>
      </c>
      <c r="M13" s="108" t="s">
        <v>4386</v>
      </c>
      <c r="N13" s="13" t="s">
        <v>2229</v>
      </c>
      <c r="O13" s="13" t="s">
        <v>36</v>
      </c>
      <c r="P13" s="13" t="s">
        <v>4</v>
      </c>
      <c r="Q13" s="6" t="s">
        <v>4387</v>
      </c>
      <c r="R13" s="17" t="s">
        <v>4388</v>
      </c>
      <c r="S13" s="17" t="s">
        <v>4389</v>
      </c>
      <c r="T13" s="13">
        <v>21</v>
      </c>
      <c r="U13" s="13">
        <v>17</v>
      </c>
      <c r="V13" s="13" t="s">
        <v>4390</v>
      </c>
      <c r="X13" s="132">
        <v>11</v>
      </c>
      <c r="Y13" s="6"/>
    </row>
    <row r="14" spans="1:25" ht="15" customHeight="1" x14ac:dyDescent="0.25">
      <c r="A14" s="12" t="s">
        <v>37</v>
      </c>
      <c r="B14" s="13" t="s">
        <v>4977</v>
      </c>
      <c r="C14" s="14">
        <v>46389</v>
      </c>
      <c r="D14" s="13" t="s">
        <v>1533</v>
      </c>
      <c r="E14" s="6" t="s">
        <v>4586</v>
      </c>
      <c r="F14" s="15" t="s">
        <v>8993</v>
      </c>
      <c r="G14" s="6" t="s">
        <v>40</v>
      </c>
      <c r="H14" s="6" t="s">
        <v>40</v>
      </c>
      <c r="I14" s="13" t="s">
        <v>39</v>
      </c>
      <c r="J14" s="13">
        <v>12</v>
      </c>
      <c r="K14" s="13" t="s">
        <v>1714</v>
      </c>
      <c r="L14" s="6" t="s">
        <v>4587</v>
      </c>
      <c r="M14" s="108" t="s">
        <v>4588</v>
      </c>
      <c r="N14" s="13" t="s">
        <v>4589</v>
      </c>
      <c r="O14" s="13" t="s">
        <v>8</v>
      </c>
      <c r="P14" s="13" t="s">
        <v>9</v>
      </c>
      <c r="Q14" s="6" t="s">
        <v>8873</v>
      </c>
      <c r="R14" s="69" t="s">
        <v>8994</v>
      </c>
      <c r="S14" s="17" t="s">
        <v>4590</v>
      </c>
      <c r="T14" s="13">
        <v>7000</v>
      </c>
      <c r="U14" s="13">
        <v>900</v>
      </c>
      <c r="V14" s="13" t="s">
        <v>4591</v>
      </c>
      <c r="X14" s="132">
        <v>12</v>
      </c>
      <c r="Y14" s="6"/>
    </row>
    <row r="15" spans="1:25" ht="15" customHeight="1" x14ac:dyDescent="0.2">
      <c r="A15" s="12" t="s">
        <v>41</v>
      </c>
      <c r="B15" s="13" t="s">
        <v>4978</v>
      </c>
      <c r="C15" s="74">
        <v>47268</v>
      </c>
      <c r="D15" s="13" t="s">
        <v>33</v>
      </c>
      <c r="E15" s="6" t="s">
        <v>9978</v>
      </c>
      <c r="F15" s="15" t="s">
        <v>9979</v>
      </c>
      <c r="G15" s="6" t="s">
        <v>9980</v>
      </c>
      <c r="H15" s="6" t="s">
        <v>9980</v>
      </c>
      <c r="I15" s="13" t="s">
        <v>25</v>
      </c>
      <c r="J15" s="13">
        <v>3</v>
      </c>
      <c r="K15" s="13" t="s">
        <v>1714</v>
      </c>
      <c r="L15" s="6" t="s">
        <v>2167</v>
      </c>
      <c r="M15" s="108" t="s">
        <v>2168</v>
      </c>
      <c r="N15" s="13" t="s">
        <v>2169</v>
      </c>
      <c r="O15" s="13" t="s">
        <v>8</v>
      </c>
      <c r="P15" s="13" t="s">
        <v>9</v>
      </c>
      <c r="Q15" s="6" t="s">
        <v>9981</v>
      </c>
      <c r="R15" s="6" t="s">
        <v>44</v>
      </c>
      <c r="T15" s="18">
        <v>20</v>
      </c>
      <c r="U15" s="13">
        <v>18</v>
      </c>
      <c r="V15" s="13" t="s">
        <v>9982</v>
      </c>
      <c r="X15" s="132">
        <v>13</v>
      </c>
      <c r="Y15" s="6"/>
    </row>
    <row r="16" spans="1:25" ht="15" customHeight="1" x14ac:dyDescent="0.2">
      <c r="A16" s="12" t="s">
        <v>45</v>
      </c>
      <c r="B16" s="13" t="s">
        <v>4978</v>
      </c>
      <c r="C16" s="74">
        <v>47315</v>
      </c>
      <c r="D16" s="13" t="s">
        <v>1533</v>
      </c>
      <c r="E16" s="6" t="s">
        <v>10308</v>
      </c>
      <c r="F16" s="15" t="s">
        <v>10309</v>
      </c>
      <c r="G16" s="6" t="s">
        <v>47</v>
      </c>
      <c r="H16" s="6" t="s">
        <v>47</v>
      </c>
      <c r="I16" s="13" t="s">
        <v>25</v>
      </c>
      <c r="J16" s="13">
        <v>6</v>
      </c>
      <c r="K16" s="13" t="s">
        <v>1714</v>
      </c>
      <c r="L16" s="6" t="s">
        <v>2295</v>
      </c>
      <c r="M16" s="108" t="s">
        <v>2292</v>
      </c>
      <c r="N16" s="13" t="s">
        <v>48</v>
      </c>
      <c r="O16" s="13" t="s">
        <v>48</v>
      </c>
      <c r="P16" s="13" t="s">
        <v>16</v>
      </c>
      <c r="Q16" s="6" t="s">
        <v>10310</v>
      </c>
      <c r="R16" s="17" t="s">
        <v>2294</v>
      </c>
      <c r="S16" s="17" t="s">
        <v>2293</v>
      </c>
      <c r="T16" s="13">
        <v>40</v>
      </c>
      <c r="U16" s="13">
        <v>35</v>
      </c>
      <c r="V16" s="13" t="s">
        <v>10311</v>
      </c>
      <c r="X16" s="132">
        <v>14</v>
      </c>
      <c r="Y16" s="6"/>
    </row>
    <row r="17" spans="1:25" ht="15" customHeight="1" x14ac:dyDescent="0.2">
      <c r="A17" s="12" t="s">
        <v>1536</v>
      </c>
      <c r="B17" s="13" t="s">
        <v>4978</v>
      </c>
      <c r="C17" s="100">
        <v>46980</v>
      </c>
      <c r="D17" s="24" t="s">
        <v>33</v>
      </c>
      <c r="E17" s="6" t="s">
        <v>7848</v>
      </c>
      <c r="F17" s="15" t="s">
        <v>51</v>
      </c>
      <c r="G17" s="6" t="s">
        <v>52</v>
      </c>
      <c r="H17" s="6" t="s">
        <v>52</v>
      </c>
      <c r="I17" s="13" t="s">
        <v>25</v>
      </c>
      <c r="J17" s="13">
        <v>3</v>
      </c>
      <c r="K17" s="13" t="s">
        <v>1714</v>
      </c>
      <c r="L17" s="6" t="s">
        <v>3966</v>
      </c>
      <c r="M17" s="108" t="s">
        <v>3967</v>
      </c>
      <c r="N17" s="13" t="s">
        <v>8</v>
      </c>
      <c r="O17" s="13" t="s">
        <v>8</v>
      </c>
      <c r="P17" s="13" t="s">
        <v>9</v>
      </c>
      <c r="Q17" s="6" t="s">
        <v>7849</v>
      </c>
      <c r="R17" s="25" t="s">
        <v>7850</v>
      </c>
      <c r="S17" s="6" t="s">
        <v>3968</v>
      </c>
      <c r="T17" s="13">
        <v>40</v>
      </c>
      <c r="U17" s="13">
        <v>37</v>
      </c>
      <c r="V17" s="26" t="s">
        <v>7851</v>
      </c>
      <c r="W17" s="13" t="s">
        <v>3969</v>
      </c>
      <c r="X17" s="132">
        <v>15</v>
      </c>
      <c r="Y17" s="6"/>
    </row>
    <row r="18" spans="1:25" ht="15" customHeight="1" x14ac:dyDescent="0.2">
      <c r="A18" s="12" t="s">
        <v>1537</v>
      </c>
      <c r="B18" s="13" t="s">
        <v>4977</v>
      </c>
      <c r="C18" s="14">
        <v>46359</v>
      </c>
      <c r="D18" s="13" t="s">
        <v>1533</v>
      </c>
      <c r="E18" s="6" t="s">
        <v>11657</v>
      </c>
      <c r="F18" s="15" t="s">
        <v>8503</v>
      </c>
      <c r="G18" s="6" t="s">
        <v>57</v>
      </c>
      <c r="H18" s="6" t="s">
        <v>57</v>
      </c>
      <c r="I18" s="13" t="s">
        <v>39</v>
      </c>
      <c r="J18" s="13">
        <v>12</v>
      </c>
      <c r="K18" s="13" t="s">
        <v>1714</v>
      </c>
      <c r="L18" s="6" t="s">
        <v>4416</v>
      </c>
      <c r="M18" s="108" t="s">
        <v>8504</v>
      </c>
      <c r="N18" s="13" t="s">
        <v>53</v>
      </c>
      <c r="O18" s="13" t="s">
        <v>53</v>
      </c>
      <c r="P18" s="13" t="s">
        <v>54</v>
      </c>
      <c r="Q18" s="6" t="s">
        <v>4417</v>
      </c>
      <c r="R18" s="17" t="s">
        <v>4418</v>
      </c>
      <c r="S18" s="17" t="s">
        <v>4419</v>
      </c>
      <c r="T18" s="27">
        <v>84000</v>
      </c>
      <c r="U18" s="27">
        <v>50000</v>
      </c>
      <c r="V18" s="13" t="s">
        <v>8502</v>
      </c>
      <c r="X18" s="132">
        <v>16</v>
      </c>
      <c r="Y18" s="6"/>
    </row>
    <row r="19" spans="1:25" ht="15" customHeight="1" x14ac:dyDescent="0.2">
      <c r="A19" s="12" t="s">
        <v>3695</v>
      </c>
      <c r="B19" s="24" t="s">
        <v>4978</v>
      </c>
      <c r="C19" s="14">
        <v>47642</v>
      </c>
      <c r="D19" s="13" t="s">
        <v>33</v>
      </c>
      <c r="E19" s="6" t="s">
        <v>11658</v>
      </c>
      <c r="F19" s="15" t="s">
        <v>11686</v>
      </c>
      <c r="G19" s="6" t="s">
        <v>60</v>
      </c>
      <c r="H19" s="6" t="s">
        <v>60</v>
      </c>
      <c r="I19" s="13" t="s">
        <v>25</v>
      </c>
      <c r="J19" s="13">
        <v>3</v>
      </c>
      <c r="K19" s="13" t="s">
        <v>1714</v>
      </c>
      <c r="L19" s="6" t="s">
        <v>3697</v>
      </c>
      <c r="M19" s="108" t="s">
        <v>5491</v>
      </c>
      <c r="N19" s="13" t="s">
        <v>2478</v>
      </c>
      <c r="O19" s="13" t="s">
        <v>61</v>
      </c>
      <c r="P19" s="13" t="s">
        <v>9</v>
      </c>
      <c r="Q19" s="6" t="s">
        <v>3698</v>
      </c>
      <c r="R19" s="17" t="s">
        <v>3699</v>
      </c>
      <c r="S19" s="17" t="s">
        <v>3700</v>
      </c>
      <c r="T19" s="13">
        <v>23</v>
      </c>
      <c r="U19" s="13">
        <v>18</v>
      </c>
      <c r="V19" s="13" t="s">
        <v>3701</v>
      </c>
      <c r="X19" s="132">
        <v>17</v>
      </c>
      <c r="Y19" s="6"/>
    </row>
    <row r="20" spans="1:25" ht="15" customHeight="1" x14ac:dyDescent="0.2">
      <c r="A20" s="20" t="s">
        <v>3696</v>
      </c>
      <c r="B20" s="21" t="s">
        <v>2608</v>
      </c>
      <c r="C20" s="14">
        <v>42471</v>
      </c>
      <c r="D20" s="13" t="s">
        <v>33</v>
      </c>
      <c r="E20" s="6" t="s">
        <v>11659</v>
      </c>
      <c r="G20" s="6" t="s">
        <v>60</v>
      </c>
      <c r="I20" s="13" t="s">
        <v>25</v>
      </c>
      <c r="J20" s="13">
        <v>3</v>
      </c>
      <c r="K20" s="13" t="s">
        <v>1714</v>
      </c>
      <c r="L20" s="6"/>
      <c r="M20" s="108"/>
      <c r="O20" s="13" t="s">
        <v>61</v>
      </c>
      <c r="P20" s="13" t="s">
        <v>9</v>
      </c>
      <c r="Q20" s="6"/>
      <c r="R20" s="6" t="s">
        <v>62</v>
      </c>
      <c r="T20" s="13"/>
      <c r="U20" s="13"/>
      <c r="V20" s="13"/>
      <c r="X20" s="132">
        <v>18</v>
      </c>
      <c r="Y20" s="6"/>
    </row>
    <row r="21" spans="1:25" ht="15" customHeight="1" x14ac:dyDescent="0.2">
      <c r="A21" s="12" t="s">
        <v>1538</v>
      </c>
      <c r="B21" s="13" t="s">
        <v>4977</v>
      </c>
      <c r="C21" s="14">
        <v>46478</v>
      </c>
      <c r="D21" s="13" t="s">
        <v>33</v>
      </c>
      <c r="E21" s="6" t="s">
        <v>9662</v>
      </c>
      <c r="F21" s="15" t="s">
        <v>9663</v>
      </c>
      <c r="G21" s="6" t="s">
        <v>66</v>
      </c>
      <c r="H21" s="6" t="s">
        <v>66</v>
      </c>
      <c r="I21" s="13" t="s">
        <v>25</v>
      </c>
      <c r="J21" s="13">
        <v>3</v>
      </c>
      <c r="K21" s="13" t="s">
        <v>1714</v>
      </c>
      <c r="L21" s="6" t="s">
        <v>5062</v>
      </c>
      <c r="M21" s="108" t="s">
        <v>5061</v>
      </c>
      <c r="N21" s="13" t="s">
        <v>67</v>
      </c>
      <c r="O21" s="13" t="s">
        <v>9664</v>
      </c>
      <c r="P21" s="13" t="s">
        <v>68</v>
      </c>
      <c r="Q21" s="6" t="s">
        <v>9665</v>
      </c>
      <c r="R21" s="6" t="s">
        <v>69</v>
      </c>
      <c r="S21" s="17" t="s">
        <v>5059</v>
      </c>
      <c r="T21" s="13">
        <v>26</v>
      </c>
      <c r="U21" s="13">
        <v>21</v>
      </c>
      <c r="V21" s="13" t="s">
        <v>5060</v>
      </c>
      <c r="X21" s="132">
        <v>19</v>
      </c>
      <c r="Y21" s="6"/>
    </row>
    <row r="22" spans="1:25" ht="15" customHeight="1" x14ac:dyDescent="0.2">
      <c r="A22" s="20" t="s">
        <v>1539</v>
      </c>
      <c r="B22" s="22" t="s">
        <v>2608</v>
      </c>
      <c r="C22" s="14">
        <v>45186</v>
      </c>
      <c r="D22" s="13" t="s">
        <v>33</v>
      </c>
      <c r="E22" s="6" t="s">
        <v>11660</v>
      </c>
      <c r="G22" s="6" t="s">
        <v>72</v>
      </c>
      <c r="I22" s="13" t="s">
        <v>25</v>
      </c>
      <c r="J22" s="13">
        <v>3</v>
      </c>
      <c r="K22" s="13" t="s">
        <v>1714</v>
      </c>
      <c r="L22" s="6"/>
      <c r="M22" s="108"/>
      <c r="O22" s="13" t="s">
        <v>2085</v>
      </c>
      <c r="P22" s="13" t="s">
        <v>68</v>
      </c>
      <c r="Q22" s="6"/>
      <c r="R22" s="6" t="s">
        <v>73</v>
      </c>
      <c r="T22" s="13"/>
      <c r="U22" s="13"/>
      <c r="V22" s="13"/>
      <c r="X22" s="132">
        <v>20</v>
      </c>
      <c r="Y22" s="6"/>
    </row>
    <row r="23" spans="1:25" ht="15" customHeight="1" x14ac:dyDescent="0.25">
      <c r="A23" s="12" t="s">
        <v>74</v>
      </c>
      <c r="B23" s="13" t="s">
        <v>4978</v>
      </c>
      <c r="C23" s="74">
        <v>47615</v>
      </c>
      <c r="D23" s="13" t="s">
        <v>33</v>
      </c>
      <c r="E23" s="6" t="s">
        <v>3428</v>
      </c>
      <c r="F23" s="15" t="s">
        <v>11556</v>
      </c>
      <c r="G23" s="6" t="s">
        <v>76</v>
      </c>
      <c r="H23" s="6" t="s">
        <v>76</v>
      </c>
      <c r="I23" s="13" t="s">
        <v>25</v>
      </c>
      <c r="J23" s="13">
        <v>3</v>
      </c>
      <c r="K23" s="13" t="s">
        <v>1714</v>
      </c>
      <c r="L23" s="6" t="s">
        <v>3429</v>
      </c>
      <c r="M23" s="108" t="s">
        <v>11316</v>
      </c>
      <c r="N23" s="13" t="s">
        <v>2229</v>
      </c>
      <c r="O23" s="13" t="s">
        <v>36</v>
      </c>
      <c r="P23" s="13" t="s">
        <v>4</v>
      </c>
      <c r="Q23" s="6" t="s">
        <v>3430</v>
      </c>
      <c r="R23" s="69" t="s">
        <v>11317</v>
      </c>
      <c r="S23" s="17" t="s">
        <v>3253</v>
      </c>
      <c r="T23" s="13">
        <v>30</v>
      </c>
      <c r="U23" s="13">
        <v>26</v>
      </c>
      <c r="V23" s="13" t="s">
        <v>3431</v>
      </c>
      <c r="X23" s="132">
        <v>21</v>
      </c>
      <c r="Y23" s="6"/>
    </row>
    <row r="24" spans="1:25" ht="15" customHeight="1" x14ac:dyDescent="0.25">
      <c r="A24" s="12" t="s">
        <v>77</v>
      </c>
      <c r="B24" s="13" t="s">
        <v>4978</v>
      </c>
      <c r="C24" s="74">
        <v>47026</v>
      </c>
      <c r="D24" s="13" t="s">
        <v>33</v>
      </c>
      <c r="E24" s="6" t="s">
        <v>11661</v>
      </c>
      <c r="F24" s="15" t="s">
        <v>8176</v>
      </c>
      <c r="G24" s="6" t="s">
        <v>76</v>
      </c>
      <c r="H24" s="6" t="s">
        <v>79</v>
      </c>
      <c r="I24" s="13" t="s">
        <v>25</v>
      </c>
      <c r="J24" s="13">
        <v>3</v>
      </c>
      <c r="K24" s="13" t="s">
        <v>1714</v>
      </c>
      <c r="L24" s="6" t="s">
        <v>8177</v>
      </c>
      <c r="M24" s="108" t="s">
        <v>8178</v>
      </c>
      <c r="N24" s="13" t="s">
        <v>2776</v>
      </c>
      <c r="O24" s="13" t="s">
        <v>136</v>
      </c>
      <c r="P24" s="13" t="s">
        <v>4</v>
      </c>
      <c r="Q24" s="6" t="s">
        <v>8179</v>
      </c>
      <c r="R24" s="6" t="s">
        <v>80</v>
      </c>
      <c r="S24" s="69" t="s">
        <v>8180</v>
      </c>
      <c r="T24" s="13">
        <v>30</v>
      </c>
      <c r="U24" s="13">
        <v>26</v>
      </c>
      <c r="V24" s="13" t="s">
        <v>8181</v>
      </c>
      <c r="X24" s="132">
        <v>22</v>
      </c>
      <c r="Y24" s="6"/>
    </row>
    <row r="25" spans="1:25" ht="15" customHeight="1" x14ac:dyDescent="0.2">
      <c r="A25" s="12" t="s">
        <v>1540</v>
      </c>
      <c r="B25" s="13" t="s">
        <v>4978</v>
      </c>
      <c r="C25" s="74">
        <v>46848</v>
      </c>
      <c r="D25" s="13" t="s">
        <v>33</v>
      </c>
      <c r="E25" s="6" t="s">
        <v>7038</v>
      </c>
      <c r="G25" s="6" t="s">
        <v>83</v>
      </c>
      <c r="H25" s="6" t="s">
        <v>83</v>
      </c>
      <c r="I25" s="13" t="s">
        <v>25</v>
      </c>
      <c r="J25" s="13">
        <v>3</v>
      </c>
      <c r="K25" s="13" t="s">
        <v>1714</v>
      </c>
      <c r="L25" s="6" t="s">
        <v>7044</v>
      </c>
      <c r="M25" s="108" t="s">
        <v>7045</v>
      </c>
      <c r="N25" s="13" t="s">
        <v>2123</v>
      </c>
      <c r="O25" s="13" t="s">
        <v>15</v>
      </c>
      <c r="P25" s="13" t="s">
        <v>16</v>
      </c>
      <c r="Q25" s="6" t="s">
        <v>7046</v>
      </c>
      <c r="R25" s="17" t="s">
        <v>1716</v>
      </c>
      <c r="T25" s="13">
        <v>23</v>
      </c>
      <c r="U25" s="13">
        <v>21</v>
      </c>
      <c r="V25" s="13" t="s">
        <v>7047</v>
      </c>
      <c r="X25" s="132">
        <v>23</v>
      </c>
      <c r="Y25" s="6"/>
    </row>
    <row r="26" spans="1:25" ht="15" customHeight="1" x14ac:dyDescent="0.2">
      <c r="A26" s="20" t="s">
        <v>1541</v>
      </c>
      <c r="B26" s="22" t="s">
        <v>2608</v>
      </c>
      <c r="C26" s="14">
        <v>44786</v>
      </c>
      <c r="D26" s="13" t="s">
        <v>33</v>
      </c>
      <c r="E26" s="6" t="s">
        <v>11662</v>
      </c>
      <c r="G26" s="6" t="s">
        <v>86</v>
      </c>
      <c r="I26" s="13" t="s">
        <v>25</v>
      </c>
      <c r="J26" s="13">
        <v>3</v>
      </c>
      <c r="K26" s="13" t="s">
        <v>1714</v>
      </c>
      <c r="L26" s="6"/>
      <c r="M26" s="108"/>
      <c r="O26" s="13" t="s">
        <v>61</v>
      </c>
      <c r="P26" s="13" t="s">
        <v>9</v>
      </c>
      <c r="Q26" s="6"/>
      <c r="R26" s="6" t="s">
        <v>87</v>
      </c>
      <c r="T26" s="13"/>
      <c r="U26" s="13"/>
      <c r="V26" s="13"/>
      <c r="X26" s="132">
        <v>24</v>
      </c>
      <c r="Y26" s="6"/>
    </row>
    <row r="27" spans="1:25" ht="15" customHeight="1" x14ac:dyDescent="0.2">
      <c r="A27" s="20" t="s">
        <v>1542</v>
      </c>
      <c r="B27" s="22" t="s">
        <v>2608</v>
      </c>
      <c r="C27" s="14">
        <v>44844</v>
      </c>
      <c r="D27" s="13" t="s">
        <v>33</v>
      </c>
      <c r="E27" s="6" t="s">
        <v>11663</v>
      </c>
      <c r="G27" s="6" t="s">
        <v>90</v>
      </c>
      <c r="I27" s="13" t="s">
        <v>25</v>
      </c>
      <c r="J27" s="13">
        <v>3</v>
      </c>
      <c r="K27" s="13" t="s">
        <v>1714</v>
      </c>
      <c r="L27" s="6" t="s">
        <v>7740</v>
      </c>
      <c r="M27" s="110" t="s">
        <v>3337</v>
      </c>
      <c r="N27" s="24" t="s">
        <v>3338</v>
      </c>
      <c r="O27" s="13" t="s">
        <v>1055</v>
      </c>
      <c r="P27" s="13" t="s">
        <v>16</v>
      </c>
      <c r="Q27" s="28" t="s">
        <v>7741</v>
      </c>
      <c r="R27" s="6" t="s">
        <v>91</v>
      </c>
      <c r="T27" s="13"/>
      <c r="U27" s="13"/>
      <c r="V27" s="13"/>
      <c r="X27" s="132">
        <v>25</v>
      </c>
      <c r="Y27" s="6"/>
    </row>
    <row r="28" spans="1:25" ht="15" customHeight="1" x14ac:dyDescent="0.2">
      <c r="A28" s="20" t="s">
        <v>1542</v>
      </c>
      <c r="B28" s="22" t="s">
        <v>2608</v>
      </c>
      <c r="C28" s="14">
        <v>42582</v>
      </c>
      <c r="D28" s="13" t="s">
        <v>33</v>
      </c>
      <c r="E28" s="6" t="s">
        <v>11664</v>
      </c>
      <c r="G28" s="6" t="s">
        <v>93</v>
      </c>
      <c r="I28" s="13" t="s">
        <v>25</v>
      </c>
      <c r="J28" s="13">
        <v>3</v>
      </c>
      <c r="K28" s="13" t="s">
        <v>1714</v>
      </c>
      <c r="L28" s="6"/>
      <c r="M28" s="108"/>
      <c r="N28" s="24" t="s">
        <v>3338</v>
      </c>
      <c r="O28" s="13" t="s">
        <v>1055</v>
      </c>
      <c r="P28" s="13" t="s">
        <v>16</v>
      </c>
      <c r="Q28" s="29" t="s">
        <v>7742</v>
      </c>
      <c r="R28" s="6" t="s">
        <v>91</v>
      </c>
      <c r="T28" s="13"/>
      <c r="U28" s="13"/>
      <c r="V28" s="13"/>
      <c r="X28" s="132">
        <v>26</v>
      </c>
      <c r="Y28" s="6"/>
    </row>
    <row r="29" spans="1:25" ht="15" customHeight="1" x14ac:dyDescent="0.2">
      <c r="A29" s="12" t="s">
        <v>1543</v>
      </c>
      <c r="B29" s="13" t="s">
        <v>4978</v>
      </c>
      <c r="C29" s="74">
        <v>46617</v>
      </c>
      <c r="D29" s="13" t="s">
        <v>33</v>
      </c>
      <c r="E29" s="6" t="s">
        <v>5803</v>
      </c>
      <c r="G29" s="6" t="s">
        <v>96</v>
      </c>
      <c r="H29" s="6" t="s">
        <v>96</v>
      </c>
      <c r="I29" s="13" t="s">
        <v>25</v>
      </c>
      <c r="J29" s="13">
        <v>3</v>
      </c>
      <c r="K29" s="13" t="s">
        <v>1714</v>
      </c>
      <c r="L29" s="6" t="s">
        <v>5804</v>
      </c>
      <c r="M29" s="108" t="s">
        <v>5805</v>
      </c>
      <c r="N29" s="13" t="s">
        <v>5806</v>
      </c>
      <c r="O29" s="13" t="s">
        <v>97</v>
      </c>
      <c r="P29" s="13" t="s">
        <v>4</v>
      </c>
      <c r="Q29" s="6" t="s">
        <v>5807</v>
      </c>
      <c r="R29" s="17" t="s">
        <v>5808</v>
      </c>
      <c r="T29" s="13">
        <v>15</v>
      </c>
      <c r="U29" s="13">
        <v>10</v>
      </c>
      <c r="V29" s="13" t="s">
        <v>5809</v>
      </c>
      <c r="X29" s="132">
        <v>27</v>
      </c>
      <c r="Y29" s="6"/>
    </row>
    <row r="30" spans="1:25" ht="15" customHeight="1" x14ac:dyDescent="0.2">
      <c r="A30" s="12" t="s">
        <v>1544</v>
      </c>
      <c r="B30" s="13" t="s">
        <v>4978</v>
      </c>
      <c r="C30" s="74">
        <v>46238</v>
      </c>
      <c r="D30" s="13" t="s">
        <v>1533</v>
      </c>
      <c r="E30" s="6" t="s">
        <v>4187</v>
      </c>
      <c r="F30" s="15" t="s">
        <v>11687</v>
      </c>
      <c r="G30" s="6" t="s">
        <v>7353</v>
      </c>
      <c r="H30" s="6" t="s">
        <v>100</v>
      </c>
      <c r="I30" s="13" t="s">
        <v>25</v>
      </c>
      <c r="J30" s="13">
        <v>5</v>
      </c>
      <c r="K30" s="13" t="s">
        <v>6603</v>
      </c>
      <c r="L30" s="6" t="s">
        <v>4194</v>
      </c>
      <c r="M30" s="108" t="s">
        <v>4195</v>
      </c>
      <c r="N30" s="13" t="s">
        <v>4196</v>
      </c>
      <c r="O30" s="13" t="s">
        <v>15</v>
      </c>
      <c r="P30" s="13" t="s">
        <v>16</v>
      </c>
      <c r="Q30" s="6" t="s">
        <v>4197</v>
      </c>
      <c r="R30" s="17" t="s">
        <v>7358</v>
      </c>
      <c r="S30" s="6" t="s">
        <v>101</v>
      </c>
      <c r="T30" s="13">
        <v>60</v>
      </c>
      <c r="U30" s="13">
        <v>53</v>
      </c>
      <c r="V30" s="13" t="s">
        <v>4193</v>
      </c>
      <c r="X30" s="132">
        <v>28</v>
      </c>
      <c r="Y30" s="6"/>
    </row>
    <row r="31" spans="1:25" ht="15" customHeight="1" x14ac:dyDescent="0.2">
      <c r="A31" s="12" t="s">
        <v>1545</v>
      </c>
      <c r="B31" s="13" t="s">
        <v>4978</v>
      </c>
      <c r="C31" s="74">
        <v>46238</v>
      </c>
      <c r="D31" s="13" t="s">
        <v>1533</v>
      </c>
      <c r="E31" s="6" t="s">
        <v>4187</v>
      </c>
      <c r="F31" s="15" t="s">
        <v>11688</v>
      </c>
      <c r="G31" s="6" t="s">
        <v>7353</v>
      </c>
      <c r="H31" s="6" t="s">
        <v>4198</v>
      </c>
      <c r="I31" s="13" t="s">
        <v>25</v>
      </c>
      <c r="J31" s="13">
        <v>5</v>
      </c>
      <c r="K31" s="13" t="s">
        <v>6603</v>
      </c>
      <c r="L31" s="6" t="s">
        <v>4199</v>
      </c>
      <c r="M31" s="108" t="s">
        <v>4202</v>
      </c>
      <c r="N31" s="13" t="s">
        <v>4200</v>
      </c>
      <c r="O31" s="13" t="s">
        <v>2146</v>
      </c>
      <c r="P31" s="13" t="s">
        <v>68</v>
      </c>
      <c r="Q31" s="6" t="s">
        <v>4201</v>
      </c>
      <c r="S31" s="6" t="s">
        <v>101</v>
      </c>
      <c r="T31" s="13">
        <v>30</v>
      </c>
      <c r="U31" s="13">
        <v>30</v>
      </c>
      <c r="V31" s="13" t="s">
        <v>4193</v>
      </c>
      <c r="X31" s="132">
        <v>29</v>
      </c>
      <c r="Y31" s="6"/>
    </row>
    <row r="32" spans="1:25" ht="15" customHeight="1" x14ac:dyDescent="0.2">
      <c r="A32" s="20" t="s">
        <v>1546</v>
      </c>
      <c r="B32" s="22" t="s">
        <v>2608</v>
      </c>
      <c r="C32" s="14">
        <v>43906</v>
      </c>
      <c r="D32" s="13" t="s">
        <v>1533</v>
      </c>
      <c r="E32" s="6" t="s">
        <v>11665</v>
      </c>
      <c r="F32" s="15" t="s">
        <v>11689</v>
      </c>
      <c r="G32" s="6" t="s">
        <v>7353</v>
      </c>
      <c r="H32" s="6" t="s">
        <v>106</v>
      </c>
      <c r="I32" s="13" t="s">
        <v>105</v>
      </c>
      <c r="J32" s="13">
        <v>10</v>
      </c>
      <c r="K32" s="13" t="s">
        <v>6603</v>
      </c>
      <c r="L32" s="6"/>
      <c r="M32" s="108"/>
      <c r="O32" s="13" t="s">
        <v>53</v>
      </c>
      <c r="P32" s="13" t="s">
        <v>54</v>
      </c>
      <c r="Q32" s="6"/>
      <c r="S32" s="6" t="s">
        <v>101</v>
      </c>
      <c r="T32" s="13"/>
      <c r="U32" s="13"/>
      <c r="V32" s="13"/>
      <c r="X32" s="132">
        <v>30</v>
      </c>
      <c r="Y32" s="6"/>
    </row>
    <row r="33" spans="1:25" ht="15" customHeight="1" x14ac:dyDescent="0.2">
      <c r="A33" s="12" t="s">
        <v>1547</v>
      </c>
      <c r="B33" s="13" t="s">
        <v>4978</v>
      </c>
      <c r="C33" s="74">
        <v>46238</v>
      </c>
      <c r="D33" s="13" t="s">
        <v>1533</v>
      </c>
      <c r="E33" s="6" t="s">
        <v>4187</v>
      </c>
      <c r="F33" s="15" t="s">
        <v>4188</v>
      </c>
      <c r="G33" s="6" t="s">
        <v>7353</v>
      </c>
      <c r="H33" s="6" t="s">
        <v>108</v>
      </c>
      <c r="I33" s="13" t="s">
        <v>13</v>
      </c>
      <c r="J33" s="13">
        <v>7</v>
      </c>
      <c r="K33" s="13" t="s">
        <v>6603</v>
      </c>
      <c r="L33" s="6" t="s">
        <v>4189</v>
      </c>
      <c r="M33" s="108" t="s">
        <v>4190</v>
      </c>
      <c r="N33" s="13" t="s">
        <v>4191</v>
      </c>
      <c r="O33" s="13" t="s">
        <v>53</v>
      </c>
      <c r="P33" s="13" t="s">
        <v>54</v>
      </c>
      <c r="Q33" s="6" t="s">
        <v>4192</v>
      </c>
      <c r="S33" s="6" t="s">
        <v>101</v>
      </c>
      <c r="T33" s="13">
        <v>400</v>
      </c>
      <c r="U33" s="13">
        <v>524</v>
      </c>
      <c r="V33" s="13" t="s">
        <v>4193</v>
      </c>
      <c r="X33" s="132">
        <v>31</v>
      </c>
      <c r="Y33" s="6"/>
    </row>
    <row r="34" spans="1:25" ht="15" customHeight="1" x14ac:dyDescent="0.2">
      <c r="A34" s="12" t="s">
        <v>7350</v>
      </c>
      <c r="B34" s="13" t="s">
        <v>4978</v>
      </c>
      <c r="C34" s="74">
        <v>46889</v>
      </c>
      <c r="D34" s="13" t="s">
        <v>1533</v>
      </c>
      <c r="E34" s="6" t="s">
        <v>4187</v>
      </c>
      <c r="F34" s="15" t="s">
        <v>7351</v>
      </c>
      <c r="G34" s="6" t="s">
        <v>7353</v>
      </c>
      <c r="H34" s="6" t="s">
        <v>7352</v>
      </c>
      <c r="I34" s="13" t="s">
        <v>25</v>
      </c>
      <c r="J34" s="13">
        <v>5</v>
      </c>
      <c r="K34" s="13" t="s">
        <v>6603</v>
      </c>
      <c r="L34" s="6" t="s">
        <v>7354</v>
      </c>
      <c r="M34" s="108" t="s">
        <v>7356</v>
      </c>
      <c r="N34" s="13" t="s">
        <v>15</v>
      </c>
      <c r="O34" s="13" t="s">
        <v>15</v>
      </c>
      <c r="P34" s="13" t="s">
        <v>16</v>
      </c>
      <c r="Q34" s="6" t="s">
        <v>7355</v>
      </c>
      <c r="R34" s="17" t="s">
        <v>7358</v>
      </c>
      <c r="S34" s="6" t="s">
        <v>101</v>
      </c>
      <c r="T34" s="18">
        <v>30</v>
      </c>
      <c r="U34" s="18">
        <v>30</v>
      </c>
      <c r="V34" s="13" t="s">
        <v>7357</v>
      </c>
      <c r="X34" s="132">
        <v>32</v>
      </c>
      <c r="Y34" s="6"/>
    </row>
    <row r="35" spans="1:25" ht="15" customHeight="1" x14ac:dyDescent="0.25">
      <c r="A35" s="12" t="s">
        <v>10051</v>
      </c>
      <c r="B35" s="13" t="s">
        <v>4978</v>
      </c>
      <c r="C35" s="74">
        <v>47268</v>
      </c>
      <c r="D35" s="13" t="s">
        <v>1533</v>
      </c>
      <c r="E35" s="6" t="s">
        <v>4187</v>
      </c>
      <c r="F35" s="15" t="s">
        <v>10052</v>
      </c>
      <c r="G35" s="6" t="s">
        <v>7353</v>
      </c>
      <c r="H35" s="6" t="s">
        <v>7353</v>
      </c>
      <c r="I35" s="13" t="s">
        <v>105</v>
      </c>
      <c r="J35" s="13">
        <v>10</v>
      </c>
      <c r="K35" s="13" t="s">
        <v>6603</v>
      </c>
      <c r="L35" s="6" t="s">
        <v>10053</v>
      </c>
      <c r="M35" s="108" t="s">
        <v>7123</v>
      </c>
      <c r="N35" s="13" t="s">
        <v>3237</v>
      </c>
      <c r="O35" s="13" t="s">
        <v>11948</v>
      </c>
      <c r="P35" s="13" t="s">
        <v>68</v>
      </c>
      <c r="Q35" s="6" t="s">
        <v>10054</v>
      </c>
      <c r="R35" s="69" t="s">
        <v>10055</v>
      </c>
      <c r="S35" s="69" t="s">
        <v>10056</v>
      </c>
      <c r="T35" s="18">
        <v>60</v>
      </c>
      <c r="U35" s="18">
        <v>60</v>
      </c>
      <c r="V35" s="13" t="s">
        <v>10057</v>
      </c>
      <c r="X35" s="132">
        <v>33</v>
      </c>
      <c r="Y35" s="6"/>
    </row>
    <row r="36" spans="1:25" ht="15" customHeight="1" x14ac:dyDescent="0.2">
      <c r="A36" s="19" t="s">
        <v>1548</v>
      </c>
      <c r="B36" s="24" t="s">
        <v>4977</v>
      </c>
      <c r="C36" s="23">
        <v>46512</v>
      </c>
      <c r="D36" s="13" t="s">
        <v>1533</v>
      </c>
      <c r="E36" s="6" t="s">
        <v>9818</v>
      </c>
      <c r="F36" s="15" t="s">
        <v>9823</v>
      </c>
      <c r="G36" s="6" t="s">
        <v>111</v>
      </c>
      <c r="H36" s="6" t="s">
        <v>111</v>
      </c>
      <c r="I36" s="13" t="s">
        <v>13</v>
      </c>
      <c r="J36" s="13">
        <v>8</v>
      </c>
      <c r="K36" s="13" t="s">
        <v>1714</v>
      </c>
      <c r="L36" s="6" t="s">
        <v>5367</v>
      </c>
      <c r="M36" s="108" t="s">
        <v>5368</v>
      </c>
      <c r="N36" s="13" t="s">
        <v>2187</v>
      </c>
      <c r="O36" s="13" t="s">
        <v>53</v>
      </c>
      <c r="P36" s="13" t="s">
        <v>54</v>
      </c>
      <c r="Q36" s="6" t="s">
        <v>5369</v>
      </c>
      <c r="R36" s="6" t="s">
        <v>112</v>
      </c>
      <c r="S36" s="17" t="s">
        <v>5370</v>
      </c>
      <c r="T36" s="13">
        <v>80</v>
      </c>
      <c r="U36" s="13">
        <v>330</v>
      </c>
      <c r="V36" s="13" t="s">
        <v>5371</v>
      </c>
      <c r="X36" s="132">
        <v>34</v>
      </c>
      <c r="Y36" s="6"/>
    </row>
    <row r="37" spans="1:25" ht="15" customHeight="1" x14ac:dyDescent="0.2">
      <c r="A37" s="12" t="s">
        <v>1549</v>
      </c>
      <c r="B37" s="13" t="s">
        <v>4978</v>
      </c>
      <c r="C37" s="74">
        <v>46477</v>
      </c>
      <c r="D37" s="13" t="s">
        <v>33</v>
      </c>
      <c r="E37" s="41" t="s">
        <v>11666</v>
      </c>
      <c r="F37" s="15" t="s">
        <v>11690</v>
      </c>
      <c r="G37" s="6" t="s">
        <v>115</v>
      </c>
      <c r="H37" s="6" t="s">
        <v>115</v>
      </c>
      <c r="I37" s="13" t="s">
        <v>25</v>
      </c>
      <c r="J37" s="13">
        <v>3</v>
      </c>
      <c r="K37" s="13" t="s">
        <v>1714</v>
      </c>
      <c r="L37" s="6" t="s">
        <v>5090</v>
      </c>
      <c r="M37" s="108" t="s">
        <v>5091</v>
      </c>
      <c r="N37" s="13" t="s">
        <v>2357</v>
      </c>
      <c r="O37" s="13" t="s">
        <v>2146</v>
      </c>
      <c r="P37" s="13" t="s">
        <v>68</v>
      </c>
      <c r="Q37" s="6" t="s">
        <v>5092</v>
      </c>
      <c r="R37" s="6" t="s">
        <v>116</v>
      </c>
      <c r="T37" s="13">
        <v>28</v>
      </c>
      <c r="U37" s="13">
        <v>19</v>
      </c>
      <c r="V37" s="13" t="s">
        <v>5093</v>
      </c>
      <c r="X37" s="132">
        <v>35</v>
      </c>
      <c r="Y37" s="6"/>
    </row>
    <row r="38" spans="1:25" ht="15" customHeight="1" x14ac:dyDescent="0.2">
      <c r="A38" s="12" t="s">
        <v>1550</v>
      </c>
      <c r="B38" s="13" t="s">
        <v>4978</v>
      </c>
      <c r="C38" s="74" t="s">
        <v>6469</v>
      </c>
      <c r="D38" s="13" t="s">
        <v>1533</v>
      </c>
      <c r="E38" s="6" t="s">
        <v>6327</v>
      </c>
      <c r="F38" s="15" t="s">
        <v>6335</v>
      </c>
      <c r="G38" s="6" t="s">
        <v>119</v>
      </c>
      <c r="H38" s="6" t="s">
        <v>6328</v>
      </c>
      <c r="I38" s="13" t="s">
        <v>25</v>
      </c>
      <c r="J38" s="13">
        <v>6</v>
      </c>
      <c r="K38" s="13" t="s">
        <v>1714</v>
      </c>
      <c r="L38" s="6" t="s">
        <v>6329</v>
      </c>
      <c r="M38" s="108" t="s">
        <v>6330</v>
      </c>
      <c r="N38" s="13" t="s">
        <v>6331</v>
      </c>
      <c r="O38" s="13" t="s">
        <v>2146</v>
      </c>
      <c r="P38" s="13" t="s">
        <v>68</v>
      </c>
      <c r="Q38" s="6" t="s">
        <v>6333</v>
      </c>
      <c r="R38" s="6" t="s">
        <v>120</v>
      </c>
      <c r="S38" s="17" t="s">
        <v>6332</v>
      </c>
      <c r="T38" s="13">
        <v>80</v>
      </c>
      <c r="U38" s="13">
        <v>80</v>
      </c>
      <c r="V38" s="13" t="s">
        <v>6334</v>
      </c>
      <c r="X38" s="132">
        <v>36</v>
      </c>
      <c r="Y38" s="6"/>
    </row>
    <row r="39" spans="1:25" ht="15" customHeight="1" x14ac:dyDescent="0.2">
      <c r="A39" s="12" t="s">
        <v>1551</v>
      </c>
      <c r="B39" s="13" t="s">
        <v>4978</v>
      </c>
      <c r="C39" s="74">
        <v>46826</v>
      </c>
      <c r="D39" s="13" t="s">
        <v>33</v>
      </c>
      <c r="E39" s="6" t="s">
        <v>7020</v>
      </c>
      <c r="F39" s="15" t="s">
        <v>7021</v>
      </c>
      <c r="G39" s="6" t="s">
        <v>123</v>
      </c>
      <c r="H39" s="6" t="s">
        <v>123</v>
      </c>
      <c r="I39" s="13" t="s">
        <v>25</v>
      </c>
      <c r="J39" s="13">
        <v>3</v>
      </c>
      <c r="K39" s="13" t="s">
        <v>1714</v>
      </c>
      <c r="L39" s="6" t="s">
        <v>7022</v>
      </c>
      <c r="M39" s="108" t="s">
        <v>6358</v>
      </c>
      <c r="N39" s="13" t="s">
        <v>61</v>
      </c>
      <c r="O39" s="13" t="s">
        <v>61</v>
      </c>
      <c r="P39" s="13" t="s">
        <v>9</v>
      </c>
      <c r="Q39" s="6" t="s">
        <v>7023</v>
      </c>
      <c r="R39" s="6" t="s">
        <v>124</v>
      </c>
      <c r="S39" s="17" t="s">
        <v>7024</v>
      </c>
      <c r="T39" s="13">
        <v>27</v>
      </c>
      <c r="U39" s="13">
        <v>24</v>
      </c>
      <c r="V39" s="13"/>
      <c r="X39" s="132">
        <v>37</v>
      </c>
      <c r="Y39" s="6"/>
    </row>
    <row r="40" spans="1:25" ht="15" customHeight="1" x14ac:dyDescent="0.2">
      <c r="A40" s="12" t="s">
        <v>1552</v>
      </c>
      <c r="B40" s="13" t="s">
        <v>4977</v>
      </c>
      <c r="C40" s="14">
        <v>46249</v>
      </c>
      <c r="D40" s="13" t="s">
        <v>1533</v>
      </c>
      <c r="E40" s="6" t="s">
        <v>7852</v>
      </c>
      <c r="F40" s="15" t="s">
        <v>7853</v>
      </c>
      <c r="G40" s="6" t="s">
        <v>127</v>
      </c>
      <c r="H40" s="6" t="s">
        <v>127</v>
      </c>
      <c r="I40" s="13" t="s">
        <v>25</v>
      </c>
      <c r="J40" s="13">
        <v>6</v>
      </c>
      <c r="K40" s="13" t="s">
        <v>1714</v>
      </c>
      <c r="L40" s="6" t="s">
        <v>3702</v>
      </c>
      <c r="M40" s="108" t="s">
        <v>7854</v>
      </c>
      <c r="N40" s="13" t="s">
        <v>3703</v>
      </c>
      <c r="O40" s="13" t="s">
        <v>128</v>
      </c>
      <c r="P40" s="13" t="s">
        <v>16</v>
      </c>
      <c r="Q40" s="6" t="s">
        <v>7855</v>
      </c>
      <c r="R40" s="6" t="s">
        <v>7856</v>
      </c>
      <c r="S40" s="17" t="s">
        <v>3704</v>
      </c>
      <c r="T40" s="13">
        <v>20</v>
      </c>
      <c r="U40" s="13">
        <v>10</v>
      </c>
      <c r="V40" s="13" t="s">
        <v>3705</v>
      </c>
      <c r="X40" s="132">
        <v>38</v>
      </c>
      <c r="Y40" s="6"/>
    </row>
    <row r="41" spans="1:25" ht="15" customHeight="1" x14ac:dyDescent="0.25">
      <c r="A41" s="12" t="s">
        <v>1553</v>
      </c>
      <c r="B41" s="13" t="s">
        <v>4978</v>
      </c>
      <c r="C41" s="74">
        <v>47026</v>
      </c>
      <c r="D41" s="13" t="s">
        <v>1533</v>
      </c>
      <c r="E41" s="6" t="s">
        <v>11667</v>
      </c>
      <c r="F41" s="15" t="s">
        <v>11691</v>
      </c>
      <c r="G41" s="6" t="s">
        <v>8144</v>
      </c>
      <c r="H41" s="6" t="s">
        <v>131</v>
      </c>
      <c r="I41" s="13" t="s">
        <v>25</v>
      </c>
      <c r="J41" s="13">
        <v>6</v>
      </c>
      <c r="K41" s="13" t="s">
        <v>1714</v>
      </c>
      <c r="L41" s="6" t="s">
        <v>8145</v>
      </c>
      <c r="M41" s="108" t="s">
        <v>8146</v>
      </c>
      <c r="N41" s="13" t="s">
        <v>2229</v>
      </c>
      <c r="O41" s="13" t="s">
        <v>36</v>
      </c>
      <c r="P41" s="13" t="s">
        <v>4</v>
      </c>
      <c r="Q41" s="6" t="s">
        <v>1799</v>
      </c>
      <c r="R41" s="6" t="s">
        <v>132</v>
      </c>
      <c r="S41" s="69" t="s">
        <v>8147</v>
      </c>
      <c r="T41" s="13">
        <v>37</v>
      </c>
      <c r="U41" s="13">
        <v>34</v>
      </c>
      <c r="V41" s="13" t="s">
        <v>8148</v>
      </c>
      <c r="X41" s="132">
        <v>39</v>
      </c>
      <c r="Y41" s="6"/>
    </row>
    <row r="42" spans="1:25" ht="15" customHeight="1" x14ac:dyDescent="0.2">
      <c r="A42" s="12" t="s">
        <v>1554</v>
      </c>
      <c r="B42" s="13" t="s">
        <v>4978</v>
      </c>
      <c r="C42" s="99">
        <v>46629</v>
      </c>
      <c r="D42" s="13" t="s">
        <v>33</v>
      </c>
      <c r="E42" s="6" t="s">
        <v>5949</v>
      </c>
      <c r="F42" s="6" t="s">
        <v>5967</v>
      </c>
      <c r="G42" s="6" t="s">
        <v>5950</v>
      </c>
      <c r="H42" s="6" t="s">
        <v>5950</v>
      </c>
      <c r="I42" s="13" t="s">
        <v>25</v>
      </c>
      <c r="J42" s="13">
        <v>3</v>
      </c>
      <c r="K42" s="13" t="s">
        <v>1714</v>
      </c>
      <c r="L42" s="6" t="s">
        <v>5951</v>
      </c>
      <c r="M42" s="108" t="s">
        <v>5952</v>
      </c>
      <c r="N42" s="13" t="s">
        <v>2945</v>
      </c>
      <c r="O42" s="13" t="s">
        <v>136</v>
      </c>
      <c r="P42" s="13" t="s">
        <v>4</v>
      </c>
      <c r="Q42" s="6" t="s">
        <v>5953</v>
      </c>
      <c r="R42" s="6" t="s">
        <v>137</v>
      </c>
      <c r="S42" s="17" t="s">
        <v>5954</v>
      </c>
      <c r="T42" s="13">
        <v>36</v>
      </c>
      <c r="U42" s="13">
        <v>27</v>
      </c>
      <c r="V42" s="13" t="s">
        <v>5955</v>
      </c>
      <c r="X42" s="132">
        <v>40</v>
      </c>
      <c r="Y42" s="6"/>
    </row>
    <row r="43" spans="1:25" ht="15" customHeight="1" x14ac:dyDescent="0.25">
      <c r="A43" s="12" t="s">
        <v>1555</v>
      </c>
      <c r="B43" s="13" t="s">
        <v>4978</v>
      </c>
      <c r="C43" s="74">
        <v>47026</v>
      </c>
      <c r="D43" s="13" t="s">
        <v>33</v>
      </c>
      <c r="E43" s="6" t="s">
        <v>11668</v>
      </c>
      <c r="F43" s="15" t="s">
        <v>8199</v>
      </c>
      <c r="G43" s="6" t="s">
        <v>140</v>
      </c>
      <c r="H43" s="6" t="s">
        <v>140</v>
      </c>
      <c r="I43" s="13" t="s">
        <v>25</v>
      </c>
      <c r="J43" s="13">
        <v>3</v>
      </c>
      <c r="K43" s="13" t="s">
        <v>1714</v>
      </c>
      <c r="L43" s="6" t="s">
        <v>7743</v>
      </c>
      <c r="M43" s="117" t="s">
        <v>7744</v>
      </c>
      <c r="N43" s="13" t="s">
        <v>2807</v>
      </c>
      <c r="O43" s="13" t="s">
        <v>128</v>
      </c>
      <c r="P43" s="13" t="s">
        <v>16</v>
      </c>
      <c r="Q43" s="25" t="s">
        <v>7745</v>
      </c>
      <c r="R43" s="69" t="s">
        <v>8200</v>
      </c>
      <c r="S43" s="69" t="s">
        <v>8201</v>
      </c>
      <c r="T43" s="13">
        <v>29</v>
      </c>
      <c r="U43" s="13">
        <v>27</v>
      </c>
      <c r="V43" s="13" t="s">
        <v>8202</v>
      </c>
      <c r="X43" s="132">
        <v>41</v>
      </c>
      <c r="Y43" s="6"/>
    </row>
    <row r="44" spans="1:25" ht="15" customHeight="1" x14ac:dyDescent="0.2">
      <c r="A44" s="20" t="s">
        <v>1556</v>
      </c>
      <c r="B44" s="22" t="s">
        <v>2608</v>
      </c>
      <c r="C44" s="14">
        <v>42822</v>
      </c>
      <c r="D44" s="13" t="s">
        <v>33</v>
      </c>
      <c r="E44" s="6" t="s">
        <v>11669</v>
      </c>
      <c r="G44" s="6" t="s">
        <v>143</v>
      </c>
      <c r="I44" s="13" t="s">
        <v>25</v>
      </c>
      <c r="J44" s="13">
        <v>3</v>
      </c>
      <c r="K44" s="13" t="s">
        <v>1714</v>
      </c>
      <c r="L44" s="6"/>
      <c r="M44" s="108"/>
      <c r="O44" s="13" t="s">
        <v>53</v>
      </c>
      <c r="P44" s="13" t="s">
        <v>54</v>
      </c>
      <c r="Q44" s="6" t="s">
        <v>7985</v>
      </c>
      <c r="R44" s="6" t="s">
        <v>144</v>
      </c>
      <c r="T44" s="13"/>
      <c r="U44" s="13"/>
      <c r="V44" s="13"/>
      <c r="X44" s="132">
        <v>42</v>
      </c>
      <c r="Y44" s="6"/>
    </row>
    <row r="45" spans="1:25" ht="15" customHeight="1" x14ac:dyDescent="0.25">
      <c r="A45" s="12" t="s">
        <v>1557</v>
      </c>
      <c r="B45" s="13" t="s">
        <v>4977</v>
      </c>
      <c r="C45" s="14">
        <v>46445</v>
      </c>
      <c r="D45" s="13" t="s">
        <v>1533</v>
      </c>
      <c r="E45" s="6" t="s">
        <v>9437</v>
      </c>
      <c r="F45" s="15" t="s">
        <v>9502</v>
      </c>
      <c r="G45" s="6" t="s">
        <v>147</v>
      </c>
      <c r="H45" s="6" t="s">
        <v>147</v>
      </c>
      <c r="I45" s="13" t="s">
        <v>25</v>
      </c>
      <c r="J45" s="13">
        <v>6</v>
      </c>
      <c r="K45" s="13" t="s">
        <v>1714</v>
      </c>
      <c r="L45" s="6" t="s">
        <v>4831</v>
      </c>
      <c r="M45" s="108" t="s">
        <v>4832</v>
      </c>
      <c r="N45" s="13" t="s">
        <v>4833</v>
      </c>
      <c r="O45" s="13" t="s">
        <v>97</v>
      </c>
      <c r="P45" s="13" t="s">
        <v>4</v>
      </c>
      <c r="Q45" s="6" t="s">
        <v>4834</v>
      </c>
      <c r="R45" s="17" t="s">
        <v>4835</v>
      </c>
      <c r="S45" s="69" t="s">
        <v>9438</v>
      </c>
      <c r="T45" s="13">
        <v>220</v>
      </c>
      <c r="U45" s="13">
        <v>160</v>
      </c>
      <c r="V45" s="13" t="s">
        <v>4836</v>
      </c>
      <c r="X45" s="132">
        <v>43</v>
      </c>
      <c r="Y45" s="6"/>
    </row>
    <row r="46" spans="1:25" ht="15" customHeight="1" x14ac:dyDescent="0.2">
      <c r="A46" s="12" t="s">
        <v>1558</v>
      </c>
      <c r="B46" s="13" t="s">
        <v>4978</v>
      </c>
      <c r="C46" s="100">
        <v>46564</v>
      </c>
      <c r="D46" s="13" t="s">
        <v>1533</v>
      </c>
      <c r="E46" s="6" t="s">
        <v>149</v>
      </c>
      <c r="F46" s="15" t="s">
        <v>150</v>
      </c>
      <c r="G46" s="6" t="s">
        <v>151</v>
      </c>
      <c r="H46" s="6" t="s">
        <v>2523</v>
      </c>
      <c r="I46" s="13" t="s">
        <v>25</v>
      </c>
      <c r="J46" s="13">
        <v>6</v>
      </c>
      <c r="K46" s="13" t="s">
        <v>1714</v>
      </c>
      <c r="L46" s="6" t="s">
        <v>2525</v>
      </c>
      <c r="M46" s="112" t="s">
        <v>2524</v>
      </c>
      <c r="N46" s="13" t="s">
        <v>2384</v>
      </c>
      <c r="O46" s="13" t="s">
        <v>15</v>
      </c>
      <c r="P46" s="13" t="s">
        <v>16</v>
      </c>
      <c r="Q46" s="6" t="s">
        <v>2526</v>
      </c>
      <c r="R46" s="6" t="s">
        <v>152</v>
      </c>
      <c r="S46" s="17" t="s">
        <v>2527</v>
      </c>
      <c r="T46" s="13">
        <v>30</v>
      </c>
      <c r="U46" s="13">
        <v>24</v>
      </c>
      <c r="V46" s="13" t="s">
        <v>2528</v>
      </c>
      <c r="X46" s="132">
        <v>44</v>
      </c>
      <c r="Y46" s="6"/>
    </row>
    <row r="47" spans="1:25" ht="15" customHeight="1" x14ac:dyDescent="0.2">
      <c r="A47" s="20" t="s">
        <v>1559</v>
      </c>
      <c r="B47" s="22" t="s">
        <v>2608</v>
      </c>
      <c r="C47" s="14">
        <v>43603</v>
      </c>
      <c r="D47" s="13" t="s">
        <v>33</v>
      </c>
      <c r="E47" s="6" t="s">
        <v>154</v>
      </c>
      <c r="F47" s="15" t="s">
        <v>155</v>
      </c>
      <c r="G47" s="6" t="s">
        <v>156</v>
      </c>
      <c r="I47" s="13" t="s">
        <v>25</v>
      </c>
      <c r="J47" s="13">
        <v>3</v>
      </c>
      <c r="K47" s="13" t="s">
        <v>1714</v>
      </c>
      <c r="L47" s="6"/>
      <c r="M47" s="108"/>
      <c r="O47" s="13" t="s">
        <v>128</v>
      </c>
      <c r="P47" s="13" t="s">
        <v>16</v>
      </c>
      <c r="Q47" s="6" t="s">
        <v>7986</v>
      </c>
      <c r="R47" s="6" t="s">
        <v>157</v>
      </c>
      <c r="T47" s="13"/>
      <c r="U47" s="13"/>
      <c r="V47" s="13"/>
      <c r="X47" s="132">
        <v>45</v>
      </c>
      <c r="Y47" s="6"/>
    </row>
    <row r="48" spans="1:25" ht="15" customHeight="1" x14ac:dyDescent="0.2">
      <c r="A48" s="12" t="s">
        <v>1560</v>
      </c>
      <c r="B48" s="13" t="s">
        <v>4978</v>
      </c>
      <c r="C48" s="74">
        <v>47450</v>
      </c>
      <c r="D48" s="13" t="s">
        <v>33</v>
      </c>
      <c r="E48" s="6" t="s">
        <v>159</v>
      </c>
      <c r="F48" s="15" t="s">
        <v>10979</v>
      </c>
      <c r="G48" s="6" t="s">
        <v>160</v>
      </c>
      <c r="H48" s="6" t="s">
        <v>160</v>
      </c>
      <c r="I48" s="13" t="s">
        <v>25</v>
      </c>
      <c r="J48" s="13">
        <v>3</v>
      </c>
      <c r="K48" s="13" t="s">
        <v>1714</v>
      </c>
      <c r="L48" s="6" t="s">
        <v>3370</v>
      </c>
      <c r="M48" s="108" t="s">
        <v>10980</v>
      </c>
      <c r="N48" s="13" t="s">
        <v>8</v>
      </c>
      <c r="O48" s="13" t="s">
        <v>8</v>
      </c>
      <c r="P48" s="13" t="s">
        <v>9</v>
      </c>
      <c r="Q48" s="6" t="s">
        <v>10981</v>
      </c>
      <c r="R48" s="6" t="s">
        <v>161</v>
      </c>
      <c r="S48" s="17" t="s">
        <v>2745</v>
      </c>
      <c r="T48" s="13">
        <v>24</v>
      </c>
      <c r="U48" s="13">
        <v>22</v>
      </c>
      <c r="V48" s="13" t="s">
        <v>3371</v>
      </c>
      <c r="X48" s="132">
        <v>46</v>
      </c>
      <c r="Y48" s="6"/>
    </row>
    <row r="49" spans="1:25" ht="15" customHeight="1" x14ac:dyDescent="0.25">
      <c r="A49" s="12" t="s">
        <v>1795</v>
      </c>
      <c r="B49" s="13" t="s">
        <v>4978</v>
      </c>
      <c r="C49" s="74">
        <v>47055</v>
      </c>
      <c r="D49" s="13" t="s">
        <v>33</v>
      </c>
      <c r="E49" s="6" t="s">
        <v>163</v>
      </c>
      <c r="F49" s="15" t="s">
        <v>8290</v>
      </c>
      <c r="G49" s="6" t="s">
        <v>164</v>
      </c>
      <c r="H49" s="6" t="s">
        <v>164</v>
      </c>
      <c r="I49" s="13" t="s">
        <v>25</v>
      </c>
      <c r="J49" s="13">
        <v>3</v>
      </c>
      <c r="K49" s="13" t="s">
        <v>1714</v>
      </c>
      <c r="L49" s="6" t="s">
        <v>8291</v>
      </c>
      <c r="M49" s="108" t="s">
        <v>8292</v>
      </c>
      <c r="N49" s="13" t="s">
        <v>8293</v>
      </c>
      <c r="O49" s="13" t="s">
        <v>165</v>
      </c>
      <c r="P49" s="13" t="s">
        <v>9</v>
      </c>
      <c r="Q49" s="6" t="s">
        <v>8294</v>
      </c>
      <c r="R49" s="6" t="s">
        <v>166</v>
      </c>
      <c r="S49" s="69" t="s">
        <v>8295</v>
      </c>
      <c r="T49" s="13">
        <v>219</v>
      </c>
      <c r="U49" s="13">
        <v>201</v>
      </c>
      <c r="V49" s="13" t="s">
        <v>8296</v>
      </c>
      <c r="X49" s="132">
        <v>47</v>
      </c>
      <c r="Y49" s="6"/>
    </row>
    <row r="50" spans="1:25" ht="15" customHeight="1" x14ac:dyDescent="0.25">
      <c r="A50" s="12" t="s">
        <v>1796</v>
      </c>
      <c r="B50" s="13" t="s">
        <v>4978</v>
      </c>
      <c r="C50" s="74">
        <v>47055</v>
      </c>
      <c r="D50" s="13" t="s">
        <v>33</v>
      </c>
      <c r="E50" s="6" t="s">
        <v>163</v>
      </c>
      <c r="F50" s="15" t="s">
        <v>8434</v>
      </c>
      <c r="G50" s="6" t="s">
        <v>164</v>
      </c>
      <c r="H50" s="6" t="s">
        <v>167</v>
      </c>
      <c r="I50" s="13" t="s">
        <v>25</v>
      </c>
      <c r="J50" s="13">
        <v>3</v>
      </c>
      <c r="K50" s="13" t="s">
        <v>1714</v>
      </c>
      <c r="L50" s="6" t="s">
        <v>8298</v>
      </c>
      <c r="M50" s="108" t="s">
        <v>8299</v>
      </c>
      <c r="N50" s="13" t="s">
        <v>8293</v>
      </c>
      <c r="O50" s="13" t="s">
        <v>165</v>
      </c>
      <c r="P50" s="13" t="s">
        <v>9</v>
      </c>
      <c r="Q50" s="6" t="s">
        <v>8297</v>
      </c>
      <c r="R50" s="6" t="s">
        <v>166</v>
      </c>
      <c r="S50" s="69" t="s">
        <v>8295</v>
      </c>
      <c r="T50" s="13">
        <v>135</v>
      </c>
      <c r="U50" s="13">
        <v>129</v>
      </c>
      <c r="V50" s="13" t="s">
        <v>8300</v>
      </c>
      <c r="X50" s="132">
        <v>48</v>
      </c>
      <c r="Y50" s="6"/>
    </row>
    <row r="51" spans="1:25" ht="15" customHeight="1" x14ac:dyDescent="0.2">
      <c r="A51" s="20" t="s">
        <v>1561</v>
      </c>
      <c r="B51" s="22" t="s">
        <v>2608</v>
      </c>
      <c r="C51" s="14">
        <v>43613</v>
      </c>
      <c r="D51" s="13" t="s">
        <v>1533</v>
      </c>
      <c r="E51" s="6" t="s">
        <v>169</v>
      </c>
      <c r="F51" s="15" t="s">
        <v>170</v>
      </c>
      <c r="G51" s="6" t="s">
        <v>171</v>
      </c>
      <c r="I51" s="13" t="s">
        <v>25</v>
      </c>
      <c r="K51" s="13"/>
      <c r="L51" s="6"/>
      <c r="M51" s="108"/>
      <c r="O51" s="13" t="s">
        <v>172</v>
      </c>
      <c r="P51" s="13" t="s">
        <v>9</v>
      </c>
      <c r="Q51" s="6"/>
      <c r="R51" s="6" t="s">
        <v>173</v>
      </c>
      <c r="T51" s="13"/>
      <c r="U51" s="13"/>
      <c r="V51" s="13"/>
      <c r="X51" s="132">
        <v>49</v>
      </c>
      <c r="Y51" s="6"/>
    </row>
    <row r="52" spans="1:25" ht="15" customHeight="1" x14ac:dyDescent="0.2">
      <c r="A52" s="20" t="s">
        <v>1562</v>
      </c>
      <c r="B52" s="22" t="s">
        <v>2608</v>
      </c>
      <c r="C52" s="14">
        <v>45642</v>
      </c>
      <c r="D52" s="13" t="s">
        <v>33</v>
      </c>
      <c r="E52" s="6" t="s">
        <v>4592</v>
      </c>
      <c r="G52" s="6" t="s">
        <v>176</v>
      </c>
      <c r="I52" s="13" t="s">
        <v>25</v>
      </c>
      <c r="J52" s="13">
        <v>3</v>
      </c>
      <c r="K52" s="13" t="s">
        <v>1714</v>
      </c>
      <c r="L52" s="6" t="s">
        <v>4593</v>
      </c>
      <c r="M52" s="108" t="s">
        <v>4594</v>
      </c>
      <c r="N52" s="13" t="s">
        <v>2667</v>
      </c>
      <c r="O52" s="13" t="s">
        <v>177</v>
      </c>
      <c r="P52" s="13" t="s">
        <v>9</v>
      </c>
      <c r="Q52" s="6" t="s">
        <v>4595</v>
      </c>
      <c r="R52" s="6" t="s">
        <v>178</v>
      </c>
      <c r="T52" s="13">
        <v>19</v>
      </c>
      <c r="U52" s="13">
        <v>12</v>
      </c>
      <c r="V52" s="13" t="s">
        <v>4596</v>
      </c>
      <c r="X52" s="132">
        <v>50</v>
      </c>
      <c r="Y52" s="6"/>
    </row>
    <row r="53" spans="1:25" ht="15" customHeight="1" x14ac:dyDescent="0.2">
      <c r="A53" s="20" t="s">
        <v>1563</v>
      </c>
      <c r="B53" s="22" t="s">
        <v>2608</v>
      </c>
      <c r="C53" s="14">
        <v>42896</v>
      </c>
      <c r="D53" s="13" t="s">
        <v>1533</v>
      </c>
      <c r="E53" s="6" t="s">
        <v>180</v>
      </c>
      <c r="G53" s="6" t="s">
        <v>181</v>
      </c>
      <c r="I53" s="13" t="s">
        <v>39</v>
      </c>
      <c r="J53" s="13">
        <v>12</v>
      </c>
      <c r="K53" s="13"/>
      <c r="L53" s="6"/>
      <c r="M53" s="108"/>
      <c r="O53" s="13" t="s">
        <v>53</v>
      </c>
      <c r="P53" s="13" t="s">
        <v>54</v>
      </c>
      <c r="Q53" s="6"/>
      <c r="R53" s="6" t="s">
        <v>182</v>
      </c>
      <c r="T53" s="13"/>
      <c r="U53" s="13"/>
      <c r="V53" s="13"/>
      <c r="X53" s="132">
        <v>51</v>
      </c>
      <c r="Y53" s="6"/>
    </row>
    <row r="54" spans="1:25" ht="15" customHeight="1" x14ac:dyDescent="0.2">
      <c r="A54" s="20" t="s">
        <v>1564</v>
      </c>
      <c r="B54" s="22" t="s">
        <v>4978</v>
      </c>
      <c r="C54" s="101">
        <v>46372</v>
      </c>
      <c r="D54" s="22" t="s">
        <v>33</v>
      </c>
      <c r="E54" s="7" t="s">
        <v>9032</v>
      </c>
      <c r="F54" s="77"/>
      <c r="G54" s="7" t="s">
        <v>185</v>
      </c>
      <c r="H54" s="7"/>
      <c r="I54" s="22" t="s">
        <v>25</v>
      </c>
      <c r="J54" s="22">
        <v>3</v>
      </c>
      <c r="K54" s="22" t="s">
        <v>1714</v>
      </c>
      <c r="L54" s="7" t="s">
        <v>2243</v>
      </c>
      <c r="M54" s="115" t="s">
        <v>2244</v>
      </c>
      <c r="N54" s="22" t="s">
        <v>2776</v>
      </c>
      <c r="O54" s="13" t="s">
        <v>136</v>
      </c>
      <c r="P54" s="13" t="s">
        <v>4</v>
      </c>
      <c r="Q54" s="7" t="s">
        <v>2245</v>
      </c>
      <c r="R54" s="43" t="s">
        <v>4606</v>
      </c>
      <c r="S54" s="7" t="s">
        <v>2246</v>
      </c>
      <c r="T54" s="22">
        <v>116</v>
      </c>
      <c r="U54" s="22">
        <v>86</v>
      </c>
      <c r="V54" s="22" t="s">
        <v>4638</v>
      </c>
      <c r="W54" s="7"/>
      <c r="X54" s="132">
        <v>52</v>
      </c>
      <c r="Y54" s="6"/>
    </row>
    <row r="55" spans="1:25" ht="15" customHeight="1" x14ac:dyDescent="0.2">
      <c r="A55" s="12" t="s">
        <v>1565</v>
      </c>
      <c r="B55" s="13" t="s">
        <v>4978</v>
      </c>
      <c r="C55" s="74">
        <v>47552</v>
      </c>
      <c r="D55" s="13" t="s">
        <v>33</v>
      </c>
      <c r="E55" s="6" t="s">
        <v>5046</v>
      </c>
      <c r="F55" s="15" t="s">
        <v>11178</v>
      </c>
      <c r="G55" s="6" t="s">
        <v>188</v>
      </c>
      <c r="H55" s="6" t="s">
        <v>188</v>
      </c>
      <c r="I55" s="13" t="s">
        <v>25</v>
      </c>
      <c r="J55" s="13">
        <v>3</v>
      </c>
      <c r="K55" s="13" t="s">
        <v>1714</v>
      </c>
      <c r="L55" s="6" t="s">
        <v>2623</v>
      </c>
      <c r="M55" s="108" t="s">
        <v>2624</v>
      </c>
      <c r="N55" s="13" t="s">
        <v>61</v>
      </c>
      <c r="O55" s="13" t="s">
        <v>61</v>
      </c>
      <c r="P55" s="13" t="s">
        <v>9</v>
      </c>
      <c r="Q55" s="6" t="s">
        <v>11179</v>
      </c>
      <c r="R55" s="6" t="s">
        <v>2625</v>
      </c>
      <c r="T55" s="13">
        <v>55</v>
      </c>
      <c r="U55" s="13">
        <v>51</v>
      </c>
      <c r="V55" s="13" t="s">
        <v>11180</v>
      </c>
      <c r="X55" s="132">
        <v>53</v>
      </c>
      <c r="Y55" s="6"/>
    </row>
    <row r="56" spans="1:25" ht="15" customHeight="1" x14ac:dyDescent="0.2">
      <c r="A56" s="12" t="s">
        <v>5045</v>
      </c>
      <c r="B56" s="13" t="s">
        <v>4978</v>
      </c>
      <c r="C56" s="74">
        <v>46446</v>
      </c>
      <c r="D56" s="13" t="s">
        <v>33</v>
      </c>
      <c r="E56" s="6" t="s">
        <v>5046</v>
      </c>
      <c r="G56" s="6" t="s">
        <v>188</v>
      </c>
      <c r="H56" s="6" t="s">
        <v>5044</v>
      </c>
      <c r="I56" s="13" t="s">
        <v>25</v>
      </c>
      <c r="J56" s="13">
        <v>3</v>
      </c>
      <c r="K56" s="13" t="s">
        <v>1714</v>
      </c>
      <c r="L56" s="6" t="s">
        <v>5047</v>
      </c>
      <c r="M56" s="108" t="s">
        <v>4738</v>
      </c>
      <c r="N56" s="13" t="s">
        <v>2486</v>
      </c>
      <c r="O56" s="13" t="s">
        <v>61</v>
      </c>
      <c r="P56" s="13" t="s">
        <v>9</v>
      </c>
      <c r="Q56" s="6" t="s">
        <v>5048</v>
      </c>
      <c r="R56" s="17" t="s">
        <v>5049</v>
      </c>
      <c r="S56" s="30"/>
      <c r="T56" s="18">
        <v>28</v>
      </c>
      <c r="U56" s="18">
        <v>15</v>
      </c>
      <c r="V56" s="13" t="s">
        <v>11180</v>
      </c>
      <c r="X56" s="132">
        <v>54</v>
      </c>
      <c r="Y56" s="6"/>
    </row>
    <row r="57" spans="1:25" s="7" customFormat="1" ht="15" customHeight="1" x14ac:dyDescent="0.2">
      <c r="A57" s="12" t="s">
        <v>2947</v>
      </c>
      <c r="B57" s="13" t="s">
        <v>4978</v>
      </c>
      <c r="C57" s="100">
        <v>47615</v>
      </c>
      <c r="D57" s="24" t="s">
        <v>33</v>
      </c>
      <c r="E57" s="31" t="s">
        <v>11524</v>
      </c>
      <c r="F57" s="32" t="s">
        <v>11525</v>
      </c>
      <c r="G57" s="31" t="s">
        <v>191</v>
      </c>
      <c r="H57" s="31" t="s">
        <v>191</v>
      </c>
      <c r="I57" s="24" t="s">
        <v>25</v>
      </c>
      <c r="J57" s="13">
        <v>3</v>
      </c>
      <c r="K57" s="13" t="s">
        <v>1714</v>
      </c>
      <c r="L57" s="6" t="s">
        <v>2893</v>
      </c>
      <c r="M57" s="108" t="s">
        <v>2892</v>
      </c>
      <c r="N57" s="13" t="s">
        <v>15</v>
      </c>
      <c r="O57" s="13" t="s">
        <v>15</v>
      </c>
      <c r="P57" s="13" t="s">
        <v>16</v>
      </c>
      <c r="Q57" s="31" t="s">
        <v>11526</v>
      </c>
      <c r="R57" s="17" t="s">
        <v>2894</v>
      </c>
      <c r="S57" s="31"/>
      <c r="T57" s="24">
        <v>50</v>
      </c>
      <c r="U57" s="24">
        <v>42</v>
      </c>
      <c r="V57" s="24" t="s">
        <v>11527</v>
      </c>
      <c r="W57" s="6"/>
      <c r="X57" s="132">
        <v>55</v>
      </c>
    </row>
    <row r="58" spans="1:25" ht="15" customHeight="1" x14ac:dyDescent="0.2">
      <c r="A58" s="12" t="s">
        <v>2948</v>
      </c>
      <c r="B58" s="13" t="s">
        <v>4978</v>
      </c>
      <c r="C58" s="100">
        <v>47615</v>
      </c>
      <c r="D58" s="13" t="s">
        <v>33</v>
      </c>
      <c r="E58" s="6" t="s">
        <v>11528</v>
      </c>
      <c r="F58" s="15" t="s">
        <v>11529</v>
      </c>
      <c r="G58" s="6" t="s">
        <v>2890</v>
      </c>
      <c r="H58" s="6" t="s">
        <v>2890</v>
      </c>
      <c r="I58" s="13" t="s">
        <v>25</v>
      </c>
      <c r="J58" s="13">
        <v>3</v>
      </c>
      <c r="K58" s="13" t="s">
        <v>1714</v>
      </c>
      <c r="L58" s="6" t="s">
        <v>2891</v>
      </c>
      <c r="M58" s="108" t="s">
        <v>2892</v>
      </c>
      <c r="N58" s="13" t="s">
        <v>15</v>
      </c>
      <c r="O58" s="13" t="s">
        <v>15</v>
      </c>
      <c r="P58" s="13" t="s">
        <v>16</v>
      </c>
      <c r="Q58" s="6" t="s">
        <v>11530</v>
      </c>
      <c r="R58" s="17" t="s">
        <v>2895</v>
      </c>
      <c r="T58" s="13">
        <v>38</v>
      </c>
      <c r="U58" s="13">
        <v>36</v>
      </c>
      <c r="V58" s="13" t="s">
        <v>11527</v>
      </c>
      <c r="X58" s="132">
        <v>56</v>
      </c>
      <c r="Y58" s="6"/>
    </row>
    <row r="59" spans="1:25" ht="15" customHeight="1" x14ac:dyDescent="0.2">
      <c r="A59" s="20" t="s">
        <v>1566</v>
      </c>
      <c r="B59" s="22" t="s">
        <v>2608</v>
      </c>
      <c r="C59" s="23">
        <v>45970</v>
      </c>
      <c r="D59" s="13" t="s">
        <v>33</v>
      </c>
      <c r="E59" s="6" t="s">
        <v>2951</v>
      </c>
      <c r="F59" s="15" t="s">
        <v>2952</v>
      </c>
      <c r="G59" s="6" t="s">
        <v>195</v>
      </c>
      <c r="I59" s="13" t="s">
        <v>25</v>
      </c>
      <c r="J59" s="13">
        <v>3</v>
      </c>
      <c r="K59" s="13" t="s">
        <v>1714</v>
      </c>
      <c r="L59" s="6" t="s">
        <v>2827</v>
      </c>
      <c r="M59" s="108" t="s">
        <v>2828</v>
      </c>
      <c r="N59" s="13" t="s">
        <v>2829</v>
      </c>
      <c r="O59" s="13" t="s">
        <v>1055</v>
      </c>
      <c r="P59" s="13" t="s">
        <v>16</v>
      </c>
      <c r="Q59" s="6" t="s">
        <v>1958</v>
      </c>
      <c r="R59" s="6" t="s">
        <v>196</v>
      </c>
      <c r="T59" s="13">
        <v>21</v>
      </c>
      <c r="U59" s="13">
        <v>10</v>
      </c>
      <c r="V59" s="13" t="s">
        <v>2830</v>
      </c>
      <c r="X59" s="132">
        <v>57</v>
      </c>
      <c r="Y59" s="6"/>
    </row>
    <row r="60" spans="1:25" ht="15" customHeight="1" x14ac:dyDescent="0.25">
      <c r="A60" s="12" t="s">
        <v>2247</v>
      </c>
      <c r="B60" s="13" t="s">
        <v>4978</v>
      </c>
      <c r="C60" s="74">
        <v>47209</v>
      </c>
      <c r="D60" s="13" t="s">
        <v>33</v>
      </c>
      <c r="E60" s="6" t="s">
        <v>2249</v>
      </c>
      <c r="F60" s="15" t="s">
        <v>9675</v>
      </c>
      <c r="G60" s="6" t="s">
        <v>199</v>
      </c>
      <c r="H60" s="6" t="s">
        <v>199</v>
      </c>
      <c r="I60" s="13" t="s">
        <v>25</v>
      </c>
      <c r="J60" s="13">
        <v>3</v>
      </c>
      <c r="K60" s="13" t="s">
        <v>1714</v>
      </c>
      <c r="L60" s="6" t="s">
        <v>2250</v>
      </c>
      <c r="M60" s="108" t="s">
        <v>9676</v>
      </c>
      <c r="N60" s="13" t="s">
        <v>2251</v>
      </c>
      <c r="O60" s="13" t="s">
        <v>61</v>
      </c>
      <c r="P60" s="13" t="s">
        <v>9</v>
      </c>
      <c r="Q60" s="6" t="s">
        <v>9677</v>
      </c>
      <c r="R60" s="69" t="s">
        <v>9678</v>
      </c>
      <c r="S60" s="69" t="s">
        <v>9683</v>
      </c>
      <c r="T60" s="13">
        <v>44</v>
      </c>
      <c r="U60" s="13">
        <v>38</v>
      </c>
      <c r="V60" s="13" t="s">
        <v>9679</v>
      </c>
      <c r="X60" s="132">
        <v>58</v>
      </c>
      <c r="Y60" s="6"/>
    </row>
    <row r="61" spans="1:25" ht="15" customHeight="1" x14ac:dyDescent="0.25">
      <c r="A61" s="12" t="s">
        <v>2248</v>
      </c>
      <c r="B61" s="13" t="s">
        <v>4978</v>
      </c>
      <c r="C61" s="74">
        <v>47209</v>
      </c>
      <c r="D61" s="13" t="s">
        <v>33</v>
      </c>
      <c r="E61" s="6" t="s">
        <v>2249</v>
      </c>
      <c r="F61" s="15" t="s">
        <v>9680</v>
      </c>
      <c r="G61" s="6" t="s">
        <v>9681</v>
      </c>
      <c r="H61" s="6" t="s">
        <v>9681</v>
      </c>
      <c r="I61" s="13" t="s">
        <v>25</v>
      </c>
      <c r="J61" s="13">
        <v>3</v>
      </c>
      <c r="K61" s="13" t="s">
        <v>1714</v>
      </c>
      <c r="L61" s="6" t="s">
        <v>2252</v>
      </c>
      <c r="M61" s="108" t="s">
        <v>9682</v>
      </c>
      <c r="N61" s="13" t="s">
        <v>2251</v>
      </c>
      <c r="O61" s="13" t="s">
        <v>61</v>
      </c>
      <c r="P61" s="13" t="s">
        <v>9</v>
      </c>
      <c r="Q61" s="6" t="s">
        <v>9677</v>
      </c>
      <c r="R61" s="69" t="s">
        <v>9678</v>
      </c>
      <c r="S61" s="69" t="s">
        <v>9683</v>
      </c>
      <c r="T61" s="18">
        <v>27</v>
      </c>
      <c r="U61" s="13">
        <v>23</v>
      </c>
      <c r="V61" s="13" t="s">
        <v>9684</v>
      </c>
      <c r="X61" s="132">
        <v>59</v>
      </c>
      <c r="Y61" s="6"/>
    </row>
    <row r="62" spans="1:25" ht="15" customHeight="1" x14ac:dyDescent="0.2">
      <c r="A62" s="20" t="s">
        <v>1567</v>
      </c>
      <c r="B62" s="22" t="s">
        <v>2608</v>
      </c>
      <c r="C62" s="14">
        <v>43681</v>
      </c>
      <c r="D62" s="13" t="s">
        <v>33</v>
      </c>
      <c r="E62" s="6" t="s">
        <v>11670</v>
      </c>
      <c r="F62" s="15" t="s">
        <v>202</v>
      </c>
      <c r="G62" s="6" t="s">
        <v>203</v>
      </c>
      <c r="I62" s="13" t="s">
        <v>25</v>
      </c>
      <c r="J62" s="13">
        <v>3</v>
      </c>
      <c r="K62" s="13" t="s">
        <v>1714</v>
      </c>
      <c r="L62" s="6"/>
      <c r="M62" s="108"/>
      <c r="O62" s="13" t="s">
        <v>204</v>
      </c>
      <c r="P62" s="13" t="s">
        <v>9</v>
      </c>
      <c r="Q62" s="6"/>
      <c r="R62" s="6" t="s">
        <v>205</v>
      </c>
      <c r="T62" s="13"/>
      <c r="U62" s="13"/>
      <c r="V62" s="13"/>
      <c r="X62" s="132">
        <v>60</v>
      </c>
      <c r="Y62" s="6"/>
    </row>
    <row r="63" spans="1:25" ht="15" customHeight="1" x14ac:dyDescent="0.2">
      <c r="A63" s="20" t="s">
        <v>1568</v>
      </c>
      <c r="B63" s="22" t="s">
        <v>2608</v>
      </c>
      <c r="C63" s="14">
        <v>42965</v>
      </c>
      <c r="D63" s="13" t="s">
        <v>33</v>
      </c>
      <c r="E63" s="6" t="s">
        <v>207</v>
      </c>
      <c r="F63" s="15" t="s">
        <v>207</v>
      </c>
      <c r="G63" s="6" t="s">
        <v>208</v>
      </c>
      <c r="I63" s="13" t="s">
        <v>25</v>
      </c>
      <c r="J63" s="13">
        <v>3</v>
      </c>
      <c r="K63" s="13" t="s">
        <v>1714</v>
      </c>
      <c r="L63" s="6"/>
      <c r="M63" s="108"/>
      <c r="O63" s="13" t="s">
        <v>136</v>
      </c>
      <c r="P63" s="13" t="s">
        <v>4</v>
      </c>
      <c r="Q63" s="6"/>
      <c r="R63" s="6" t="s">
        <v>209</v>
      </c>
      <c r="T63" s="13"/>
      <c r="U63" s="13"/>
      <c r="V63" s="13"/>
      <c r="X63" s="132">
        <v>61</v>
      </c>
      <c r="Y63" s="6"/>
    </row>
    <row r="64" spans="1:25" ht="15" customHeight="1" x14ac:dyDescent="0.2">
      <c r="A64" s="12" t="s">
        <v>1800</v>
      </c>
      <c r="B64" s="13" t="s">
        <v>4978</v>
      </c>
      <c r="C64" s="74">
        <v>46645</v>
      </c>
      <c r="D64" s="13" t="s">
        <v>1533</v>
      </c>
      <c r="E64" s="6" t="s">
        <v>211</v>
      </c>
      <c r="F64" s="15" t="s">
        <v>11692</v>
      </c>
      <c r="G64" s="6" t="s">
        <v>212</v>
      </c>
      <c r="H64" s="6" t="s">
        <v>212</v>
      </c>
      <c r="I64" s="13" t="s">
        <v>25</v>
      </c>
      <c r="J64" s="13">
        <v>6</v>
      </c>
      <c r="K64" s="13" t="s">
        <v>1714</v>
      </c>
      <c r="L64" s="6" t="s">
        <v>6032</v>
      </c>
      <c r="M64" s="108" t="s">
        <v>2289</v>
      </c>
      <c r="N64" s="13" t="s">
        <v>61</v>
      </c>
      <c r="O64" s="13" t="s">
        <v>61</v>
      </c>
      <c r="P64" s="13" t="s">
        <v>9</v>
      </c>
      <c r="Q64" s="6" t="s">
        <v>6038</v>
      </c>
      <c r="R64" s="6" t="s">
        <v>213</v>
      </c>
      <c r="S64" s="17" t="s">
        <v>6033</v>
      </c>
      <c r="T64" s="13">
        <v>118</v>
      </c>
      <c r="U64" s="13">
        <v>47</v>
      </c>
      <c r="V64" s="13" t="s">
        <v>6034</v>
      </c>
      <c r="X64" s="132">
        <v>62</v>
      </c>
      <c r="Y64" s="6"/>
    </row>
    <row r="65" spans="1:25" ht="15" customHeight="1" x14ac:dyDescent="0.2">
      <c r="A65" s="20" t="s">
        <v>1801</v>
      </c>
      <c r="B65" s="21" t="s">
        <v>2608</v>
      </c>
      <c r="C65" s="14">
        <v>44850</v>
      </c>
      <c r="D65" s="13" t="s">
        <v>1533</v>
      </c>
      <c r="E65" s="6" t="s">
        <v>211</v>
      </c>
      <c r="F65" s="15" t="s">
        <v>11693</v>
      </c>
      <c r="G65" s="6" t="s">
        <v>1802</v>
      </c>
      <c r="H65" s="6" t="s">
        <v>212</v>
      </c>
      <c r="I65" s="13" t="s">
        <v>13</v>
      </c>
      <c r="J65" s="13">
        <v>8</v>
      </c>
      <c r="K65" s="13" t="s">
        <v>1714</v>
      </c>
      <c r="L65" s="6" t="s">
        <v>1803</v>
      </c>
      <c r="M65" s="108"/>
      <c r="O65" s="13" t="s">
        <v>15</v>
      </c>
      <c r="P65" s="13" t="s">
        <v>16</v>
      </c>
      <c r="Q65" s="6" t="s">
        <v>1804</v>
      </c>
      <c r="R65" s="6" t="s">
        <v>213</v>
      </c>
      <c r="S65" s="17" t="s">
        <v>6033</v>
      </c>
      <c r="T65" s="18">
        <v>100</v>
      </c>
      <c r="U65" s="13">
        <v>27</v>
      </c>
      <c r="V65" s="13">
        <v>27</v>
      </c>
      <c r="X65" s="132">
        <v>63</v>
      </c>
      <c r="Y65" s="6"/>
    </row>
    <row r="66" spans="1:25" ht="15" customHeight="1" x14ac:dyDescent="0.2">
      <c r="A66" s="20" t="s">
        <v>1805</v>
      </c>
      <c r="B66" s="21" t="s">
        <v>2608</v>
      </c>
      <c r="C66" s="14">
        <v>44850</v>
      </c>
      <c r="D66" s="13" t="s">
        <v>1533</v>
      </c>
      <c r="E66" s="6" t="s">
        <v>211</v>
      </c>
      <c r="F66" s="15" t="s">
        <v>11694</v>
      </c>
      <c r="G66" s="6" t="s">
        <v>212</v>
      </c>
      <c r="H66" s="6" t="s">
        <v>212</v>
      </c>
      <c r="I66" s="13" t="s">
        <v>13</v>
      </c>
      <c r="J66" s="13">
        <v>8</v>
      </c>
      <c r="K66" s="13" t="s">
        <v>1714</v>
      </c>
      <c r="L66" s="6" t="s">
        <v>1806</v>
      </c>
      <c r="M66" s="108"/>
      <c r="O66" s="13" t="s">
        <v>5556</v>
      </c>
      <c r="P66" s="13" t="s">
        <v>9</v>
      </c>
      <c r="Q66" s="6" t="s">
        <v>1807</v>
      </c>
      <c r="R66" s="6" t="s">
        <v>213</v>
      </c>
      <c r="S66" s="17" t="s">
        <v>6033</v>
      </c>
      <c r="T66" s="13">
        <v>100</v>
      </c>
      <c r="U66" s="13">
        <v>100</v>
      </c>
      <c r="V66" s="13">
        <v>100</v>
      </c>
      <c r="X66" s="132">
        <v>64</v>
      </c>
      <c r="Y66" s="6"/>
    </row>
    <row r="67" spans="1:25" ht="15" customHeight="1" x14ac:dyDescent="0.2">
      <c r="A67" s="20" t="s">
        <v>1808</v>
      </c>
      <c r="B67" s="22" t="s">
        <v>2608</v>
      </c>
      <c r="C67" s="14">
        <v>45581</v>
      </c>
      <c r="D67" s="13" t="s">
        <v>1533</v>
      </c>
      <c r="E67" s="6" t="s">
        <v>211</v>
      </c>
      <c r="F67" s="15" t="s">
        <v>11695</v>
      </c>
      <c r="G67" s="6" t="s">
        <v>212</v>
      </c>
      <c r="H67" s="6" t="s">
        <v>212</v>
      </c>
      <c r="I67" s="13" t="s">
        <v>13</v>
      </c>
      <c r="J67" s="13">
        <v>7</v>
      </c>
      <c r="K67" s="13" t="s">
        <v>6603</v>
      </c>
      <c r="L67" s="6" t="s">
        <v>1809</v>
      </c>
      <c r="M67" s="108"/>
      <c r="O67" s="13" t="s">
        <v>165</v>
      </c>
      <c r="P67" s="13" t="s">
        <v>9</v>
      </c>
      <c r="Q67" s="6" t="s">
        <v>1810</v>
      </c>
      <c r="R67" s="6" t="s">
        <v>213</v>
      </c>
      <c r="S67" s="17" t="s">
        <v>6033</v>
      </c>
      <c r="T67" s="13">
        <v>100</v>
      </c>
      <c r="U67" s="13">
        <v>100</v>
      </c>
      <c r="V67" s="13">
        <v>100</v>
      </c>
      <c r="X67" s="132">
        <v>65</v>
      </c>
      <c r="Y67" s="6"/>
    </row>
    <row r="68" spans="1:25" ht="15" customHeight="1" x14ac:dyDescent="0.2">
      <c r="A68" s="20" t="s">
        <v>1811</v>
      </c>
      <c r="B68" s="22" t="s">
        <v>2608</v>
      </c>
      <c r="C68" s="14">
        <v>45915</v>
      </c>
      <c r="D68" s="13" t="s">
        <v>1533</v>
      </c>
      <c r="E68" s="6" t="s">
        <v>211</v>
      </c>
      <c r="F68" s="15" t="s">
        <v>11696</v>
      </c>
      <c r="G68" s="6" t="s">
        <v>212</v>
      </c>
      <c r="H68" s="6" t="s">
        <v>212</v>
      </c>
      <c r="I68" s="13" t="s">
        <v>13</v>
      </c>
      <c r="J68" s="13">
        <v>8</v>
      </c>
      <c r="K68" s="13" t="s">
        <v>1714</v>
      </c>
      <c r="L68" s="6" t="s">
        <v>6035</v>
      </c>
      <c r="M68" s="108" t="s">
        <v>6036</v>
      </c>
      <c r="N68" s="13" t="s">
        <v>5446</v>
      </c>
      <c r="O68" s="13" t="s">
        <v>165</v>
      </c>
      <c r="P68" s="13" t="s">
        <v>9</v>
      </c>
      <c r="Q68" s="6" t="s">
        <v>6037</v>
      </c>
      <c r="R68" s="6" t="s">
        <v>213</v>
      </c>
      <c r="S68" s="17" t="s">
        <v>6033</v>
      </c>
      <c r="T68" s="13">
        <v>120</v>
      </c>
      <c r="U68" s="13">
        <v>60</v>
      </c>
      <c r="V68" s="13" t="s">
        <v>6034</v>
      </c>
      <c r="X68" s="132">
        <v>66</v>
      </c>
      <c r="Y68" s="6"/>
    </row>
    <row r="69" spans="1:25" ht="15" customHeight="1" x14ac:dyDescent="0.2">
      <c r="A69" s="12" t="s">
        <v>1569</v>
      </c>
      <c r="B69" s="13"/>
      <c r="D69" s="13" t="s">
        <v>1533</v>
      </c>
      <c r="E69" s="6" t="s">
        <v>215</v>
      </c>
      <c r="G69" s="6" t="s">
        <v>216</v>
      </c>
      <c r="H69" s="6" t="s">
        <v>216</v>
      </c>
      <c r="I69" s="13" t="s">
        <v>39</v>
      </c>
      <c r="J69" s="13">
        <v>12</v>
      </c>
      <c r="K69" s="13" t="s">
        <v>1714</v>
      </c>
      <c r="L69" s="6"/>
      <c r="M69" s="108"/>
      <c r="O69" s="13" t="s">
        <v>8</v>
      </c>
      <c r="P69" s="13" t="s">
        <v>9</v>
      </c>
      <c r="Q69" s="6"/>
      <c r="R69" s="6" t="s">
        <v>217</v>
      </c>
      <c r="T69" s="13"/>
      <c r="U69" s="13"/>
      <c r="V69" s="13"/>
      <c r="X69" s="132">
        <v>67</v>
      </c>
      <c r="Y69" s="6"/>
    </row>
    <row r="70" spans="1:25" ht="15" customHeight="1" x14ac:dyDescent="0.25">
      <c r="A70" s="12" t="s">
        <v>8933</v>
      </c>
      <c r="B70" s="13" t="s">
        <v>4977</v>
      </c>
      <c r="C70" s="14">
        <v>46389</v>
      </c>
      <c r="D70" s="13" t="s">
        <v>1533</v>
      </c>
      <c r="E70" s="6" t="s">
        <v>215</v>
      </c>
      <c r="F70" s="15" t="s">
        <v>8932</v>
      </c>
      <c r="G70" s="6" t="s">
        <v>216</v>
      </c>
      <c r="H70" s="6" t="s">
        <v>216</v>
      </c>
      <c r="I70" s="13" t="s">
        <v>39</v>
      </c>
      <c r="J70" s="13">
        <v>12</v>
      </c>
      <c r="K70" s="13" t="s">
        <v>6574</v>
      </c>
      <c r="L70" s="6" t="s">
        <v>8934</v>
      </c>
      <c r="M70" s="108" t="s">
        <v>8935</v>
      </c>
      <c r="N70" s="13" t="s">
        <v>2187</v>
      </c>
      <c r="O70" s="13" t="s">
        <v>53</v>
      </c>
      <c r="P70" s="13" t="s">
        <v>54</v>
      </c>
      <c r="Q70" s="6" t="s">
        <v>8936</v>
      </c>
      <c r="R70" s="69" t="s">
        <v>8937</v>
      </c>
      <c r="S70" s="69" t="s">
        <v>8938</v>
      </c>
      <c r="T70" s="60">
        <v>12000</v>
      </c>
      <c r="U70" s="60">
        <v>12000</v>
      </c>
      <c r="V70" s="13" t="s">
        <v>8939</v>
      </c>
      <c r="X70" s="132">
        <v>68</v>
      </c>
      <c r="Y70" s="6"/>
    </row>
    <row r="71" spans="1:25" ht="15" customHeight="1" x14ac:dyDescent="0.2">
      <c r="A71" s="12" t="s">
        <v>1570</v>
      </c>
      <c r="B71" s="13" t="s">
        <v>4978</v>
      </c>
      <c r="C71" s="100">
        <v>47552</v>
      </c>
      <c r="D71" s="24" t="s">
        <v>33</v>
      </c>
      <c r="E71" s="31" t="s">
        <v>2953</v>
      </c>
      <c r="F71" s="32" t="s">
        <v>11152</v>
      </c>
      <c r="G71" s="31" t="s">
        <v>220</v>
      </c>
      <c r="H71" s="31" t="s">
        <v>220</v>
      </c>
      <c r="I71" s="24" t="s">
        <v>25</v>
      </c>
      <c r="J71" s="13">
        <v>3</v>
      </c>
      <c r="K71" s="13" t="s">
        <v>1714</v>
      </c>
      <c r="L71" s="31" t="s">
        <v>2905</v>
      </c>
      <c r="M71" s="112" t="s">
        <v>2906</v>
      </c>
      <c r="N71" s="24" t="s">
        <v>2494</v>
      </c>
      <c r="O71" s="13" t="s">
        <v>136</v>
      </c>
      <c r="P71" s="13" t="s">
        <v>4</v>
      </c>
      <c r="Q71" s="31" t="s">
        <v>11153</v>
      </c>
      <c r="R71" s="33" t="s">
        <v>2907</v>
      </c>
      <c r="S71" s="31"/>
      <c r="T71" s="24">
        <v>25</v>
      </c>
      <c r="U71" s="24">
        <v>23</v>
      </c>
      <c r="V71" s="24" t="s">
        <v>2908</v>
      </c>
      <c r="X71" s="132">
        <v>69</v>
      </c>
      <c r="Y71" s="6"/>
    </row>
    <row r="72" spans="1:25" ht="15" customHeight="1" x14ac:dyDescent="0.2">
      <c r="A72" s="20" t="s">
        <v>1571</v>
      </c>
      <c r="B72" s="22" t="s">
        <v>2608</v>
      </c>
      <c r="C72" s="14">
        <v>45655</v>
      </c>
      <c r="D72" s="13" t="s">
        <v>1533</v>
      </c>
      <c r="E72" s="6" t="s">
        <v>222</v>
      </c>
      <c r="G72" s="6" t="s">
        <v>223</v>
      </c>
      <c r="I72" s="13" t="s">
        <v>39</v>
      </c>
      <c r="J72" s="13">
        <v>12</v>
      </c>
      <c r="K72" s="13"/>
      <c r="L72" s="6"/>
      <c r="M72" s="108"/>
      <c r="O72" s="13" t="s">
        <v>53</v>
      </c>
      <c r="P72" s="13" t="s">
        <v>54</v>
      </c>
      <c r="Q72" s="6"/>
      <c r="R72" s="6" t="s">
        <v>224</v>
      </c>
      <c r="T72" s="13"/>
      <c r="U72" s="13"/>
      <c r="V72" s="13" t="s">
        <v>8948</v>
      </c>
      <c r="X72" s="132">
        <v>70</v>
      </c>
      <c r="Y72" s="6"/>
    </row>
    <row r="73" spans="1:25" ht="15" customHeight="1" x14ac:dyDescent="0.25">
      <c r="A73" s="12" t="s">
        <v>8940</v>
      </c>
      <c r="B73" s="13" t="s">
        <v>4977</v>
      </c>
      <c r="C73" s="14">
        <v>46389</v>
      </c>
      <c r="D73" s="13" t="s">
        <v>1533</v>
      </c>
      <c r="E73" s="6" t="s">
        <v>222</v>
      </c>
      <c r="F73" s="15" t="s">
        <v>8941</v>
      </c>
      <c r="G73" s="6" t="s">
        <v>8942</v>
      </c>
      <c r="I73" s="13" t="s">
        <v>39</v>
      </c>
      <c r="J73" s="13">
        <v>12</v>
      </c>
      <c r="K73" s="13" t="s">
        <v>1714</v>
      </c>
      <c r="L73" s="6" t="s">
        <v>8943</v>
      </c>
      <c r="M73" s="108" t="s">
        <v>8944</v>
      </c>
      <c r="N73" s="13" t="s">
        <v>2925</v>
      </c>
      <c r="O73" s="13" t="s">
        <v>53</v>
      </c>
      <c r="P73" s="13" t="s">
        <v>54</v>
      </c>
      <c r="Q73" s="6" t="s">
        <v>8945</v>
      </c>
      <c r="R73" s="69" t="s">
        <v>8946</v>
      </c>
      <c r="S73" s="30" t="s">
        <v>8995</v>
      </c>
      <c r="T73" s="18">
        <v>120</v>
      </c>
      <c r="U73" s="18">
        <v>120</v>
      </c>
      <c r="V73" s="13" t="s">
        <v>8947</v>
      </c>
      <c r="X73" s="132">
        <v>71</v>
      </c>
      <c r="Y73" s="6"/>
    </row>
    <row r="74" spans="1:25" ht="15" customHeight="1" x14ac:dyDescent="0.25">
      <c r="A74" s="19" t="s">
        <v>1572</v>
      </c>
      <c r="B74" s="13" t="s">
        <v>4978</v>
      </c>
      <c r="C74" s="74">
        <v>47253</v>
      </c>
      <c r="D74" s="13" t="s">
        <v>33</v>
      </c>
      <c r="E74" s="6" t="s">
        <v>9860</v>
      </c>
      <c r="F74" s="15" t="s">
        <v>9861</v>
      </c>
      <c r="G74" s="6" t="s">
        <v>227</v>
      </c>
      <c r="H74" s="6" t="s">
        <v>227</v>
      </c>
      <c r="I74" s="13" t="s">
        <v>25</v>
      </c>
      <c r="J74" s="13">
        <v>3</v>
      </c>
      <c r="K74" s="13" t="s">
        <v>1714</v>
      </c>
      <c r="L74" s="6" t="s">
        <v>9862</v>
      </c>
      <c r="M74" s="108" t="s">
        <v>4916</v>
      </c>
      <c r="N74" s="13" t="s">
        <v>4917</v>
      </c>
      <c r="O74" s="13" t="s">
        <v>97</v>
      </c>
      <c r="P74" s="13" t="s">
        <v>4</v>
      </c>
      <c r="Q74" s="6" t="s">
        <v>9956</v>
      </c>
      <c r="R74" s="69" t="s">
        <v>4919</v>
      </c>
      <c r="S74" s="69" t="s">
        <v>4920</v>
      </c>
      <c r="T74" s="13">
        <v>42</v>
      </c>
      <c r="U74" s="13">
        <v>30</v>
      </c>
      <c r="V74" s="13" t="s">
        <v>9863</v>
      </c>
      <c r="X74" s="132">
        <v>72</v>
      </c>
      <c r="Y74" s="6"/>
    </row>
    <row r="75" spans="1:25" s="31" customFormat="1" ht="15" customHeight="1" x14ac:dyDescent="0.2">
      <c r="A75" s="12" t="s">
        <v>1573</v>
      </c>
      <c r="B75" s="13" t="s">
        <v>4978</v>
      </c>
      <c r="C75" s="100">
        <v>47436</v>
      </c>
      <c r="D75" s="24" t="s">
        <v>33</v>
      </c>
      <c r="E75" s="31" t="s">
        <v>2954</v>
      </c>
      <c r="F75" s="32" t="s">
        <v>10927</v>
      </c>
      <c r="G75" s="31" t="s">
        <v>230</v>
      </c>
      <c r="H75" s="31" t="s">
        <v>230</v>
      </c>
      <c r="I75" s="24" t="s">
        <v>25</v>
      </c>
      <c r="J75" s="13">
        <v>3</v>
      </c>
      <c r="K75" s="13" t="s">
        <v>1714</v>
      </c>
      <c r="L75" s="31" t="s">
        <v>2736</v>
      </c>
      <c r="M75" s="112" t="s">
        <v>2737</v>
      </c>
      <c r="N75" s="24" t="s">
        <v>2738</v>
      </c>
      <c r="O75" s="13" t="s">
        <v>61</v>
      </c>
      <c r="P75" s="13" t="s">
        <v>9</v>
      </c>
      <c r="Q75" s="31" t="s">
        <v>10928</v>
      </c>
      <c r="R75" s="31" t="s">
        <v>231</v>
      </c>
      <c r="S75" s="33" t="s">
        <v>2739</v>
      </c>
      <c r="T75" s="24">
        <v>37</v>
      </c>
      <c r="U75" s="24">
        <v>25</v>
      </c>
      <c r="V75" s="24" t="s">
        <v>3048</v>
      </c>
      <c r="W75" s="6"/>
      <c r="X75" s="132">
        <v>73</v>
      </c>
    </row>
    <row r="76" spans="1:25" ht="15" customHeight="1" x14ac:dyDescent="0.2">
      <c r="A76" s="12" t="s">
        <v>1574</v>
      </c>
      <c r="B76" s="24" t="s">
        <v>4978</v>
      </c>
      <c r="C76" s="14">
        <v>47615</v>
      </c>
      <c r="D76" s="13" t="s">
        <v>33</v>
      </c>
      <c r="E76" s="6" t="s">
        <v>11978</v>
      </c>
      <c r="F76" s="15" t="s">
        <v>11979</v>
      </c>
      <c r="G76" s="6" t="s">
        <v>234</v>
      </c>
      <c r="H76" s="6" t="s">
        <v>234</v>
      </c>
      <c r="I76" s="13" t="s">
        <v>25</v>
      </c>
      <c r="J76" s="13">
        <v>3</v>
      </c>
      <c r="K76" s="13" t="s">
        <v>1714</v>
      </c>
      <c r="L76" s="6" t="s">
        <v>3425</v>
      </c>
      <c r="M76" s="108" t="s">
        <v>11980</v>
      </c>
      <c r="N76" s="13" t="s">
        <v>177</v>
      </c>
      <c r="O76" s="13" t="s">
        <v>177</v>
      </c>
      <c r="P76" s="13" t="s">
        <v>9</v>
      </c>
      <c r="Q76" s="6" t="s">
        <v>3426</v>
      </c>
      <c r="R76" s="6" t="s">
        <v>235</v>
      </c>
      <c r="T76" s="13">
        <v>35</v>
      </c>
      <c r="U76" s="13">
        <v>25</v>
      </c>
      <c r="V76" s="13" t="s">
        <v>3427</v>
      </c>
      <c r="X76" s="132">
        <v>74</v>
      </c>
      <c r="Y76" s="6"/>
    </row>
    <row r="77" spans="1:25" ht="15" customHeight="1" x14ac:dyDescent="0.2">
      <c r="A77" s="20" t="s">
        <v>1575</v>
      </c>
      <c r="B77" s="22" t="s">
        <v>2608</v>
      </c>
      <c r="C77" s="14">
        <v>45259</v>
      </c>
      <c r="D77" s="13" t="s">
        <v>33</v>
      </c>
      <c r="E77" s="6" t="s">
        <v>237</v>
      </c>
      <c r="F77" s="15" t="s">
        <v>238</v>
      </c>
      <c r="G77" s="6" t="s">
        <v>239</v>
      </c>
      <c r="I77" s="13" t="s">
        <v>25</v>
      </c>
      <c r="J77" s="13">
        <v>3</v>
      </c>
      <c r="K77" s="13" t="s">
        <v>1714</v>
      </c>
      <c r="L77" s="6" t="s">
        <v>7746</v>
      </c>
      <c r="M77" s="108" t="s">
        <v>7747</v>
      </c>
      <c r="N77" s="13" t="s">
        <v>7748</v>
      </c>
      <c r="O77" s="13" t="s">
        <v>240</v>
      </c>
      <c r="P77" s="13" t="s">
        <v>16</v>
      </c>
      <c r="Q77" s="6" t="s">
        <v>7749</v>
      </c>
      <c r="R77" s="6" t="s">
        <v>241</v>
      </c>
      <c r="T77" s="13"/>
      <c r="U77" s="13"/>
      <c r="V77" s="13"/>
      <c r="X77" s="132">
        <v>75</v>
      </c>
      <c r="Y77" s="6"/>
    </row>
    <row r="78" spans="1:25" ht="15" customHeight="1" x14ac:dyDescent="0.2">
      <c r="A78" s="12" t="s">
        <v>1576</v>
      </c>
      <c r="B78" s="24" t="s">
        <v>4978</v>
      </c>
      <c r="C78" s="14">
        <v>47642</v>
      </c>
      <c r="D78" s="13" t="s">
        <v>33</v>
      </c>
      <c r="E78" s="6" t="s">
        <v>12049</v>
      </c>
      <c r="F78" s="15" t="s">
        <v>11697</v>
      </c>
      <c r="G78" s="6" t="s">
        <v>244</v>
      </c>
      <c r="H78" s="6" t="s">
        <v>244</v>
      </c>
      <c r="I78" s="13" t="s">
        <v>25</v>
      </c>
      <c r="J78" s="13">
        <v>3</v>
      </c>
      <c r="K78" s="13" t="s">
        <v>1714</v>
      </c>
      <c r="L78" s="6" t="s">
        <v>3479</v>
      </c>
      <c r="M78" s="108" t="s">
        <v>2105</v>
      </c>
      <c r="N78" s="13" t="s">
        <v>3214</v>
      </c>
      <c r="O78" s="13" t="s">
        <v>172</v>
      </c>
      <c r="P78" s="13" t="s">
        <v>9</v>
      </c>
      <c r="Q78" s="6" t="s">
        <v>12050</v>
      </c>
      <c r="R78" s="6" t="s">
        <v>245</v>
      </c>
      <c r="S78" s="17" t="s">
        <v>3480</v>
      </c>
      <c r="T78" s="13">
        <v>20</v>
      </c>
      <c r="U78" s="13">
        <v>17</v>
      </c>
      <c r="V78" s="13" t="s">
        <v>3481</v>
      </c>
      <c r="X78" s="132">
        <v>76</v>
      </c>
      <c r="Y78" s="6"/>
    </row>
    <row r="79" spans="1:25" ht="15" customHeight="1" x14ac:dyDescent="0.2">
      <c r="A79" s="20" t="s">
        <v>1577</v>
      </c>
      <c r="B79" s="22" t="s">
        <v>2608</v>
      </c>
      <c r="C79" s="23">
        <v>45833</v>
      </c>
      <c r="D79" s="13" t="s">
        <v>33</v>
      </c>
      <c r="E79" s="6" t="s">
        <v>2555</v>
      </c>
      <c r="F79" s="15" t="s">
        <v>248</v>
      </c>
      <c r="G79" s="6" t="s">
        <v>249</v>
      </c>
      <c r="I79" s="13" t="s">
        <v>25</v>
      </c>
      <c r="J79" s="13">
        <v>3</v>
      </c>
      <c r="K79" s="13" t="s">
        <v>1714</v>
      </c>
      <c r="L79" s="6" t="s">
        <v>2556</v>
      </c>
      <c r="M79" s="108" t="s">
        <v>2557</v>
      </c>
      <c r="N79" s="13" t="s">
        <v>2558</v>
      </c>
      <c r="O79" s="13" t="s">
        <v>128</v>
      </c>
      <c r="P79" s="13" t="s">
        <v>16</v>
      </c>
      <c r="Q79" s="6" t="s">
        <v>2559</v>
      </c>
      <c r="R79" s="6" t="s">
        <v>250</v>
      </c>
      <c r="T79" s="13">
        <v>20</v>
      </c>
      <c r="U79" s="13">
        <v>14</v>
      </c>
      <c r="V79" s="13" t="s">
        <v>2560</v>
      </c>
      <c r="X79" s="132">
        <v>77</v>
      </c>
      <c r="Y79" s="6"/>
    </row>
    <row r="80" spans="1:25" ht="15" customHeight="1" x14ac:dyDescent="0.2">
      <c r="A80" s="12" t="s">
        <v>1578</v>
      </c>
      <c r="B80" s="13" t="s">
        <v>4978</v>
      </c>
      <c r="C80" s="74">
        <v>46320</v>
      </c>
      <c r="D80" s="13" t="s">
        <v>33</v>
      </c>
      <c r="E80" s="6" t="s">
        <v>4376</v>
      </c>
      <c r="F80" s="15" t="s">
        <v>11698</v>
      </c>
      <c r="G80" s="6" t="s">
        <v>253</v>
      </c>
      <c r="I80" s="13" t="s">
        <v>25</v>
      </c>
      <c r="J80" s="13">
        <v>3</v>
      </c>
      <c r="K80" s="13" t="s">
        <v>1714</v>
      </c>
      <c r="L80" s="6" t="s">
        <v>4378</v>
      </c>
      <c r="M80" s="108" t="s">
        <v>4379</v>
      </c>
      <c r="N80" s="13" t="s">
        <v>4380</v>
      </c>
      <c r="O80" s="13" t="s">
        <v>2085</v>
      </c>
      <c r="P80" s="13" t="s">
        <v>68</v>
      </c>
      <c r="Q80" s="6" t="s">
        <v>4381</v>
      </c>
      <c r="R80" s="6" t="s">
        <v>4382</v>
      </c>
      <c r="S80" s="17" t="s">
        <v>4383</v>
      </c>
      <c r="T80" s="13">
        <v>21</v>
      </c>
      <c r="U80" s="13">
        <v>19</v>
      </c>
      <c r="V80" s="13" t="s">
        <v>4377</v>
      </c>
      <c r="X80" s="132">
        <v>78</v>
      </c>
      <c r="Y80" s="6"/>
    </row>
    <row r="81" spans="1:25" ht="15" customHeight="1" x14ac:dyDescent="0.2">
      <c r="A81" s="20" t="s">
        <v>1579</v>
      </c>
      <c r="B81" s="22" t="s">
        <v>2608</v>
      </c>
      <c r="C81" s="14">
        <v>45802</v>
      </c>
      <c r="D81" s="13" t="s">
        <v>33</v>
      </c>
      <c r="E81" s="6" t="s">
        <v>2309</v>
      </c>
      <c r="G81" s="6" t="s">
        <v>256</v>
      </c>
      <c r="I81" s="13" t="s">
        <v>25</v>
      </c>
      <c r="J81" s="13">
        <v>3</v>
      </c>
      <c r="K81" s="13" t="s">
        <v>1714</v>
      </c>
      <c r="L81" s="6" t="s">
        <v>2310</v>
      </c>
      <c r="M81" s="108" t="s">
        <v>2311</v>
      </c>
      <c r="N81" s="13" t="s">
        <v>2312</v>
      </c>
      <c r="O81" s="13" t="s">
        <v>15</v>
      </c>
      <c r="P81" s="13" t="s">
        <v>16</v>
      </c>
      <c r="Q81" s="6" t="s">
        <v>2313</v>
      </c>
      <c r="R81" s="17" t="s">
        <v>2314</v>
      </c>
      <c r="S81" s="17" t="s">
        <v>2315</v>
      </c>
      <c r="T81" s="13">
        <v>15</v>
      </c>
      <c r="U81" s="13">
        <v>12</v>
      </c>
      <c r="V81" s="13">
        <v>12</v>
      </c>
      <c r="X81" s="132">
        <v>79</v>
      </c>
      <c r="Y81" s="6"/>
    </row>
    <row r="82" spans="1:25" ht="15" customHeight="1" x14ac:dyDescent="0.2">
      <c r="A82" s="20" t="s">
        <v>1580</v>
      </c>
      <c r="B82" s="22" t="s">
        <v>2608</v>
      </c>
      <c r="C82" s="14">
        <v>43017</v>
      </c>
      <c r="D82" s="13" t="s">
        <v>33</v>
      </c>
      <c r="E82" s="6" t="s">
        <v>258</v>
      </c>
      <c r="F82" s="15" t="s">
        <v>259</v>
      </c>
      <c r="G82" s="6" t="s">
        <v>260</v>
      </c>
      <c r="I82" s="13" t="s">
        <v>25</v>
      </c>
      <c r="J82" s="13">
        <v>3</v>
      </c>
      <c r="K82" s="13" t="s">
        <v>1714</v>
      </c>
      <c r="L82" s="6"/>
      <c r="M82" s="108"/>
      <c r="O82" s="13" t="s">
        <v>36</v>
      </c>
      <c r="P82" s="13" t="s">
        <v>4</v>
      </c>
      <c r="Q82" s="6"/>
      <c r="R82" s="6" t="s">
        <v>261</v>
      </c>
      <c r="T82" s="13"/>
      <c r="U82" s="13"/>
      <c r="V82" s="13"/>
      <c r="X82" s="132">
        <v>80</v>
      </c>
      <c r="Y82" s="6"/>
    </row>
    <row r="83" spans="1:25" ht="15" customHeight="1" x14ac:dyDescent="0.25">
      <c r="A83" s="12" t="s">
        <v>1581</v>
      </c>
      <c r="B83" s="13" t="s">
        <v>4978</v>
      </c>
      <c r="C83" s="74">
        <v>47552</v>
      </c>
      <c r="D83" s="13" t="s">
        <v>33</v>
      </c>
      <c r="E83" s="6" t="s">
        <v>3405</v>
      </c>
      <c r="F83" s="15" t="s">
        <v>264</v>
      </c>
      <c r="G83" s="6" t="s">
        <v>265</v>
      </c>
      <c r="H83" s="6" t="s">
        <v>265</v>
      </c>
      <c r="I83" s="13" t="s">
        <v>25</v>
      </c>
      <c r="J83" s="13">
        <v>3</v>
      </c>
      <c r="K83" s="13" t="s">
        <v>1714</v>
      </c>
      <c r="L83" s="6" t="s">
        <v>3313</v>
      </c>
      <c r="M83" s="108" t="s">
        <v>11271</v>
      </c>
      <c r="N83" s="13" t="s">
        <v>2776</v>
      </c>
      <c r="O83" s="13" t="s">
        <v>136</v>
      </c>
      <c r="P83" s="13" t="s">
        <v>4</v>
      </c>
      <c r="Q83" s="6" t="s">
        <v>11272</v>
      </c>
      <c r="R83" s="69" t="s">
        <v>4992</v>
      </c>
      <c r="S83" s="17" t="s">
        <v>3314</v>
      </c>
      <c r="T83" s="13">
        <v>48</v>
      </c>
      <c r="U83" s="13">
        <v>39</v>
      </c>
      <c r="V83" s="13" t="s">
        <v>3315</v>
      </c>
      <c r="X83" s="132">
        <v>81</v>
      </c>
      <c r="Y83" s="6"/>
    </row>
    <row r="84" spans="1:25" ht="15" customHeight="1" x14ac:dyDescent="0.2">
      <c r="A84" s="20" t="s">
        <v>1582</v>
      </c>
      <c r="B84" s="22" t="s">
        <v>2608</v>
      </c>
      <c r="C84" s="14">
        <v>43747</v>
      </c>
      <c r="D84" s="13" t="s">
        <v>33</v>
      </c>
      <c r="E84" s="6" t="s">
        <v>267</v>
      </c>
      <c r="G84" s="6" t="s">
        <v>268</v>
      </c>
      <c r="I84" s="13" t="s">
        <v>25</v>
      </c>
      <c r="J84" s="13">
        <v>3</v>
      </c>
      <c r="K84" s="13" t="s">
        <v>1714</v>
      </c>
      <c r="L84" s="6"/>
      <c r="M84" s="108"/>
      <c r="O84" s="13" t="s">
        <v>53</v>
      </c>
      <c r="P84" s="13" t="s">
        <v>54</v>
      </c>
      <c r="Q84" s="6" t="s">
        <v>7987</v>
      </c>
      <c r="R84" s="6" t="s">
        <v>269</v>
      </c>
      <c r="T84" s="13"/>
      <c r="U84" s="13"/>
      <c r="V84" s="13"/>
      <c r="X84" s="132">
        <v>82</v>
      </c>
      <c r="Y84" s="6"/>
    </row>
    <row r="85" spans="1:25" ht="15" customHeight="1" x14ac:dyDescent="0.25">
      <c r="A85" s="12" t="s">
        <v>1583</v>
      </c>
      <c r="B85" s="13" t="s">
        <v>4978</v>
      </c>
      <c r="C85" s="74">
        <v>47120</v>
      </c>
      <c r="D85" s="13" t="s">
        <v>33</v>
      </c>
      <c r="E85" s="6" t="s">
        <v>6843</v>
      </c>
      <c r="F85" s="15" t="s">
        <v>8906</v>
      </c>
      <c r="G85" s="6" t="s">
        <v>272</v>
      </c>
      <c r="H85" s="6" t="s">
        <v>272</v>
      </c>
      <c r="I85" s="13" t="s">
        <v>25</v>
      </c>
      <c r="J85" s="13">
        <v>3</v>
      </c>
      <c r="K85" s="13" t="s">
        <v>1714</v>
      </c>
      <c r="L85" s="6" t="s">
        <v>8907</v>
      </c>
      <c r="M85" s="108" t="s">
        <v>8908</v>
      </c>
      <c r="N85" s="13" t="s">
        <v>273</v>
      </c>
      <c r="O85" s="13" t="s">
        <v>11949</v>
      </c>
      <c r="P85" s="13" t="s">
        <v>68</v>
      </c>
      <c r="Q85" s="6" t="s">
        <v>8909</v>
      </c>
      <c r="R85" s="69" t="s">
        <v>8910</v>
      </c>
      <c r="S85" s="6" t="s">
        <v>8995</v>
      </c>
      <c r="T85" s="13">
        <v>30</v>
      </c>
      <c r="U85" s="13">
        <v>28</v>
      </c>
      <c r="V85" s="13" t="s">
        <v>8911</v>
      </c>
      <c r="X85" s="132">
        <v>83</v>
      </c>
      <c r="Y85" s="6"/>
    </row>
    <row r="86" spans="1:25" ht="15" customHeight="1" x14ac:dyDescent="0.25">
      <c r="A86" s="12" t="s">
        <v>1584</v>
      </c>
      <c r="B86" s="13" t="s">
        <v>4978</v>
      </c>
      <c r="C86" s="74">
        <v>47359</v>
      </c>
      <c r="D86" s="13" t="s">
        <v>33</v>
      </c>
      <c r="E86" s="6" t="s">
        <v>10462</v>
      </c>
      <c r="F86" s="15" t="s">
        <v>10463</v>
      </c>
      <c r="G86" s="6" t="s">
        <v>276</v>
      </c>
      <c r="H86" s="6" t="s">
        <v>276</v>
      </c>
      <c r="I86" s="13" t="s">
        <v>25</v>
      </c>
      <c r="J86" s="13">
        <v>3</v>
      </c>
      <c r="K86" s="13" t="s">
        <v>1714</v>
      </c>
      <c r="L86" s="6" t="s">
        <v>2626</v>
      </c>
      <c r="M86" s="108" t="s">
        <v>2627</v>
      </c>
      <c r="N86" s="13" t="s">
        <v>2116</v>
      </c>
      <c r="O86" s="13" t="s">
        <v>53</v>
      </c>
      <c r="P86" s="13" t="s">
        <v>54</v>
      </c>
      <c r="Q86" s="6" t="s">
        <v>7988</v>
      </c>
      <c r="R86" s="6" t="s">
        <v>277</v>
      </c>
      <c r="S86" s="69" t="s">
        <v>10465</v>
      </c>
      <c r="T86" s="13">
        <v>35</v>
      </c>
      <c r="U86" s="13">
        <v>25</v>
      </c>
      <c r="V86" s="13" t="s">
        <v>10464</v>
      </c>
      <c r="X86" s="132">
        <v>84</v>
      </c>
      <c r="Y86" s="6"/>
    </row>
    <row r="87" spans="1:25" ht="15" customHeight="1" x14ac:dyDescent="0.2">
      <c r="A87" s="12" t="s">
        <v>1585</v>
      </c>
      <c r="B87" s="13" t="s">
        <v>4978</v>
      </c>
      <c r="C87" s="74">
        <v>47406</v>
      </c>
      <c r="D87" s="13" t="s">
        <v>33</v>
      </c>
      <c r="E87" s="6" t="s">
        <v>10733</v>
      </c>
      <c r="F87" s="15" t="s">
        <v>280</v>
      </c>
      <c r="G87" s="6" t="s">
        <v>281</v>
      </c>
      <c r="H87" s="6" t="s">
        <v>281</v>
      </c>
      <c r="I87" s="13" t="s">
        <v>25</v>
      </c>
      <c r="J87" s="13">
        <v>3</v>
      </c>
      <c r="K87" s="13" t="s">
        <v>1714</v>
      </c>
      <c r="L87" s="6" t="s">
        <v>2253</v>
      </c>
      <c r="M87" s="108" t="s">
        <v>2254</v>
      </c>
      <c r="N87" s="13" t="s">
        <v>2255</v>
      </c>
      <c r="O87" s="13" t="s">
        <v>177</v>
      </c>
      <c r="P87" s="13" t="s">
        <v>9</v>
      </c>
      <c r="Q87" s="6" t="s">
        <v>10734</v>
      </c>
      <c r="R87" s="6" t="s">
        <v>282</v>
      </c>
      <c r="S87" s="6" t="s">
        <v>2256</v>
      </c>
      <c r="T87" s="13">
        <v>26</v>
      </c>
      <c r="U87" s="13">
        <v>16</v>
      </c>
      <c r="V87" s="13" t="s">
        <v>10735</v>
      </c>
      <c r="X87" s="132">
        <v>85</v>
      </c>
      <c r="Y87" s="6"/>
    </row>
    <row r="88" spans="1:25" ht="15" customHeight="1" x14ac:dyDescent="0.2">
      <c r="A88" s="12" t="s">
        <v>1586</v>
      </c>
      <c r="B88" s="13" t="s">
        <v>4978</v>
      </c>
      <c r="C88" s="74">
        <v>46932</v>
      </c>
      <c r="D88" s="13" t="s">
        <v>33</v>
      </c>
      <c r="E88" s="6" t="s">
        <v>284</v>
      </c>
      <c r="F88" s="15" t="s">
        <v>7590</v>
      </c>
      <c r="G88" s="6" t="s">
        <v>285</v>
      </c>
      <c r="H88" s="6" t="s">
        <v>285</v>
      </c>
      <c r="I88" s="13" t="s">
        <v>25</v>
      </c>
      <c r="J88" s="13">
        <v>3</v>
      </c>
      <c r="K88" s="13" t="s">
        <v>1714</v>
      </c>
      <c r="L88" s="6" t="s">
        <v>7558</v>
      </c>
      <c r="M88" s="108" t="s">
        <v>7559</v>
      </c>
      <c r="N88" s="13" t="s">
        <v>15</v>
      </c>
      <c r="O88" s="13" t="s">
        <v>15</v>
      </c>
      <c r="P88" s="13" t="s">
        <v>16</v>
      </c>
      <c r="Q88" s="6" t="s">
        <v>7560</v>
      </c>
      <c r="R88" s="17" t="s">
        <v>7561</v>
      </c>
      <c r="S88" s="17" t="s">
        <v>7562</v>
      </c>
      <c r="T88" s="13">
        <v>41</v>
      </c>
      <c r="U88" s="13">
        <v>41</v>
      </c>
      <c r="V88" s="13" t="s">
        <v>7563</v>
      </c>
      <c r="X88" s="132">
        <v>86</v>
      </c>
      <c r="Y88" s="6"/>
    </row>
    <row r="89" spans="1:25" ht="15" customHeight="1" x14ac:dyDescent="0.25">
      <c r="A89" s="12" t="s">
        <v>11452</v>
      </c>
      <c r="B89" s="13" t="s">
        <v>4978</v>
      </c>
      <c r="C89" s="102">
        <v>47615</v>
      </c>
      <c r="D89" s="79" t="s">
        <v>33</v>
      </c>
      <c r="E89" s="81" t="s">
        <v>11453</v>
      </c>
      <c r="F89" s="82" t="s">
        <v>11454</v>
      </c>
      <c r="G89" s="81" t="s">
        <v>11455</v>
      </c>
      <c r="H89" s="81" t="s">
        <v>11455</v>
      </c>
      <c r="I89" s="79" t="s">
        <v>25</v>
      </c>
      <c r="J89" s="79">
        <v>3</v>
      </c>
      <c r="K89" s="79" t="s">
        <v>1714</v>
      </c>
      <c r="L89" s="81" t="s">
        <v>11456</v>
      </c>
      <c r="M89" s="109" t="s">
        <v>11457</v>
      </c>
      <c r="N89" s="79" t="s">
        <v>15</v>
      </c>
      <c r="O89" s="13" t="s">
        <v>15</v>
      </c>
      <c r="P89" s="13" t="s">
        <v>16</v>
      </c>
      <c r="Q89" s="81" t="s">
        <v>11458</v>
      </c>
      <c r="R89" s="69" t="s">
        <v>7561</v>
      </c>
      <c r="S89" s="69" t="s">
        <v>7562</v>
      </c>
      <c r="T89" s="85">
        <v>48</v>
      </c>
      <c r="U89" s="85">
        <v>8</v>
      </c>
      <c r="V89" s="79" t="s">
        <v>7563</v>
      </c>
      <c r="W89" s="81"/>
      <c r="X89" s="132">
        <v>87</v>
      </c>
      <c r="Y89" s="6"/>
    </row>
    <row r="90" spans="1:25" ht="15" customHeight="1" x14ac:dyDescent="0.25">
      <c r="A90" s="12" t="s">
        <v>1587</v>
      </c>
      <c r="B90" s="13" t="s">
        <v>4978</v>
      </c>
      <c r="C90" s="74">
        <v>47194</v>
      </c>
      <c r="D90" s="13" t="s">
        <v>33</v>
      </c>
      <c r="E90" s="6" t="s">
        <v>9595</v>
      </c>
      <c r="F90" s="15" t="s">
        <v>9534</v>
      </c>
      <c r="G90" s="6" t="s">
        <v>288</v>
      </c>
      <c r="H90" s="6" t="s">
        <v>288</v>
      </c>
      <c r="I90" s="13" t="s">
        <v>25</v>
      </c>
      <c r="J90" s="13">
        <v>3</v>
      </c>
      <c r="K90" s="13" t="s">
        <v>1714</v>
      </c>
      <c r="L90" s="6" t="s">
        <v>9596</v>
      </c>
      <c r="M90" s="108" t="s">
        <v>9535</v>
      </c>
      <c r="N90" s="13" t="s">
        <v>9536</v>
      </c>
      <c r="O90" s="13" t="s">
        <v>97</v>
      </c>
      <c r="P90" s="13" t="s">
        <v>4</v>
      </c>
      <c r="Q90" s="6" t="s">
        <v>9537</v>
      </c>
      <c r="R90" s="69" t="s">
        <v>6190</v>
      </c>
      <c r="S90" s="69" t="s">
        <v>9538</v>
      </c>
      <c r="T90" s="13">
        <v>40</v>
      </c>
      <c r="U90" s="13">
        <v>8</v>
      </c>
      <c r="V90" s="13" t="s">
        <v>9539</v>
      </c>
      <c r="X90" s="132">
        <v>88</v>
      </c>
      <c r="Y90" s="6"/>
    </row>
    <row r="91" spans="1:25" ht="15" customHeight="1" x14ac:dyDescent="0.2">
      <c r="A91" s="12" t="s">
        <v>1588</v>
      </c>
      <c r="B91" s="24" t="s">
        <v>4977</v>
      </c>
      <c r="C91" s="14">
        <v>46885</v>
      </c>
      <c r="D91" s="13" t="s">
        <v>1533</v>
      </c>
      <c r="E91" s="6" t="s">
        <v>290</v>
      </c>
      <c r="F91" s="15" t="s">
        <v>291</v>
      </c>
      <c r="G91" s="6" t="s">
        <v>6594</v>
      </c>
      <c r="H91" s="6" t="s">
        <v>292</v>
      </c>
      <c r="I91" s="13" t="s">
        <v>25</v>
      </c>
      <c r="J91" s="13">
        <v>6</v>
      </c>
      <c r="K91" s="13" t="s">
        <v>1714</v>
      </c>
      <c r="L91" s="6" t="s">
        <v>6595</v>
      </c>
      <c r="M91" s="108" t="s">
        <v>2819</v>
      </c>
      <c r="N91" s="13" t="s">
        <v>2820</v>
      </c>
      <c r="O91" s="13" t="s">
        <v>293</v>
      </c>
      <c r="P91" s="13" t="s">
        <v>16</v>
      </c>
      <c r="Q91" s="6" t="s">
        <v>6596</v>
      </c>
      <c r="R91" s="17" t="s">
        <v>6597</v>
      </c>
      <c r="T91" s="13">
        <v>38</v>
      </c>
      <c r="U91" s="13">
        <v>35</v>
      </c>
      <c r="V91" s="13" t="s">
        <v>6598</v>
      </c>
      <c r="W91" s="13" t="s">
        <v>6599</v>
      </c>
      <c r="X91" s="132">
        <v>89</v>
      </c>
      <c r="Y91" s="6"/>
    </row>
    <row r="92" spans="1:25" ht="15" customHeight="1" x14ac:dyDescent="0.2">
      <c r="A92" s="12" t="s">
        <v>1589</v>
      </c>
      <c r="B92" s="13" t="s">
        <v>4978</v>
      </c>
      <c r="C92" s="74">
        <v>46372</v>
      </c>
      <c r="D92" s="13" t="s">
        <v>33</v>
      </c>
      <c r="E92" s="6" t="s">
        <v>4785</v>
      </c>
      <c r="F92" s="15" t="s">
        <v>11699</v>
      </c>
      <c r="G92" s="6" t="s">
        <v>296</v>
      </c>
      <c r="I92" s="13" t="s">
        <v>25</v>
      </c>
      <c r="J92" s="13">
        <v>3</v>
      </c>
      <c r="K92" s="13" t="s">
        <v>1714</v>
      </c>
      <c r="L92" s="6" t="s">
        <v>4639</v>
      </c>
      <c r="M92" s="108" t="s">
        <v>4636</v>
      </c>
      <c r="N92" s="13" t="s">
        <v>2340</v>
      </c>
      <c r="O92" s="13" t="s">
        <v>1055</v>
      </c>
      <c r="P92" s="13" t="s">
        <v>16</v>
      </c>
      <c r="Q92" s="6" t="s">
        <v>4640</v>
      </c>
      <c r="R92" s="17" t="s">
        <v>4641</v>
      </c>
      <c r="S92" s="17" t="s">
        <v>4642</v>
      </c>
      <c r="T92" s="13">
        <v>38</v>
      </c>
      <c r="U92" s="13">
        <v>38</v>
      </c>
      <c r="V92" s="13" t="s">
        <v>4643</v>
      </c>
      <c r="X92" s="132">
        <v>90</v>
      </c>
      <c r="Y92" s="6"/>
    </row>
    <row r="93" spans="1:25" ht="15" customHeight="1" x14ac:dyDescent="0.2">
      <c r="A93" s="20" t="s">
        <v>1590</v>
      </c>
      <c r="B93" s="22" t="s">
        <v>2608</v>
      </c>
      <c r="C93" s="14">
        <v>45643</v>
      </c>
      <c r="D93" s="13" t="s">
        <v>1533</v>
      </c>
      <c r="E93" s="6" t="s">
        <v>298</v>
      </c>
      <c r="F93" s="15" t="s">
        <v>298</v>
      </c>
      <c r="G93" s="6" t="s">
        <v>299</v>
      </c>
      <c r="I93" s="13" t="s">
        <v>25</v>
      </c>
      <c r="K93" s="13"/>
      <c r="L93" s="6"/>
      <c r="M93" s="108"/>
      <c r="O93" s="13" t="s">
        <v>97</v>
      </c>
      <c r="P93" s="13" t="s">
        <v>4</v>
      </c>
      <c r="Q93" s="6"/>
      <c r="R93" s="6" t="s">
        <v>300</v>
      </c>
      <c r="T93" s="13"/>
      <c r="U93" s="13"/>
      <c r="V93" s="13"/>
      <c r="X93" s="132">
        <v>91</v>
      </c>
      <c r="Y93" s="6"/>
    </row>
    <row r="94" spans="1:25" ht="15" customHeight="1" x14ac:dyDescent="0.2">
      <c r="A94" s="12" t="s">
        <v>1591</v>
      </c>
      <c r="B94" s="13" t="s">
        <v>4978</v>
      </c>
      <c r="C94" s="74">
        <v>46617</v>
      </c>
      <c r="D94" s="13" t="s">
        <v>33</v>
      </c>
      <c r="E94" s="6" t="s">
        <v>302</v>
      </c>
      <c r="F94" s="15" t="s">
        <v>303</v>
      </c>
      <c r="G94" s="6" t="s">
        <v>304</v>
      </c>
      <c r="H94" s="6" t="s">
        <v>304</v>
      </c>
      <c r="I94" s="13" t="s">
        <v>25</v>
      </c>
      <c r="J94" s="13">
        <v>3</v>
      </c>
      <c r="K94" s="13" t="s">
        <v>1714</v>
      </c>
      <c r="L94" s="6" t="s">
        <v>2628</v>
      </c>
      <c r="M94" s="108" t="s">
        <v>2629</v>
      </c>
      <c r="N94" s="13" t="s">
        <v>2630</v>
      </c>
      <c r="O94" s="13" t="s">
        <v>61</v>
      </c>
      <c r="P94" s="13" t="s">
        <v>9</v>
      </c>
      <c r="Q94" s="6" t="s">
        <v>2631</v>
      </c>
      <c r="R94" s="6" t="s">
        <v>2632</v>
      </c>
      <c r="T94" s="13">
        <v>15</v>
      </c>
      <c r="U94" s="13">
        <v>11</v>
      </c>
      <c r="V94" s="13" t="s">
        <v>5891</v>
      </c>
      <c r="X94" s="132">
        <v>92</v>
      </c>
      <c r="Y94" s="6"/>
    </row>
    <row r="95" spans="1:25" ht="15" customHeight="1" x14ac:dyDescent="0.25">
      <c r="A95" s="12" t="s">
        <v>1592</v>
      </c>
      <c r="B95" s="13" t="s">
        <v>4977</v>
      </c>
      <c r="C95" s="14">
        <v>46359</v>
      </c>
      <c r="D95" s="13" t="s">
        <v>1533</v>
      </c>
      <c r="E95" s="6" t="s">
        <v>4786</v>
      </c>
      <c r="F95" s="15" t="s">
        <v>11700</v>
      </c>
      <c r="G95" s="6" t="s">
        <v>307</v>
      </c>
      <c r="H95" s="6" t="s">
        <v>307</v>
      </c>
      <c r="I95" s="13" t="s">
        <v>13</v>
      </c>
      <c r="J95" s="13">
        <v>8</v>
      </c>
      <c r="K95" s="13" t="s">
        <v>1714</v>
      </c>
      <c r="L95" s="6" t="s">
        <v>4645</v>
      </c>
      <c r="M95" s="108" t="s">
        <v>4646</v>
      </c>
      <c r="N95" s="13" t="s">
        <v>177</v>
      </c>
      <c r="O95" s="13" t="s">
        <v>177</v>
      </c>
      <c r="P95" s="13" t="s">
        <v>9</v>
      </c>
      <c r="Q95" s="6" t="s">
        <v>8505</v>
      </c>
      <c r="R95" s="69" t="s">
        <v>8506</v>
      </c>
      <c r="S95" s="17" t="s">
        <v>4644</v>
      </c>
      <c r="T95" s="13">
        <v>700</v>
      </c>
      <c r="U95" s="13">
        <v>657</v>
      </c>
      <c r="V95" s="13" t="s">
        <v>8474</v>
      </c>
      <c r="W95" s="6" t="s">
        <v>4647</v>
      </c>
      <c r="X95" s="132">
        <v>93</v>
      </c>
      <c r="Y95" s="6"/>
    </row>
    <row r="96" spans="1:25" ht="15" customHeight="1" x14ac:dyDescent="0.2">
      <c r="A96" s="20" t="s">
        <v>1593</v>
      </c>
      <c r="B96" s="22" t="s">
        <v>2608</v>
      </c>
      <c r="C96" s="14">
        <v>46004</v>
      </c>
      <c r="D96" s="13" t="s">
        <v>33</v>
      </c>
      <c r="E96" s="6" t="s">
        <v>309</v>
      </c>
      <c r="F96" s="15" t="s">
        <v>310</v>
      </c>
      <c r="G96" s="6" t="s">
        <v>311</v>
      </c>
      <c r="I96" s="13" t="s">
        <v>25</v>
      </c>
      <c r="J96" s="13">
        <v>3</v>
      </c>
      <c r="K96" s="13" t="s">
        <v>1714</v>
      </c>
      <c r="L96" s="6" t="s">
        <v>3349</v>
      </c>
      <c r="M96" s="108" t="s">
        <v>3350</v>
      </c>
      <c r="N96" s="13" t="s">
        <v>2667</v>
      </c>
      <c r="O96" s="13" t="s">
        <v>53</v>
      </c>
      <c r="P96" s="13" t="s">
        <v>54</v>
      </c>
      <c r="Q96" s="6" t="s">
        <v>3351</v>
      </c>
      <c r="R96" s="17" t="s">
        <v>3352</v>
      </c>
      <c r="S96" s="17" t="s">
        <v>3353</v>
      </c>
      <c r="T96" s="13">
        <v>33</v>
      </c>
      <c r="U96" s="13">
        <v>29</v>
      </c>
      <c r="V96" s="13" t="s">
        <v>3354</v>
      </c>
      <c r="X96" s="132">
        <v>94</v>
      </c>
      <c r="Y96" s="6"/>
    </row>
    <row r="97" spans="1:25" ht="15" customHeight="1" x14ac:dyDescent="0.2">
      <c r="A97" s="20" t="s">
        <v>1594</v>
      </c>
      <c r="B97" s="22" t="s">
        <v>2608</v>
      </c>
      <c r="C97" s="14">
        <v>43809</v>
      </c>
      <c r="D97" s="13" t="s">
        <v>33</v>
      </c>
      <c r="E97" s="6" t="s">
        <v>313</v>
      </c>
      <c r="F97" s="15" t="s">
        <v>314</v>
      </c>
      <c r="G97" s="6" t="s">
        <v>315</v>
      </c>
      <c r="I97" s="13" t="s">
        <v>39</v>
      </c>
      <c r="J97" s="13">
        <v>12</v>
      </c>
      <c r="K97" s="13"/>
      <c r="L97" s="6"/>
      <c r="M97" s="108"/>
      <c r="O97" s="13" t="s">
        <v>36</v>
      </c>
      <c r="P97" s="13" t="s">
        <v>4</v>
      </c>
      <c r="Q97" s="6"/>
      <c r="R97" s="6" t="s">
        <v>316</v>
      </c>
      <c r="T97" s="13"/>
      <c r="U97" s="13"/>
      <c r="V97" s="13"/>
      <c r="X97" s="132">
        <v>95</v>
      </c>
      <c r="Y97" s="6"/>
    </row>
    <row r="98" spans="1:25" ht="15" customHeight="1" x14ac:dyDescent="0.2">
      <c r="A98" s="12" t="s">
        <v>1595</v>
      </c>
      <c r="B98" s="13" t="s">
        <v>4978</v>
      </c>
      <c r="C98" s="74">
        <v>47450</v>
      </c>
      <c r="D98" s="13" t="s">
        <v>33</v>
      </c>
      <c r="E98" s="6" t="s">
        <v>318</v>
      </c>
      <c r="F98" s="15" t="s">
        <v>10960</v>
      </c>
      <c r="G98" s="6" t="s">
        <v>10961</v>
      </c>
      <c r="H98" s="6" t="s">
        <v>10961</v>
      </c>
      <c r="I98" s="13" t="s">
        <v>25</v>
      </c>
      <c r="J98" s="13">
        <v>3</v>
      </c>
      <c r="K98" s="13" t="s">
        <v>1714</v>
      </c>
      <c r="L98" s="6" t="s">
        <v>2387</v>
      </c>
      <c r="M98" s="108" t="s">
        <v>2388</v>
      </c>
      <c r="N98" s="13" t="s">
        <v>2389</v>
      </c>
      <c r="O98" s="13" t="s">
        <v>15</v>
      </c>
      <c r="P98" s="13" t="s">
        <v>16</v>
      </c>
      <c r="Q98" s="6" t="s">
        <v>10962</v>
      </c>
      <c r="R98" s="6" t="s">
        <v>320</v>
      </c>
      <c r="T98" s="13">
        <v>12</v>
      </c>
      <c r="U98" s="13">
        <v>5</v>
      </c>
      <c r="V98" s="13" t="s">
        <v>10963</v>
      </c>
      <c r="X98" s="132">
        <v>96</v>
      </c>
      <c r="Y98" s="6"/>
    </row>
    <row r="99" spans="1:25" ht="15" customHeight="1" x14ac:dyDescent="0.2">
      <c r="A99" s="12" t="s">
        <v>1596</v>
      </c>
      <c r="B99" s="13" t="s">
        <v>4978</v>
      </c>
      <c r="C99" s="100">
        <v>46537</v>
      </c>
      <c r="D99" s="13" t="s">
        <v>33</v>
      </c>
      <c r="E99" s="6" t="s">
        <v>322</v>
      </c>
      <c r="F99" s="15" t="s">
        <v>323</v>
      </c>
      <c r="G99" s="6" t="s">
        <v>324</v>
      </c>
      <c r="H99" s="6" t="s">
        <v>324</v>
      </c>
      <c r="I99" s="13" t="s">
        <v>25</v>
      </c>
      <c r="J99" s="13">
        <v>3</v>
      </c>
      <c r="K99" s="13" t="s">
        <v>1714</v>
      </c>
      <c r="L99" s="6" t="s">
        <v>2257</v>
      </c>
      <c r="M99" s="108" t="s">
        <v>2258</v>
      </c>
      <c r="N99" s="13" t="s">
        <v>2259</v>
      </c>
      <c r="O99" s="13" t="s">
        <v>21</v>
      </c>
      <c r="P99" s="13" t="s">
        <v>9</v>
      </c>
      <c r="Q99" s="6" t="s">
        <v>2260</v>
      </c>
      <c r="R99" s="6" t="s">
        <v>325</v>
      </c>
      <c r="S99" s="6" t="s">
        <v>2261</v>
      </c>
      <c r="T99" s="13">
        <v>19</v>
      </c>
      <c r="U99" s="13">
        <v>12</v>
      </c>
      <c r="V99" s="13">
        <v>12</v>
      </c>
      <c r="X99" s="132">
        <v>97</v>
      </c>
      <c r="Y99" s="6"/>
    </row>
    <row r="100" spans="1:25" ht="15" customHeight="1" x14ac:dyDescent="0.2">
      <c r="A100" s="20" t="s">
        <v>1597</v>
      </c>
      <c r="B100" s="22" t="s">
        <v>2608</v>
      </c>
      <c r="C100" s="14">
        <v>43147</v>
      </c>
      <c r="D100" s="13" t="s">
        <v>33</v>
      </c>
      <c r="E100" s="6" t="s">
        <v>327</v>
      </c>
      <c r="F100" s="15" t="s">
        <v>328</v>
      </c>
      <c r="G100" s="6" t="s">
        <v>329</v>
      </c>
      <c r="I100" s="13" t="s">
        <v>25</v>
      </c>
      <c r="J100" s="13">
        <v>3</v>
      </c>
      <c r="K100" s="13" t="s">
        <v>1714</v>
      </c>
      <c r="L100" s="6" t="s">
        <v>7751</v>
      </c>
      <c r="M100" s="108" t="s">
        <v>7752</v>
      </c>
      <c r="N100" s="13" t="s">
        <v>7753</v>
      </c>
      <c r="O100" s="13" t="s">
        <v>15</v>
      </c>
      <c r="P100" s="13" t="s">
        <v>16</v>
      </c>
      <c r="Q100" s="6" t="s">
        <v>7750</v>
      </c>
      <c r="R100" s="6" t="s">
        <v>330</v>
      </c>
      <c r="T100" s="13"/>
      <c r="U100" s="13"/>
      <c r="V100" s="13"/>
      <c r="X100" s="132">
        <v>98</v>
      </c>
      <c r="Y100" s="6"/>
    </row>
    <row r="101" spans="1:25" ht="15" customHeight="1" x14ac:dyDescent="0.2">
      <c r="A101" s="12" t="s">
        <v>1598</v>
      </c>
      <c r="B101" s="13" t="s">
        <v>4978</v>
      </c>
      <c r="C101" s="100">
        <v>47679</v>
      </c>
      <c r="D101" s="13" t="s">
        <v>33</v>
      </c>
      <c r="E101" s="6" t="s">
        <v>332</v>
      </c>
      <c r="F101" s="15" t="s">
        <v>333</v>
      </c>
      <c r="G101" s="6" t="s">
        <v>334</v>
      </c>
      <c r="H101" s="6" t="s">
        <v>334</v>
      </c>
      <c r="I101" s="13" t="s">
        <v>25</v>
      </c>
      <c r="J101" s="13">
        <v>3</v>
      </c>
      <c r="K101" s="13" t="s">
        <v>1714</v>
      </c>
      <c r="L101" s="6" t="s">
        <v>3970</v>
      </c>
      <c r="M101" s="108" t="s">
        <v>3971</v>
      </c>
      <c r="N101" s="13" t="s">
        <v>3972</v>
      </c>
      <c r="O101" s="13" t="s">
        <v>97</v>
      </c>
      <c r="P101" s="13" t="s">
        <v>4</v>
      </c>
      <c r="Q101" s="6" t="s">
        <v>3973</v>
      </c>
      <c r="R101" s="6" t="s">
        <v>335</v>
      </c>
      <c r="T101" s="13">
        <v>28</v>
      </c>
      <c r="U101" s="13">
        <v>27</v>
      </c>
      <c r="V101" s="13" t="s">
        <v>3974</v>
      </c>
      <c r="X101" s="132">
        <v>99</v>
      </c>
      <c r="Y101" s="6"/>
    </row>
    <row r="102" spans="1:25" ht="15" customHeight="1" x14ac:dyDescent="0.25">
      <c r="A102" s="12" t="s">
        <v>1599</v>
      </c>
      <c r="B102" s="13" t="s">
        <v>4978</v>
      </c>
      <c r="C102" s="74">
        <v>47285</v>
      </c>
      <c r="D102" s="13" t="s">
        <v>33</v>
      </c>
      <c r="E102" s="6" t="s">
        <v>337</v>
      </c>
      <c r="F102" s="15" t="s">
        <v>338</v>
      </c>
      <c r="G102" s="6" t="s">
        <v>339</v>
      </c>
      <c r="H102" s="6" t="s">
        <v>339</v>
      </c>
      <c r="I102" s="13" t="s">
        <v>25</v>
      </c>
      <c r="J102" s="13">
        <v>3</v>
      </c>
      <c r="K102" s="13" t="s">
        <v>1714</v>
      </c>
      <c r="L102" s="6" t="s">
        <v>2633</v>
      </c>
      <c r="M102" s="108" t="s">
        <v>2624</v>
      </c>
      <c r="N102" s="13" t="s">
        <v>2634</v>
      </c>
      <c r="O102" s="13" t="s">
        <v>61</v>
      </c>
      <c r="P102" s="13" t="s">
        <v>9</v>
      </c>
      <c r="Q102" s="6" t="s">
        <v>10099</v>
      </c>
      <c r="R102" s="69" t="s">
        <v>340</v>
      </c>
      <c r="S102" s="6" t="s">
        <v>2635</v>
      </c>
      <c r="T102" s="13">
        <v>22</v>
      </c>
      <c r="U102" s="13">
        <v>17</v>
      </c>
      <c r="V102" s="13" t="s">
        <v>10100</v>
      </c>
      <c r="X102" s="132">
        <v>100</v>
      </c>
      <c r="Y102" s="6"/>
    </row>
    <row r="103" spans="1:25" ht="15" customHeight="1" x14ac:dyDescent="0.2">
      <c r="A103" s="19" t="s">
        <v>7767</v>
      </c>
      <c r="B103" s="13" t="s">
        <v>4978</v>
      </c>
      <c r="C103" s="74">
        <v>47253</v>
      </c>
      <c r="D103" s="13" t="s">
        <v>1533</v>
      </c>
      <c r="E103" s="6" t="s">
        <v>342</v>
      </c>
      <c r="F103" s="15" t="s">
        <v>9892</v>
      </c>
      <c r="G103" s="6" t="s">
        <v>343</v>
      </c>
      <c r="H103" s="6" t="s">
        <v>343</v>
      </c>
      <c r="I103" s="13" t="s">
        <v>25</v>
      </c>
      <c r="J103" s="13">
        <v>6</v>
      </c>
      <c r="K103" s="13" t="s">
        <v>1714</v>
      </c>
      <c r="L103" s="6" t="s">
        <v>2296</v>
      </c>
      <c r="M103" s="108" t="s">
        <v>2297</v>
      </c>
      <c r="N103" s="13" t="s">
        <v>2298</v>
      </c>
      <c r="O103" s="13" t="s">
        <v>445</v>
      </c>
      <c r="P103" s="13" t="s">
        <v>16</v>
      </c>
      <c r="Q103" s="6" t="s">
        <v>7870</v>
      </c>
      <c r="R103" s="17" t="s">
        <v>2299</v>
      </c>
      <c r="S103" s="17" t="s">
        <v>2300</v>
      </c>
      <c r="T103" s="13">
        <v>20</v>
      </c>
      <c r="U103" s="13">
        <v>20</v>
      </c>
      <c r="V103" s="13" t="s">
        <v>9893</v>
      </c>
      <c r="X103" s="132">
        <v>101</v>
      </c>
      <c r="Y103" s="6"/>
    </row>
    <row r="104" spans="1:25" ht="15" customHeight="1" x14ac:dyDescent="0.2">
      <c r="A104" s="12" t="s">
        <v>7766</v>
      </c>
      <c r="B104" s="13" t="s">
        <v>4977</v>
      </c>
      <c r="C104" s="14">
        <v>46249</v>
      </c>
      <c r="D104" s="13" t="s">
        <v>1533</v>
      </c>
      <c r="E104" s="6" t="s">
        <v>342</v>
      </c>
      <c r="F104" s="15" t="s">
        <v>7768</v>
      </c>
      <c r="G104" s="6" t="s">
        <v>343</v>
      </c>
      <c r="H104" s="6" t="s">
        <v>343</v>
      </c>
      <c r="I104" s="13" t="s">
        <v>39</v>
      </c>
      <c r="J104" s="13">
        <v>12</v>
      </c>
      <c r="K104" s="13" t="s">
        <v>6574</v>
      </c>
      <c r="L104" s="6" t="s">
        <v>2296</v>
      </c>
      <c r="M104" s="108" t="s">
        <v>2297</v>
      </c>
      <c r="N104" s="13" t="s">
        <v>2298</v>
      </c>
      <c r="O104" s="13" t="s">
        <v>445</v>
      </c>
      <c r="P104" s="13" t="s">
        <v>16</v>
      </c>
      <c r="Q104" s="6" t="s">
        <v>7870</v>
      </c>
      <c r="R104" s="17" t="s">
        <v>2299</v>
      </c>
      <c r="S104" s="17" t="s">
        <v>2300</v>
      </c>
      <c r="T104" s="18">
        <v>20</v>
      </c>
      <c r="U104" s="18">
        <v>20</v>
      </c>
      <c r="V104" s="13" t="s">
        <v>7871</v>
      </c>
      <c r="X104" s="132">
        <v>102</v>
      </c>
      <c r="Y104" s="6"/>
    </row>
    <row r="105" spans="1:25" ht="15" customHeight="1" x14ac:dyDescent="0.2">
      <c r="A105" s="12" t="s">
        <v>1600</v>
      </c>
      <c r="B105" s="13" t="s">
        <v>4978</v>
      </c>
      <c r="C105" s="74">
        <v>46705</v>
      </c>
      <c r="D105" s="13" t="s">
        <v>33</v>
      </c>
      <c r="E105" s="6" t="s">
        <v>6149</v>
      </c>
      <c r="F105" s="15" t="s">
        <v>6150</v>
      </c>
      <c r="G105" s="6" t="s">
        <v>346</v>
      </c>
      <c r="H105" s="6" t="s">
        <v>346</v>
      </c>
      <c r="I105" s="13" t="s">
        <v>25</v>
      </c>
      <c r="J105" s="13">
        <v>3</v>
      </c>
      <c r="K105" s="13" t="s">
        <v>1714</v>
      </c>
      <c r="L105" s="6" t="s">
        <v>6151</v>
      </c>
      <c r="M105" s="108" t="s">
        <v>5334</v>
      </c>
      <c r="N105" s="13" t="s">
        <v>2363</v>
      </c>
      <c r="O105" s="13" t="s">
        <v>1889</v>
      </c>
      <c r="P105" s="13" t="s">
        <v>68</v>
      </c>
      <c r="Q105" s="6" t="s">
        <v>6152</v>
      </c>
      <c r="R105" s="17" t="s">
        <v>6153</v>
      </c>
      <c r="S105" s="17" t="s">
        <v>6154</v>
      </c>
      <c r="T105" s="13">
        <v>30</v>
      </c>
      <c r="U105" s="13">
        <v>11</v>
      </c>
      <c r="V105" s="13" t="s">
        <v>6155</v>
      </c>
      <c r="X105" s="132">
        <v>103</v>
      </c>
      <c r="Y105" s="6"/>
    </row>
    <row r="106" spans="1:25" ht="15" customHeight="1" x14ac:dyDescent="0.2">
      <c r="A106" s="20" t="s">
        <v>1601</v>
      </c>
      <c r="B106" s="22" t="s">
        <v>2608</v>
      </c>
      <c r="C106" s="14">
        <v>43975</v>
      </c>
      <c r="D106" s="13" t="s">
        <v>33</v>
      </c>
      <c r="E106" s="6" t="s">
        <v>348</v>
      </c>
      <c r="F106" s="54" t="s">
        <v>11701</v>
      </c>
      <c r="G106" s="6" t="s">
        <v>349</v>
      </c>
      <c r="I106" s="13" t="s">
        <v>25</v>
      </c>
      <c r="J106" s="13">
        <v>3</v>
      </c>
      <c r="K106" s="13" t="s">
        <v>1714</v>
      </c>
      <c r="L106" s="6"/>
      <c r="M106" s="108"/>
      <c r="O106" s="13" t="s">
        <v>8</v>
      </c>
      <c r="P106" s="13" t="s">
        <v>9</v>
      </c>
      <c r="Q106" s="6"/>
      <c r="R106" s="6" t="s">
        <v>350</v>
      </c>
      <c r="T106" s="13"/>
      <c r="U106" s="13"/>
      <c r="V106" s="13"/>
      <c r="X106" s="132">
        <v>104</v>
      </c>
      <c r="Y106" s="6"/>
    </row>
    <row r="107" spans="1:25" ht="15" customHeight="1" x14ac:dyDescent="0.2">
      <c r="A107" s="20" t="s">
        <v>1602</v>
      </c>
      <c r="B107" s="22" t="s">
        <v>2608</v>
      </c>
      <c r="C107" s="14">
        <v>43244</v>
      </c>
      <c r="D107" s="13" t="s">
        <v>1533</v>
      </c>
      <c r="E107" s="6" t="s">
        <v>352</v>
      </c>
      <c r="G107" s="6" t="s">
        <v>353</v>
      </c>
      <c r="I107" s="13" t="s">
        <v>13</v>
      </c>
      <c r="K107" s="13"/>
      <c r="L107" s="6"/>
      <c r="M107" s="108"/>
      <c r="O107" s="13" t="s">
        <v>240</v>
      </c>
      <c r="P107" s="13" t="s">
        <v>16</v>
      </c>
      <c r="Q107" s="6"/>
      <c r="R107" s="6" t="s">
        <v>354</v>
      </c>
      <c r="T107" s="13"/>
      <c r="U107" s="13"/>
      <c r="V107" s="13"/>
      <c r="X107" s="132">
        <v>105</v>
      </c>
      <c r="Y107" s="6"/>
    </row>
    <row r="108" spans="1:25" ht="15" customHeight="1" x14ac:dyDescent="0.2">
      <c r="A108" s="12" t="s">
        <v>7947</v>
      </c>
      <c r="B108" s="13" t="s">
        <v>4978</v>
      </c>
      <c r="C108" s="74">
        <v>46980</v>
      </c>
      <c r="D108" s="13" t="s">
        <v>1533</v>
      </c>
      <c r="E108" s="6" t="s">
        <v>352</v>
      </c>
      <c r="F108" s="15" t="s">
        <v>7946</v>
      </c>
      <c r="G108" s="6" t="s">
        <v>353</v>
      </c>
      <c r="H108" s="6" t="s">
        <v>353</v>
      </c>
      <c r="I108" s="13" t="s">
        <v>7931</v>
      </c>
      <c r="J108" s="13">
        <v>9</v>
      </c>
      <c r="K108" s="13" t="s">
        <v>6603</v>
      </c>
      <c r="L108" s="6" t="s">
        <v>7932</v>
      </c>
      <c r="M108" s="108" t="s">
        <v>7933</v>
      </c>
      <c r="N108" s="13" t="s">
        <v>6205</v>
      </c>
      <c r="O108" s="13" t="s">
        <v>743</v>
      </c>
      <c r="P108" s="13" t="s">
        <v>16</v>
      </c>
      <c r="Q108" s="6" t="s">
        <v>7934</v>
      </c>
      <c r="R108" s="25" t="s">
        <v>7935</v>
      </c>
      <c r="S108" s="30"/>
      <c r="T108" s="18">
        <v>30</v>
      </c>
      <c r="U108" s="18">
        <v>30</v>
      </c>
      <c r="V108" s="13" t="s">
        <v>7936</v>
      </c>
      <c r="X108" s="132">
        <v>106</v>
      </c>
      <c r="Y108" s="6"/>
    </row>
    <row r="109" spans="1:25" ht="15" customHeight="1" x14ac:dyDescent="0.2">
      <c r="A109" s="12" t="s">
        <v>1603</v>
      </c>
      <c r="B109" s="13" t="s">
        <v>4978</v>
      </c>
      <c r="C109" s="74">
        <v>46705</v>
      </c>
      <c r="D109" s="13" t="s">
        <v>33</v>
      </c>
      <c r="E109" s="6" t="s">
        <v>6256</v>
      </c>
      <c r="F109" s="15" t="s">
        <v>357</v>
      </c>
      <c r="G109" s="6" t="s">
        <v>358</v>
      </c>
      <c r="H109" s="6" t="s">
        <v>358</v>
      </c>
      <c r="I109" s="13" t="s">
        <v>25</v>
      </c>
      <c r="J109" s="13">
        <v>3</v>
      </c>
      <c r="K109" s="13" t="s">
        <v>1714</v>
      </c>
      <c r="L109" s="6" t="s">
        <v>6125</v>
      </c>
      <c r="M109" s="108" t="s">
        <v>6126</v>
      </c>
      <c r="N109" s="13" t="s">
        <v>4114</v>
      </c>
      <c r="O109" s="13" t="s">
        <v>1847</v>
      </c>
      <c r="P109" s="13" t="s">
        <v>68</v>
      </c>
      <c r="Q109" s="6" t="s">
        <v>6127</v>
      </c>
      <c r="R109" s="6" t="s">
        <v>359</v>
      </c>
      <c r="T109" s="13">
        <v>30</v>
      </c>
      <c r="U109" s="13">
        <v>29</v>
      </c>
      <c r="V109" s="34" t="s">
        <v>6128</v>
      </c>
      <c r="X109" s="132">
        <v>107</v>
      </c>
      <c r="Y109" s="6"/>
    </row>
    <row r="110" spans="1:25" ht="15" customHeight="1" x14ac:dyDescent="0.2">
      <c r="A110" s="12" t="s">
        <v>1604</v>
      </c>
      <c r="B110" s="24" t="s">
        <v>4978</v>
      </c>
      <c r="C110" s="14">
        <v>47642</v>
      </c>
      <c r="D110" s="13" t="s">
        <v>33</v>
      </c>
      <c r="E110" s="6" t="s">
        <v>3706</v>
      </c>
      <c r="F110" s="15" t="s">
        <v>11702</v>
      </c>
      <c r="G110" s="6" t="s">
        <v>362</v>
      </c>
      <c r="H110" s="6" t="s">
        <v>362</v>
      </c>
      <c r="I110" s="13" t="s">
        <v>25</v>
      </c>
      <c r="J110" s="13">
        <v>3</v>
      </c>
      <c r="K110" s="13" t="s">
        <v>1714</v>
      </c>
      <c r="L110" s="6" t="s">
        <v>3707</v>
      </c>
      <c r="M110" s="108" t="s">
        <v>2311</v>
      </c>
      <c r="N110" s="13" t="s">
        <v>2312</v>
      </c>
      <c r="O110" s="13" t="s">
        <v>15</v>
      </c>
      <c r="P110" s="13" t="s">
        <v>16</v>
      </c>
      <c r="Q110" s="6" t="s">
        <v>3708</v>
      </c>
      <c r="R110" s="17" t="s">
        <v>3858</v>
      </c>
      <c r="S110" s="17" t="s">
        <v>2315</v>
      </c>
      <c r="T110" s="13">
        <v>23</v>
      </c>
      <c r="U110" s="13">
        <v>18</v>
      </c>
      <c r="V110" s="13" t="s">
        <v>3709</v>
      </c>
      <c r="X110" s="132">
        <v>108</v>
      </c>
      <c r="Y110" s="6"/>
    </row>
    <row r="111" spans="1:25" ht="15" customHeight="1" x14ac:dyDescent="0.2">
      <c r="A111" s="20" t="s">
        <v>3518</v>
      </c>
      <c r="B111" s="22" t="s">
        <v>2608</v>
      </c>
      <c r="C111" s="14">
        <v>46062</v>
      </c>
      <c r="D111" s="13" t="s">
        <v>33</v>
      </c>
      <c r="E111" s="6" t="s">
        <v>3519</v>
      </c>
      <c r="F111" s="15" t="s">
        <v>11703</v>
      </c>
      <c r="G111" s="6" t="s">
        <v>365</v>
      </c>
      <c r="I111" s="13" t="s">
        <v>25</v>
      </c>
      <c r="J111" s="13">
        <v>3</v>
      </c>
      <c r="K111" s="13" t="s">
        <v>1714</v>
      </c>
      <c r="L111" s="6" t="s">
        <v>3520</v>
      </c>
      <c r="M111" s="108" t="s">
        <v>3521</v>
      </c>
      <c r="N111" s="13" t="s">
        <v>3522</v>
      </c>
      <c r="O111" s="13" t="s">
        <v>240</v>
      </c>
      <c r="P111" s="13" t="s">
        <v>16</v>
      </c>
      <c r="Q111" s="6" t="s">
        <v>3523</v>
      </c>
      <c r="R111" s="6" t="s">
        <v>366</v>
      </c>
      <c r="S111" s="17" t="s">
        <v>3524</v>
      </c>
      <c r="T111" s="13">
        <v>94</v>
      </c>
      <c r="U111" s="13">
        <v>88</v>
      </c>
      <c r="V111" s="13" t="s">
        <v>3525</v>
      </c>
      <c r="X111" s="132">
        <v>109</v>
      </c>
      <c r="Y111" s="6"/>
    </row>
    <row r="112" spans="1:25" ht="15" customHeight="1" x14ac:dyDescent="0.2">
      <c r="A112" s="12" t="s">
        <v>3517</v>
      </c>
      <c r="B112" s="13" t="s">
        <v>4978</v>
      </c>
      <c r="C112" s="74">
        <v>46980</v>
      </c>
      <c r="D112" s="13" t="s">
        <v>33</v>
      </c>
      <c r="E112" s="6" t="s">
        <v>3519</v>
      </c>
      <c r="F112" s="15" t="s">
        <v>7957</v>
      </c>
      <c r="G112" s="6" t="s">
        <v>365</v>
      </c>
      <c r="H112" s="6" t="s">
        <v>3526</v>
      </c>
      <c r="I112" s="13" t="s">
        <v>25</v>
      </c>
      <c r="J112" s="13">
        <v>3</v>
      </c>
      <c r="K112" s="13" t="s">
        <v>1714</v>
      </c>
      <c r="L112" s="6" t="s">
        <v>3527</v>
      </c>
      <c r="M112" s="108" t="s">
        <v>3528</v>
      </c>
      <c r="N112" s="13" t="s">
        <v>3529</v>
      </c>
      <c r="O112" s="13" t="s">
        <v>519</v>
      </c>
      <c r="P112" s="13" t="s">
        <v>16</v>
      </c>
      <c r="Q112" s="6" t="s">
        <v>3530</v>
      </c>
      <c r="R112" s="17" t="s">
        <v>3531</v>
      </c>
      <c r="S112" s="17" t="s">
        <v>3524</v>
      </c>
      <c r="T112" s="18">
        <v>51</v>
      </c>
      <c r="U112" s="18">
        <v>49</v>
      </c>
      <c r="V112" s="13" t="s">
        <v>7956</v>
      </c>
      <c r="W112" s="13" t="s">
        <v>3525</v>
      </c>
      <c r="X112" s="132">
        <v>110</v>
      </c>
      <c r="Y112" s="6"/>
    </row>
    <row r="113" spans="1:25" ht="15" customHeight="1" x14ac:dyDescent="0.2">
      <c r="A113" s="20" t="s">
        <v>1605</v>
      </c>
      <c r="B113" s="22" t="s">
        <v>2608</v>
      </c>
      <c r="C113" s="14">
        <v>43976</v>
      </c>
      <c r="D113" s="13" t="s">
        <v>33</v>
      </c>
      <c r="E113" s="6" t="s">
        <v>368</v>
      </c>
      <c r="F113" s="15" t="s">
        <v>369</v>
      </c>
      <c r="G113" s="6" t="s">
        <v>370</v>
      </c>
      <c r="I113" s="13" t="s">
        <v>25</v>
      </c>
      <c r="J113" s="13">
        <v>3</v>
      </c>
      <c r="K113" s="13" t="s">
        <v>1714</v>
      </c>
      <c r="L113" s="6"/>
      <c r="M113" s="108"/>
      <c r="O113" s="13" t="s">
        <v>177</v>
      </c>
      <c r="P113" s="13" t="s">
        <v>9</v>
      </c>
      <c r="Q113" s="6"/>
      <c r="R113" s="6" t="s">
        <v>371</v>
      </c>
      <c r="T113" s="13"/>
      <c r="U113" s="13"/>
      <c r="V113" s="13"/>
      <c r="X113" s="132">
        <v>111</v>
      </c>
      <c r="Y113" s="6"/>
    </row>
    <row r="114" spans="1:25" ht="15" customHeight="1" x14ac:dyDescent="0.2">
      <c r="A114" s="12" t="s">
        <v>1606</v>
      </c>
      <c r="B114" s="13" t="s">
        <v>4978</v>
      </c>
      <c r="C114" s="100">
        <v>46564</v>
      </c>
      <c r="D114" s="13" t="s">
        <v>33</v>
      </c>
      <c r="E114" s="6" t="s">
        <v>5421</v>
      </c>
      <c r="F114" s="15" t="s">
        <v>5424</v>
      </c>
      <c r="G114" s="6" t="s">
        <v>374</v>
      </c>
      <c r="H114" s="6" t="s">
        <v>374</v>
      </c>
      <c r="I114" s="13" t="s">
        <v>25</v>
      </c>
      <c r="J114" s="13">
        <v>3</v>
      </c>
      <c r="K114" s="13" t="s">
        <v>1714</v>
      </c>
      <c r="L114" s="6" t="s">
        <v>5423</v>
      </c>
      <c r="M114" s="108" t="s">
        <v>5422</v>
      </c>
      <c r="N114" s="13" t="s">
        <v>3888</v>
      </c>
      <c r="O114" s="13" t="s">
        <v>53</v>
      </c>
      <c r="P114" s="13" t="s">
        <v>54</v>
      </c>
      <c r="Q114" s="6" t="s">
        <v>5425</v>
      </c>
      <c r="R114" s="17" t="s">
        <v>5426</v>
      </c>
      <c r="T114" s="13">
        <v>42</v>
      </c>
      <c r="U114" s="13">
        <v>35</v>
      </c>
      <c r="V114" s="13" t="s">
        <v>5427</v>
      </c>
      <c r="X114" s="132">
        <v>112</v>
      </c>
      <c r="Y114" s="6"/>
    </row>
    <row r="115" spans="1:25" ht="15" customHeight="1" x14ac:dyDescent="0.2">
      <c r="A115" s="20" t="s">
        <v>1607</v>
      </c>
      <c r="B115" s="22" t="s">
        <v>2608</v>
      </c>
      <c r="C115" s="14">
        <v>44011</v>
      </c>
      <c r="D115" s="13" t="s">
        <v>33</v>
      </c>
      <c r="E115" s="6" t="s">
        <v>376</v>
      </c>
      <c r="F115" s="15" t="s">
        <v>377</v>
      </c>
      <c r="G115" s="6" t="s">
        <v>378</v>
      </c>
      <c r="I115" s="13" t="s">
        <v>25</v>
      </c>
      <c r="J115" s="13">
        <v>3</v>
      </c>
      <c r="K115" s="13" t="s">
        <v>1714</v>
      </c>
      <c r="L115" s="6"/>
      <c r="M115" s="108"/>
      <c r="O115" s="13" t="s">
        <v>11948</v>
      </c>
      <c r="P115" s="13" t="s">
        <v>68</v>
      </c>
      <c r="Q115" s="6"/>
      <c r="R115" s="6" t="s">
        <v>379</v>
      </c>
      <c r="T115" s="13"/>
      <c r="U115" s="13"/>
      <c r="V115" s="13"/>
      <c r="X115" s="132">
        <v>113</v>
      </c>
      <c r="Y115" s="6"/>
    </row>
    <row r="116" spans="1:25" ht="15" customHeight="1" x14ac:dyDescent="0.2">
      <c r="A116" s="12" t="s">
        <v>1608</v>
      </c>
      <c r="B116" s="13" t="s">
        <v>4978</v>
      </c>
      <c r="C116" s="74">
        <v>46505</v>
      </c>
      <c r="D116" s="13" t="s">
        <v>33</v>
      </c>
      <c r="E116" s="6" t="s">
        <v>5230</v>
      </c>
      <c r="F116" s="15" t="s">
        <v>382</v>
      </c>
      <c r="G116" s="6" t="s">
        <v>383</v>
      </c>
      <c r="H116" s="6" t="s">
        <v>383</v>
      </c>
      <c r="I116" s="13" t="s">
        <v>25</v>
      </c>
      <c r="J116" s="13">
        <v>3</v>
      </c>
      <c r="K116" s="13" t="s">
        <v>1714</v>
      </c>
      <c r="L116" s="6" t="s">
        <v>5231</v>
      </c>
      <c r="M116" s="108" t="s">
        <v>5232</v>
      </c>
      <c r="N116" s="13" t="s">
        <v>136</v>
      </c>
      <c r="O116" s="13" t="s">
        <v>136</v>
      </c>
      <c r="P116" s="13" t="s">
        <v>4</v>
      </c>
      <c r="Q116" s="6" t="s">
        <v>5233</v>
      </c>
      <c r="R116" s="17" t="s">
        <v>5234</v>
      </c>
      <c r="T116" s="13">
        <v>21</v>
      </c>
      <c r="U116" s="13">
        <v>16</v>
      </c>
      <c r="V116" s="13" t="s">
        <v>5235</v>
      </c>
      <c r="X116" s="132">
        <v>114</v>
      </c>
      <c r="Y116" s="6"/>
    </row>
    <row r="117" spans="1:25" ht="15" customHeight="1" x14ac:dyDescent="0.25">
      <c r="A117" s="12" t="s">
        <v>1609</v>
      </c>
      <c r="B117" s="13" t="s">
        <v>4978</v>
      </c>
      <c r="C117" s="74">
        <v>47552</v>
      </c>
      <c r="D117" s="13" t="s">
        <v>33</v>
      </c>
      <c r="E117" s="6" t="s">
        <v>11334</v>
      </c>
      <c r="F117" s="15" t="s">
        <v>386</v>
      </c>
      <c r="G117" s="6" t="s">
        <v>387</v>
      </c>
      <c r="H117" s="6" t="s">
        <v>387</v>
      </c>
      <c r="I117" s="13" t="s">
        <v>25</v>
      </c>
      <c r="J117" s="13">
        <v>3</v>
      </c>
      <c r="K117" s="13" t="s">
        <v>1714</v>
      </c>
      <c r="L117" s="6" t="s">
        <v>3319</v>
      </c>
      <c r="M117" s="108" t="s">
        <v>11335</v>
      </c>
      <c r="N117" s="13" t="s">
        <v>3318</v>
      </c>
      <c r="O117" s="13" t="s">
        <v>36</v>
      </c>
      <c r="P117" s="13" t="s">
        <v>4</v>
      </c>
      <c r="Q117" s="6" t="s">
        <v>3317</v>
      </c>
      <c r="R117" s="6" t="s">
        <v>388</v>
      </c>
      <c r="S117" s="69" t="s">
        <v>11336</v>
      </c>
      <c r="T117" s="13">
        <v>29</v>
      </c>
      <c r="U117" s="13">
        <v>25</v>
      </c>
      <c r="V117" s="13" t="s">
        <v>3316</v>
      </c>
      <c r="X117" s="132">
        <v>115</v>
      </c>
      <c r="Y117" s="6"/>
    </row>
    <row r="118" spans="1:25" ht="15" customHeight="1" x14ac:dyDescent="0.2">
      <c r="A118" s="12" t="s">
        <v>1610</v>
      </c>
      <c r="B118" s="13" t="s">
        <v>4978</v>
      </c>
      <c r="C118" s="74">
        <v>46173</v>
      </c>
      <c r="D118" s="13" t="s">
        <v>33</v>
      </c>
      <c r="E118" s="6" t="s">
        <v>390</v>
      </c>
      <c r="G118" s="6" t="s">
        <v>391</v>
      </c>
      <c r="I118" s="13" t="s">
        <v>25</v>
      </c>
      <c r="J118" s="13">
        <v>3</v>
      </c>
      <c r="K118" s="13" t="s">
        <v>1714</v>
      </c>
      <c r="L118" s="6" t="s">
        <v>3710</v>
      </c>
      <c r="M118" s="108" t="s">
        <v>3711</v>
      </c>
      <c r="N118" s="13" t="s">
        <v>2776</v>
      </c>
      <c r="O118" s="13" t="s">
        <v>136</v>
      </c>
      <c r="P118" s="13" t="s">
        <v>4</v>
      </c>
      <c r="Q118" s="6" t="s">
        <v>3712</v>
      </c>
      <c r="R118" s="17" t="s">
        <v>898</v>
      </c>
      <c r="S118" s="17" t="s">
        <v>3713</v>
      </c>
      <c r="T118" s="13">
        <v>30</v>
      </c>
      <c r="U118" s="13">
        <v>24</v>
      </c>
      <c r="V118" s="13" t="s">
        <v>3714</v>
      </c>
      <c r="X118" s="132">
        <v>116</v>
      </c>
      <c r="Y118" s="6"/>
    </row>
    <row r="119" spans="1:25" ht="15" customHeight="1" x14ac:dyDescent="0.25">
      <c r="A119" s="12" t="s">
        <v>1611</v>
      </c>
      <c r="B119" s="24" t="s">
        <v>4978</v>
      </c>
      <c r="C119" s="14">
        <v>47642</v>
      </c>
      <c r="D119" s="13" t="s">
        <v>33</v>
      </c>
      <c r="E119" s="6" t="s">
        <v>12072</v>
      </c>
      <c r="F119" s="15" t="s">
        <v>394</v>
      </c>
      <c r="G119" s="6" t="s">
        <v>395</v>
      </c>
      <c r="H119" s="6" t="s">
        <v>12073</v>
      </c>
      <c r="I119" s="13" t="s">
        <v>25</v>
      </c>
      <c r="J119" s="13">
        <v>3</v>
      </c>
      <c r="K119" s="13" t="s">
        <v>1714</v>
      </c>
      <c r="L119" s="6" t="s">
        <v>3140</v>
      </c>
      <c r="M119" s="108" t="s">
        <v>12074</v>
      </c>
      <c r="N119" s="13" t="s">
        <v>3141</v>
      </c>
      <c r="O119" s="13" t="s">
        <v>97</v>
      </c>
      <c r="P119" s="13" t="s">
        <v>4</v>
      </c>
      <c r="Q119" s="6" t="s">
        <v>3142</v>
      </c>
      <c r="R119" s="69" t="s">
        <v>12075</v>
      </c>
      <c r="T119" s="13">
        <v>15</v>
      </c>
      <c r="U119" s="13">
        <v>10</v>
      </c>
      <c r="V119" s="13" t="s">
        <v>3139</v>
      </c>
      <c r="X119" s="132">
        <v>117</v>
      </c>
      <c r="Y119" s="6"/>
    </row>
    <row r="120" spans="1:25" ht="15" customHeight="1" x14ac:dyDescent="0.2">
      <c r="A120" s="20" t="s">
        <v>1612</v>
      </c>
      <c r="B120" s="22" t="s">
        <v>2608</v>
      </c>
      <c r="C120" s="14">
        <v>45802</v>
      </c>
      <c r="D120" s="13" t="s">
        <v>33</v>
      </c>
      <c r="E120" s="6" t="s">
        <v>397</v>
      </c>
      <c r="G120" s="6" t="s">
        <v>398</v>
      </c>
      <c r="I120" s="13" t="s">
        <v>25</v>
      </c>
      <c r="J120" s="13">
        <v>3</v>
      </c>
      <c r="K120" s="13" t="s">
        <v>1714</v>
      </c>
      <c r="L120" s="6" t="s">
        <v>2288</v>
      </c>
      <c r="M120" s="108" t="s">
        <v>2289</v>
      </c>
      <c r="N120" s="13" t="s">
        <v>61</v>
      </c>
      <c r="O120" s="13" t="s">
        <v>61</v>
      </c>
      <c r="P120" s="13" t="s">
        <v>9</v>
      </c>
      <c r="Q120" s="6" t="s">
        <v>2290</v>
      </c>
      <c r="R120" s="35" t="s">
        <v>2291</v>
      </c>
      <c r="T120" s="13">
        <v>19</v>
      </c>
      <c r="U120" s="13">
        <v>17</v>
      </c>
      <c r="V120" s="13">
        <v>17</v>
      </c>
      <c r="X120" s="132">
        <v>118</v>
      </c>
      <c r="Y120" s="6"/>
    </row>
    <row r="121" spans="1:25" ht="15" customHeight="1" x14ac:dyDescent="0.2">
      <c r="A121" s="12" t="s">
        <v>1613</v>
      </c>
      <c r="B121" s="13" t="s">
        <v>4978</v>
      </c>
      <c r="C121" s="74">
        <v>46372</v>
      </c>
      <c r="D121" s="13" t="s">
        <v>33</v>
      </c>
      <c r="E121" s="6" t="s">
        <v>4597</v>
      </c>
      <c r="G121" s="6" t="s">
        <v>4420</v>
      </c>
      <c r="I121" s="13" t="s">
        <v>25</v>
      </c>
      <c r="J121" s="13">
        <v>3</v>
      </c>
      <c r="K121" s="13" t="s">
        <v>1714</v>
      </c>
      <c r="L121" s="6" t="s">
        <v>4598</v>
      </c>
      <c r="M121" s="108" t="s">
        <v>4567</v>
      </c>
      <c r="N121" s="13" t="s">
        <v>4568</v>
      </c>
      <c r="O121" s="13" t="s">
        <v>240</v>
      </c>
      <c r="P121" s="13" t="s">
        <v>16</v>
      </c>
      <c r="Q121" s="6" t="s">
        <v>4599</v>
      </c>
      <c r="R121" s="17" t="s">
        <v>4600</v>
      </c>
      <c r="T121" s="13">
        <v>28</v>
      </c>
      <c r="U121" s="13">
        <v>18</v>
      </c>
      <c r="V121" s="13" t="s">
        <v>4601</v>
      </c>
      <c r="X121" s="132">
        <v>119</v>
      </c>
      <c r="Y121" s="6"/>
    </row>
    <row r="122" spans="1:25" ht="15" customHeight="1" x14ac:dyDescent="0.2">
      <c r="A122" s="12" t="s">
        <v>403</v>
      </c>
      <c r="B122" s="13" t="s">
        <v>4978</v>
      </c>
      <c r="C122" s="74" t="s">
        <v>6469</v>
      </c>
      <c r="D122" s="13" t="s">
        <v>33</v>
      </c>
      <c r="E122" s="6" t="s">
        <v>6336</v>
      </c>
      <c r="F122" s="15" t="s">
        <v>11704</v>
      </c>
      <c r="G122" s="6" t="s">
        <v>405</v>
      </c>
      <c r="H122" s="6" t="s">
        <v>405</v>
      </c>
      <c r="I122" s="13" t="s">
        <v>25</v>
      </c>
      <c r="J122" s="13">
        <v>3</v>
      </c>
      <c r="K122" s="13" t="s">
        <v>1714</v>
      </c>
      <c r="L122" s="6" t="s">
        <v>6466</v>
      </c>
      <c r="M122" s="108" t="s">
        <v>6467</v>
      </c>
      <c r="N122" s="13" t="s">
        <v>2478</v>
      </c>
      <c r="O122" s="13" t="s">
        <v>61</v>
      </c>
      <c r="P122" s="13" t="s">
        <v>9</v>
      </c>
      <c r="Q122" s="6" t="s">
        <v>6468</v>
      </c>
      <c r="R122" s="17" t="s">
        <v>6342</v>
      </c>
      <c r="S122" s="17" t="s">
        <v>6343</v>
      </c>
      <c r="T122" s="13">
        <v>21</v>
      </c>
      <c r="U122" s="13">
        <v>19</v>
      </c>
      <c r="V122" s="13" t="s">
        <v>6344</v>
      </c>
      <c r="X122" s="132">
        <v>120</v>
      </c>
      <c r="Y122" s="6"/>
    </row>
    <row r="123" spans="1:25" ht="15" customHeight="1" x14ac:dyDescent="0.2">
      <c r="A123" s="12" t="s">
        <v>406</v>
      </c>
      <c r="B123" s="13" t="s">
        <v>4978</v>
      </c>
      <c r="C123" s="74" t="s">
        <v>6469</v>
      </c>
      <c r="D123" s="13" t="s">
        <v>33</v>
      </c>
      <c r="E123" s="6" t="s">
        <v>6336</v>
      </c>
      <c r="F123" s="15" t="s">
        <v>11705</v>
      </c>
      <c r="G123" s="6" t="s">
        <v>405</v>
      </c>
      <c r="H123" s="6" t="s">
        <v>407</v>
      </c>
      <c r="I123" s="13" t="s">
        <v>25</v>
      </c>
      <c r="J123" s="13">
        <v>3</v>
      </c>
      <c r="K123" s="13" t="s">
        <v>1714</v>
      </c>
      <c r="L123" s="6" t="s">
        <v>6338</v>
      </c>
      <c r="M123" s="108" t="s">
        <v>6339</v>
      </c>
      <c r="N123" s="13" t="s">
        <v>6340</v>
      </c>
      <c r="O123" s="13" t="s">
        <v>61</v>
      </c>
      <c r="P123" s="13" t="s">
        <v>9</v>
      </c>
      <c r="Q123" s="6" t="s">
        <v>6341</v>
      </c>
      <c r="R123" s="17" t="s">
        <v>6342</v>
      </c>
      <c r="S123" s="17" t="s">
        <v>6343</v>
      </c>
      <c r="T123" s="13">
        <v>37</v>
      </c>
      <c r="U123" s="13">
        <v>35</v>
      </c>
      <c r="V123" s="13" t="s">
        <v>6344</v>
      </c>
      <c r="X123" s="132">
        <v>121</v>
      </c>
      <c r="Y123" s="6"/>
    </row>
    <row r="124" spans="1:25" ht="15" customHeight="1" x14ac:dyDescent="0.2">
      <c r="A124" s="12" t="s">
        <v>408</v>
      </c>
      <c r="B124" s="13" t="s">
        <v>4978</v>
      </c>
      <c r="C124" s="74" t="s">
        <v>6469</v>
      </c>
      <c r="D124" s="13" t="s">
        <v>33</v>
      </c>
      <c r="E124" s="6" t="s">
        <v>6337</v>
      </c>
      <c r="F124" s="15" t="s">
        <v>11706</v>
      </c>
      <c r="G124" s="6" t="s">
        <v>405</v>
      </c>
      <c r="H124" s="6" t="s">
        <v>409</v>
      </c>
      <c r="I124" s="13" t="s">
        <v>25</v>
      </c>
      <c r="J124" s="13">
        <v>3</v>
      </c>
      <c r="K124" s="13" t="s">
        <v>1714</v>
      </c>
      <c r="L124" s="6" t="s">
        <v>6345</v>
      </c>
      <c r="M124" s="108" t="s">
        <v>6346</v>
      </c>
      <c r="N124" s="13" t="s">
        <v>6347</v>
      </c>
      <c r="O124" s="13" t="s">
        <v>61</v>
      </c>
      <c r="P124" s="13" t="s">
        <v>9</v>
      </c>
      <c r="Q124" s="6" t="s">
        <v>6348</v>
      </c>
      <c r="R124" s="17" t="s">
        <v>6342</v>
      </c>
      <c r="S124" s="17" t="s">
        <v>6343</v>
      </c>
      <c r="T124" s="13">
        <v>29</v>
      </c>
      <c r="U124" s="13">
        <v>28</v>
      </c>
      <c r="V124" s="13" t="s">
        <v>6344</v>
      </c>
      <c r="X124" s="132">
        <v>122</v>
      </c>
      <c r="Y124" s="6"/>
    </row>
    <row r="125" spans="1:25" ht="15" customHeight="1" x14ac:dyDescent="0.2">
      <c r="A125" s="20" t="s">
        <v>410</v>
      </c>
      <c r="B125" s="22" t="s">
        <v>2608</v>
      </c>
      <c r="C125" s="14">
        <v>43280</v>
      </c>
      <c r="D125" s="13" t="s">
        <v>1533</v>
      </c>
      <c r="E125" s="6" t="s">
        <v>411</v>
      </c>
      <c r="F125" s="15" t="s">
        <v>412</v>
      </c>
      <c r="G125" s="6" t="s">
        <v>413</v>
      </c>
      <c r="I125" s="13" t="s">
        <v>25</v>
      </c>
      <c r="K125" s="13"/>
      <c r="L125" s="6"/>
      <c r="M125" s="108"/>
      <c r="O125" s="13" t="s">
        <v>53</v>
      </c>
      <c r="P125" s="13" t="s">
        <v>54</v>
      </c>
      <c r="Q125" s="6" t="s">
        <v>7989</v>
      </c>
      <c r="R125" s="6" t="s">
        <v>414</v>
      </c>
      <c r="T125" s="13"/>
      <c r="U125" s="13"/>
      <c r="V125" s="13"/>
      <c r="X125" s="132">
        <v>123</v>
      </c>
      <c r="Y125" s="6"/>
    </row>
    <row r="126" spans="1:25" ht="15" customHeight="1" x14ac:dyDescent="0.2">
      <c r="A126" s="20" t="s">
        <v>1614</v>
      </c>
      <c r="B126" s="22" t="s">
        <v>2608</v>
      </c>
      <c r="C126" s="14">
        <v>46004</v>
      </c>
      <c r="D126" s="13" t="s">
        <v>33</v>
      </c>
      <c r="E126" s="6" t="s">
        <v>416</v>
      </c>
      <c r="F126" s="15" t="s">
        <v>417</v>
      </c>
      <c r="G126" s="6" t="s">
        <v>418</v>
      </c>
      <c r="I126" s="13" t="s">
        <v>25</v>
      </c>
      <c r="J126" s="13">
        <v>3</v>
      </c>
      <c r="K126" s="13" t="s">
        <v>1714</v>
      </c>
      <c r="L126" s="6" t="s">
        <v>3308</v>
      </c>
      <c r="M126" s="108" t="s">
        <v>3309</v>
      </c>
      <c r="N126" s="13" t="s">
        <v>136</v>
      </c>
      <c r="O126" s="13" t="s">
        <v>136</v>
      </c>
      <c r="P126" s="13" t="s">
        <v>4</v>
      </c>
      <c r="Q126" s="6" t="s">
        <v>3310</v>
      </c>
      <c r="R126" s="17" t="s">
        <v>3311</v>
      </c>
      <c r="T126" s="13">
        <v>16</v>
      </c>
      <c r="U126" s="13">
        <v>12</v>
      </c>
      <c r="V126" s="13" t="s">
        <v>3312</v>
      </c>
      <c r="X126" s="132">
        <v>124</v>
      </c>
      <c r="Y126" s="6"/>
    </row>
    <row r="127" spans="1:25" s="31" customFormat="1" ht="15" customHeight="1" x14ac:dyDescent="0.2">
      <c r="A127" s="20" t="s">
        <v>1615</v>
      </c>
      <c r="B127" s="22" t="s">
        <v>2608</v>
      </c>
      <c r="C127" s="14">
        <v>46004</v>
      </c>
      <c r="D127" s="13" t="s">
        <v>1533</v>
      </c>
      <c r="E127" s="6" t="s">
        <v>420</v>
      </c>
      <c r="F127" s="15" t="s">
        <v>421</v>
      </c>
      <c r="G127" s="6" t="s">
        <v>422</v>
      </c>
      <c r="H127" s="6"/>
      <c r="I127" s="13" t="s">
        <v>13</v>
      </c>
      <c r="J127" s="13">
        <v>7</v>
      </c>
      <c r="K127" s="13" t="s">
        <v>6603</v>
      </c>
      <c r="L127" s="6" t="s">
        <v>3120</v>
      </c>
      <c r="M127" s="108" t="s">
        <v>3121</v>
      </c>
      <c r="N127" s="13" t="s">
        <v>3122</v>
      </c>
      <c r="O127" s="13" t="s">
        <v>61</v>
      </c>
      <c r="P127" s="13" t="s">
        <v>9</v>
      </c>
      <c r="Q127" s="6" t="s">
        <v>3123</v>
      </c>
      <c r="R127" s="17" t="s">
        <v>3124</v>
      </c>
      <c r="S127" s="17" t="s">
        <v>3125</v>
      </c>
      <c r="T127" s="13">
        <v>200</v>
      </c>
      <c r="U127" s="13">
        <v>300</v>
      </c>
      <c r="V127" s="13" t="s">
        <v>3119</v>
      </c>
      <c r="W127" s="6"/>
      <c r="X127" s="132">
        <v>125</v>
      </c>
    </row>
    <row r="128" spans="1:25" ht="15" customHeight="1" x14ac:dyDescent="0.2">
      <c r="A128" s="19" t="s">
        <v>1616</v>
      </c>
      <c r="B128" s="13" t="s">
        <v>4978</v>
      </c>
      <c r="C128" s="100">
        <v>47422</v>
      </c>
      <c r="D128" s="24" t="s">
        <v>1533</v>
      </c>
      <c r="E128" s="31" t="s">
        <v>10855</v>
      </c>
      <c r="F128" s="32" t="s">
        <v>2798</v>
      </c>
      <c r="G128" s="31" t="s">
        <v>3050</v>
      </c>
      <c r="H128" s="31" t="s">
        <v>3050</v>
      </c>
      <c r="I128" s="24" t="s">
        <v>105</v>
      </c>
      <c r="J128" s="24">
        <v>10</v>
      </c>
      <c r="K128" s="13" t="s">
        <v>6603</v>
      </c>
      <c r="L128" s="31" t="s">
        <v>10857</v>
      </c>
      <c r="M128" s="112" t="s">
        <v>10856</v>
      </c>
      <c r="N128" s="24" t="s">
        <v>2706</v>
      </c>
      <c r="O128" s="13" t="s">
        <v>53</v>
      </c>
      <c r="P128" s="13" t="s">
        <v>54</v>
      </c>
      <c r="Q128" s="31" t="s">
        <v>6288</v>
      </c>
      <c r="R128" s="31" t="s">
        <v>3051</v>
      </c>
      <c r="S128" s="31" t="s">
        <v>2707</v>
      </c>
      <c r="T128" s="24">
        <v>100</v>
      </c>
      <c r="U128" s="24">
        <v>100</v>
      </c>
      <c r="V128" s="24" t="s">
        <v>3049</v>
      </c>
      <c r="X128" s="132">
        <v>126</v>
      </c>
      <c r="Y128" s="6"/>
    </row>
    <row r="129" spans="1:25" s="31" customFormat="1" ht="15" customHeight="1" x14ac:dyDescent="0.2">
      <c r="A129" s="12" t="s">
        <v>1617</v>
      </c>
      <c r="B129" s="13" t="s">
        <v>4978</v>
      </c>
      <c r="C129" s="74">
        <v>46505</v>
      </c>
      <c r="D129" s="13" t="s">
        <v>33</v>
      </c>
      <c r="E129" s="6" t="s">
        <v>5167</v>
      </c>
      <c r="F129" s="15" t="s">
        <v>5168</v>
      </c>
      <c r="G129" s="6" t="s">
        <v>428</v>
      </c>
      <c r="H129" s="6" t="s">
        <v>428</v>
      </c>
      <c r="I129" s="13" t="s">
        <v>25</v>
      </c>
      <c r="J129" s="13">
        <v>3</v>
      </c>
      <c r="K129" s="13" t="s">
        <v>1714</v>
      </c>
      <c r="L129" s="6" t="s">
        <v>5169</v>
      </c>
      <c r="M129" s="108" t="s">
        <v>5170</v>
      </c>
      <c r="N129" s="13" t="s">
        <v>5171</v>
      </c>
      <c r="O129" s="13" t="s">
        <v>1847</v>
      </c>
      <c r="P129" s="13" t="s">
        <v>68</v>
      </c>
      <c r="Q129" s="6" t="s">
        <v>5172</v>
      </c>
      <c r="R129" s="17" t="s">
        <v>5239</v>
      </c>
      <c r="S129" s="6"/>
      <c r="T129" s="13">
        <v>19</v>
      </c>
      <c r="U129" s="13">
        <v>16</v>
      </c>
      <c r="V129" s="13" t="s">
        <v>5173</v>
      </c>
      <c r="W129" s="6"/>
      <c r="X129" s="132">
        <v>127</v>
      </c>
    </row>
    <row r="130" spans="1:25" ht="15" customHeight="1" x14ac:dyDescent="0.2">
      <c r="A130" s="12" t="s">
        <v>1618</v>
      </c>
      <c r="B130" s="13" t="s">
        <v>4978</v>
      </c>
      <c r="C130" s="100">
        <v>47552</v>
      </c>
      <c r="D130" s="24" t="s">
        <v>33</v>
      </c>
      <c r="E130" s="31" t="s">
        <v>2593</v>
      </c>
      <c r="F130" s="32" t="s">
        <v>431</v>
      </c>
      <c r="G130" s="31" t="s">
        <v>432</v>
      </c>
      <c r="H130" s="31" t="s">
        <v>432</v>
      </c>
      <c r="I130" s="24" t="s">
        <v>25</v>
      </c>
      <c r="J130" s="13">
        <v>3</v>
      </c>
      <c r="K130" s="13" t="s">
        <v>1714</v>
      </c>
      <c r="L130" s="31" t="s">
        <v>2595</v>
      </c>
      <c r="M130" s="112" t="s">
        <v>2594</v>
      </c>
      <c r="N130" s="24" t="s">
        <v>2161</v>
      </c>
      <c r="O130" s="13" t="s">
        <v>1889</v>
      </c>
      <c r="P130" s="13" t="s">
        <v>68</v>
      </c>
      <c r="Q130" s="31" t="s">
        <v>6289</v>
      </c>
      <c r="R130" s="31" t="s">
        <v>433</v>
      </c>
      <c r="S130" s="33" t="s">
        <v>2596</v>
      </c>
      <c r="T130" s="24">
        <v>120</v>
      </c>
      <c r="U130" s="24">
        <v>90</v>
      </c>
      <c r="V130" s="24" t="s">
        <v>2597</v>
      </c>
      <c r="X130" s="132">
        <v>128</v>
      </c>
      <c r="Y130" s="6"/>
    </row>
    <row r="131" spans="1:25" ht="15" customHeight="1" x14ac:dyDescent="0.2">
      <c r="A131" s="12" t="s">
        <v>1619</v>
      </c>
      <c r="B131" s="13" t="s">
        <v>4978</v>
      </c>
      <c r="C131" s="100">
        <v>47315</v>
      </c>
      <c r="D131" s="13" t="s">
        <v>33</v>
      </c>
      <c r="E131" s="6" t="s">
        <v>10235</v>
      </c>
      <c r="F131" s="15" t="s">
        <v>10236</v>
      </c>
      <c r="G131" s="6" t="s">
        <v>436</v>
      </c>
      <c r="H131" s="6" t="s">
        <v>436</v>
      </c>
      <c r="I131" s="13" t="s">
        <v>25</v>
      </c>
      <c r="J131" s="13">
        <v>3</v>
      </c>
      <c r="K131" s="13" t="s">
        <v>1714</v>
      </c>
      <c r="L131" s="6" t="s">
        <v>10237</v>
      </c>
      <c r="M131" s="108" t="s">
        <v>2498</v>
      </c>
      <c r="N131" s="13" t="s">
        <v>9700</v>
      </c>
      <c r="O131" s="13" t="s">
        <v>1055</v>
      </c>
      <c r="P131" s="13" t="s">
        <v>16</v>
      </c>
      <c r="Q131" s="6" t="s">
        <v>10238</v>
      </c>
      <c r="R131" s="17" t="s">
        <v>2487</v>
      </c>
      <c r="S131" s="6" t="s">
        <v>2488</v>
      </c>
      <c r="T131" s="13">
        <v>39</v>
      </c>
      <c r="U131" s="13">
        <v>33</v>
      </c>
      <c r="V131" s="13" t="s">
        <v>2503</v>
      </c>
      <c r="X131" s="132">
        <v>129</v>
      </c>
      <c r="Y131" s="6"/>
    </row>
    <row r="132" spans="1:25" ht="15" customHeight="1" x14ac:dyDescent="0.2">
      <c r="A132" s="12" t="s">
        <v>1620</v>
      </c>
      <c r="B132" s="13" t="s">
        <v>4978</v>
      </c>
      <c r="C132" s="74">
        <v>46705</v>
      </c>
      <c r="D132" s="13" t="s">
        <v>1533</v>
      </c>
      <c r="E132" s="6" t="s">
        <v>438</v>
      </c>
      <c r="F132" s="15" t="s">
        <v>439</v>
      </c>
      <c r="G132" s="6" t="s">
        <v>440</v>
      </c>
      <c r="H132" s="6" t="s">
        <v>6284</v>
      </c>
      <c r="I132" s="13" t="s">
        <v>25</v>
      </c>
      <c r="J132" s="13">
        <v>6</v>
      </c>
      <c r="K132" s="13" t="s">
        <v>1714</v>
      </c>
      <c r="L132" s="6" t="s">
        <v>6285</v>
      </c>
      <c r="M132" s="108" t="s">
        <v>6286</v>
      </c>
      <c r="N132" s="13" t="s">
        <v>6287</v>
      </c>
      <c r="O132" s="13" t="s">
        <v>1055</v>
      </c>
      <c r="P132" s="13" t="s">
        <v>16</v>
      </c>
      <c r="Q132" s="6" t="s">
        <v>6290</v>
      </c>
      <c r="R132" s="6" t="s">
        <v>441</v>
      </c>
      <c r="S132" s="17" t="s">
        <v>6291</v>
      </c>
      <c r="T132" s="13">
        <v>16</v>
      </c>
      <c r="U132" s="13">
        <v>16</v>
      </c>
      <c r="V132" s="13" t="s">
        <v>6292</v>
      </c>
      <c r="X132" s="132">
        <v>130</v>
      </c>
      <c r="Y132" s="6"/>
    </row>
    <row r="133" spans="1:25" ht="15" customHeight="1" x14ac:dyDescent="0.2">
      <c r="A133" s="12" t="s">
        <v>1621</v>
      </c>
      <c r="B133" s="13" t="s">
        <v>4978</v>
      </c>
      <c r="C133" s="99">
        <v>47436</v>
      </c>
      <c r="D133" s="13" t="s">
        <v>1533</v>
      </c>
      <c r="E133" s="6" t="s">
        <v>443</v>
      </c>
      <c r="F133" s="15" t="s">
        <v>6193</v>
      </c>
      <c r="G133" s="6" t="s">
        <v>444</v>
      </c>
      <c r="H133" s="6" t="s">
        <v>444</v>
      </c>
      <c r="I133" s="13" t="s">
        <v>13</v>
      </c>
      <c r="J133" s="13">
        <v>7</v>
      </c>
      <c r="K133" s="13" t="s">
        <v>6603</v>
      </c>
      <c r="L133" s="6" t="s">
        <v>6194</v>
      </c>
      <c r="M133" s="108" t="s">
        <v>6195</v>
      </c>
      <c r="N133" s="13" t="s">
        <v>445</v>
      </c>
      <c r="O133" s="13" t="s">
        <v>445</v>
      </c>
      <c r="P133" s="13" t="s">
        <v>16</v>
      </c>
      <c r="Q133" s="6" t="s">
        <v>10911</v>
      </c>
      <c r="R133" s="17" t="s">
        <v>6196</v>
      </c>
      <c r="S133" s="17" t="s">
        <v>6197</v>
      </c>
      <c r="T133" s="13">
        <v>130</v>
      </c>
      <c r="U133" s="13">
        <v>130</v>
      </c>
      <c r="V133" s="13" t="s">
        <v>6198</v>
      </c>
      <c r="X133" s="132">
        <v>131</v>
      </c>
      <c r="Y133" s="6"/>
    </row>
    <row r="134" spans="1:25" ht="15" customHeight="1" x14ac:dyDescent="0.2">
      <c r="A134" s="12" t="s">
        <v>1622</v>
      </c>
      <c r="B134" s="13" t="s">
        <v>4978</v>
      </c>
      <c r="C134" s="74">
        <v>47464</v>
      </c>
      <c r="D134" s="13" t="s">
        <v>33</v>
      </c>
      <c r="E134" s="6" t="s">
        <v>11044</v>
      </c>
      <c r="F134" s="15" t="s">
        <v>448</v>
      </c>
      <c r="G134" s="6" t="s">
        <v>449</v>
      </c>
      <c r="H134" s="6" t="s">
        <v>449</v>
      </c>
      <c r="I134" s="13" t="s">
        <v>25</v>
      </c>
      <c r="J134" s="13">
        <v>3</v>
      </c>
      <c r="K134" s="13" t="s">
        <v>1714</v>
      </c>
      <c r="L134" s="6" t="s">
        <v>3134</v>
      </c>
      <c r="M134" s="108" t="s">
        <v>11045</v>
      </c>
      <c r="N134" s="13" t="s">
        <v>3135</v>
      </c>
      <c r="O134" s="13" t="s">
        <v>1847</v>
      </c>
      <c r="P134" s="13" t="s">
        <v>68</v>
      </c>
      <c r="Q134" s="6" t="s">
        <v>3136</v>
      </c>
      <c r="R134" s="17" t="s">
        <v>3406</v>
      </c>
      <c r="S134" s="17" t="s">
        <v>3137</v>
      </c>
      <c r="T134" s="13">
        <v>41</v>
      </c>
      <c r="U134" s="13">
        <v>37</v>
      </c>
      <c r="V134" s="13" t="s">
        <v>3138</v>
      </c>
      <c r="X134" s="132">
        <v>132</v>
      </c>
      <c r="Y134" s="6"/>
    </row>
    <row r="135" spans="1:25" ht="15" customHeight="1" x14ac:dyDescent="0.2">
      <c r="A135" s="20" t="s">
        <v>1624</v>
      </c>
      <c r="B135" s="22" t="s">
        <v>2608</v>
      </c>
      <c r="C135" s="14">
        <v>45259</v>
      </c>
      <c r="D135" s="13" t="s">
        <v>1533</v>
      </c>
      <c r="E135" s="6" t="s">
        <v>451</v>
      </c>
      <c r="F135" s="15" t="s">
        <v>456</v>
      </c>
      <c r="G135" s="6" t="s">
        <v>457</v>
      </c>
      <c r="I135" s="13" t="s">
        <v>25</v>
      </c>
      <c r="J135" s="13">
        <v>5</v>
      </c>
      <c r="K135" s="13" t="s">
        <v>6603</v>
      </c>
      <c r="L135" s="6"/>
      <c r="M135" s="108"/>
      <c r="O135" s="13" t="s">
        <v>97</v>
      </c>
      <c r="P135" s="13" t="s">
        <v>4</v>
      </c>
      <c r="Q135" s="6"/>
      <c r="R135" s="17" t="s">
        <v>4046</v>
      </c>
      <c r="T135" s="13"/>
      <c r="U135" s="13"/>
      <c r="V135" s="13"/>
      <c r="X135" s="132">
        <v>133</v>
      </c>
      <c r="Y135" s="6"/>
    </row>
    <row r="136" spans="1:25" ht="15" customHeight="1" x14ac:dyDescent="0.2">
      <c r="A136" s="12" t="s">
        <v>1623</v>
      </c>
      <c r="B136" s="13" t="s">
        <v>4978</v>
      </c>
      <c r="C136" s="74">
        <v>46771</v>
      </c>
      <c r="D136" s="13" t="s">
        <v>1533</v>
      </c>
      <c r="E136" s="6" t="s">
        <v>451</v>
      </c>
      <c r="F136" s="15" t="s">
        <v>452</v>
      </c>
      <c r="G136" s="6" t="s">
        <v>453</v>
      </c>
      <c r="H136" s="6" t="s">
        <v>453</v>
      </c>
      <c r="I136" s="13" t="s">
        <v>105</v>
      </c>
      <c r="J136" s="13">
        <v>10</v>
      </c>
      <c r="K136" s="13" t="s">
        <v>6603</v>
      </c>
      <c r="L136" s="6" t="s">
        <v>6604</v>
      </c>
      <c r="M136" s="108" t="s">
        <v>6606</v>
      </c>
      <c r="N136" s="13" t="s">
        <v>2693</v>
      </c>
      <c r="O136" s="13" t="s">
        <v>53</v>
      </c>
      <c r="P136" s="13" t="s">
        <v>54</v>
      </c>
      <c r="Q136" s="6" t="s">
        <v>6605</v>
      </c>
      <c r="R136" s="6" t="s">
        <v>454</v>
      </c>
      <c r="S136" s="6" t="s">
        <v>6621</v>
      </c>
      <c r="T136" s="13">
        <v>210</v>
      </c>
      <c r="U136" s="13">
        <v>210</v>
      </c>
      <c r="V136" s="13" t="s">
        <v>6593</v>
      </c>
      <c r="X136" s="132">
        <v>134</v>
      </c>
      <c r="Y136" s="6"/>
    </row>
    <row r="137" spans="1:25" ht="15" customHeight="1" x14ac:dyDescent="0.2">
      <c r="A137" s="12" t="s">
        <v>1625</v>
      </c>
      <c r="B137" s="13" t="s">
        <v>4978</v>
      </c>
      <c r="C137" s="74">
        <v>46771</v>
      </c>
      <c r="D137" s="13" t="s">
        <v>33</v>
      </c>
      <c r="E137" s="6" t="s">
        <v>459</v>
      </c>
      <c r="F137" s="15" t="s">
        <v>460</v>
      </c>
      <c r="G137" s="6" t="s">
        <v>461</v>
      </c>
      <c r="H137" s="6" t="s">
        <v>461</v>
      </c>
      <c r="I137" s="13" t="s">
        <v>25</v>
      </c>
      <c r="J137" s="13">
        <v>3</v>
      </c>
      <c r="K137" s="13" t="s">
        <v>1714</v>
      </c>
      <c r="L137" s="6" t="s">
        <v>6607</v>
      </c>
      <c r="M137" s="108" t="s">
        <v>6608</v>
      </c>
      <c r="N137" s="13" t="s">
        <v>2673</v>
      </c>
      <c r="O137" s="13" t="s">
        <v>136</v>
      </c>
      <c r="P137" s="13" t="s">
        <v>4</v>
      </c>
      <c r="Q137" s="6" t="s">
        <v>6609</v>
      </c>
      <c r="R137" s="17" t="s">
        <v>6610</v>
      </c>
      <c r="T137" s="13">
        <v>28</v>
      </c>
      <c r="U137" s="13">
        <v>27</v>
      </c>
      <c r="V137" s="13" t="s">
        <v>6611</v>
      </c>
      <c r="X137" s="132">
        <v>135</v>
      </c>
      <c r="Y137" s="6"/>
    </row>
    <row r="138" spans="1:25" ht="15" customHeight="1" x14ac:dyDescent="0.2">
      <c r="A138" s="12" t="s">
        <v>1626</v>
      </c>
      <c r="B138" s="13" t="s">
        <v>4978</v>
      </c>
      <c r="C138" s="74">
        <v>46771</v>
      </c>
      <c r="D138" s="13" t="s">
        <v>1533</v>
      </c>
      <c r="E138" s="6" t="s">
        <v>463</v>
      </c>
      <c r="F138" s="15" t="s">
        <v>464</v>
      </c>
      <c r="G138" s="6" t="s">
        <v>465</v>
      </c>
      <c r="H138" s="6" t="s">
        <v>6622</v>
      </c>
      <c r="I138" s="13" t="s">
        <v>13</v>
      </c>
      <c r="J138" s="13">
        <v>7</v>
      </c>
      <c r="K138" s="13" t="s">
        <v>6603</v>
      </c>
      <c r="L138" s="6" t="s">
        <v>6623</v>
      </c>
      <c r="M138" s="108" t="s">
        <v>6624</v>
      </c>
      <c r="N138" s="13" t="s">
        <v>2820</v>
      </c>
      <c r="O138" s="13" t="s">
        <v>293</v>
      </c>
      <c r="P138" s="13" t="s">
        <v>16</v>
      </c>
      <c r="Q138" s="6" t="s">
        <v>6625</v>
      </c>
      <c r="R138" s="6" t="s">
        <v>466</v>
      </c>
      <c r="S138" s="17" t="s">
        <v>6626</v>
      </c>
      <c r="T138" s="13">
        <v>200</v>
      </c>
      <c r="U138" s="13">
        <v>210</v>
      </c>
      <c r="V138" s="13" t="s">
        <v>6696</v>
      </c>
      <c r="X138" s="132">
        <v>136</v>
      </c>
      <c r="Y138" s="6"/>
    </row>
    <row r="139" spans="1:25" ht="15" customHeight="1" x14ac:dyDescent="0.2">
      <c r="A139" s="12" t="s">
        <v>1627</v>
      </c>
      <c r="B139" s="13" t="s">
        <v>4978</v>
      </c>
      <c r="C139" s="74">
        <v>46771</v>
      </c>
      <c r="D139" s="13" t="s">
        <v>1533</v>
      </c>
      <c r="E139" s="6" t="s">
        <v>463</v>
      </c>
      <c r="F139" s="15" t="s">
        <v>468</v>
      </c>
      <c r="G139" s="6" t="s">
        <v>465</v>
      </c>
      <c r="H139" s="6" t="s">
        <v>6697</v>
      </c>
      <c r="I139" s="13" t="s">
        <v>7931</v>
      </c>
      <c r="J139" s="13">
        <v>9</v>
      </c>
      <c r="K139" s="13" t="s">
        <v>6603</v>
      </c>
      <c r="L139" s="6" t="s">
        <v>6699</v>
      </c>
      <c r="M139" s="108" t="s">
        <v>6698</v>
      </c>
      <c r="N139" s="13" t="s">
        <v>6700</v>
      </c>
      <c r="O139" s="13" t="s">
        <v>293</v>
      </c>
      <c r="P139" s="13" t="s">
        <v>16</v>
      </c>
      <c r="Q139" s="6" t="s">
        <v>6701</v>
      </c>
      <c r="R139" s="6" t="s">
        <v>466</v>
      </c>
      <c r="S139" s="17" t="s">
        <v>6626</v>
      </c>
      <c r="T139" s="13">
        <v>30</v>
      </c>
      <c r="U139" s="13">
        <v>30</v>
      </c>
      <c r="V139" s="13" t="s">
        <v>6696</v>
      </c>
      <c r="X139" s="132">
        <v>137</v>
      </c>
      <c r="Y139" s="6"/>
    </row>
    <row r="140" spans="1:25" ht="15" customHeight="1" x14ac:dyDescent="0.25">
      <c r="A140" s="12" t="s">
        <v>1628</v>
      </c>
      <c r="B140" s="13" t="s">
        <v>4978</v>
      </c>
      <c r="C140" s="74">
        <v>47176</v>
      </c>
      <c r="D140" s="13" t="s">
        <v>33</v>
      </c>
      <c r="E140" s="41" t="s">
        <v>11671</v>
      </c>
      <c r="F140" s="15" t="s">
        <v>9400</v>
      </c>
      <c r="G140" s="6" t="s">
        <v>9401</v>
      </c>
      <c r="H140" s="6" t="s">
        <v>9401</v>
      </c>
      <c r="I140" s="13" t="s">
        <v>25</v>
      </c>
      <c r="J140" s="13">
        <v>3</v>
      </c>
      <c r="K140" s="13" t="s">
        <v>1714</v>
      </c>
      <c r="L140" s="6" t="s">
        <v>9402</v>
      </c>
      <c r="M140" s="108" t="s">
        <v>9403</v>
      </c>
      <c r="N140" s="13" t="s">
        <v>6794</v>
      </c>
      <c r="O140" s="13" t="s">
        <v>11949</v>
      </c>
      <c r="P140" s="13" t="s">
        <v>68</v>
      </c>
      <c r="Q140" s="6" t="s">
        <v>9404</v>
      </c>
      <c r="R140" s="69" t="s">
        <v>9405</v>
      </c>
      <c r="S140" s="69" t="s">
        <v>9406</v>
      </c>
      <c r="T140" s="13">
        <v>51</v>
      </c>
      <c r="U140" s="13">
        <v>49</v>
      </c>
      <c r="V140" s="13" t="s">
        <v>9407</v>
      </c>
      <c r="X140" s="132">
        <v>138</v>
      </c>
      <c r="Y140" s="6"/>
    </row>
    <row r="141" spans="1:25" s="31" customFormat="1" ht="15" customHeight="1" x14ac:dyDescent="0.2">
      <c r="A141" s="12" t="s">
        <v>1629</v>
      </c>
      <c r="B141" s="13" t="s">
        <v>4978</v>
      </c>
      <c r="C141" s="74">
        <v>47105</v>
      </c>
      <c r="D141" s="13" t="s">
        <v>33</v>
      </c>
      <c r="E141" s="6" t="s">
        <v>8830</v>
      </c>
      <c r="F141" s="15" t="s">
        <v>11707</v>
      </c>
      <c r="G141" s="6" t="s">
        <v>474</v>
      </c>
      <c r="H141" s="6" t="s">
        <v>474</v>
      </c>
      <c r="I141" s="13" t="s">
        <v>25</v>
      </c>
      <c r="J141" s="13">
        <v>3</v>
      </c>
      <c r="K141" s="13" t="s">
        <v>1714</v>
      </c>
      <c r="L141" s="6" t="s">
        <v>4171</v>
      </c>
      <c r="M141" s="108" t="s">
        <v>8831</v>
      </c>
      <c r="N141" s="13" t="s">
        <v>3906</v>
      </c>
      <c r="O141" s="13" t="s">
        <v>128</v>
      </c>
      <c r="P141" s="13" t="s">
        <v>16</v>
      </c>
      <c r="Q141" s="6" t="s">
        <v>4173</v>
      </c>
      <c r="R141" s="6" t="s">
        <v>475</v>
      </c>
      <c r="S141" s="17"/>
      <c r="T141" s="13">
        <v>37</v>
      </c>
      <c r="U141" s="13">
        <v>37</v>
      </c>
      <c r="V141" s="13" t="s">
        <v>4172</v>
      </c>
      <c r="W141" s="6"/>
      <c r="X141" s="132">
        <v>139</v>
      </c>
    </row>
    <row r="142" spans="1:25" ht="15" customHeight="1" x14ac:dyDescent="0.2">
      <c r="A142" s="12" t="s">
        <v>10663</v>
      </c>
      <c r="B142" s="13" t="s">
        <v>4978</v>
      </c>
      <c r="C142" s="100">
        <v>47406</v>
      </c>
      <c r="D142" s="24" t="s">
        <v>1533</v>
      </c>
      <c r="E142" s="31" t="s">
        <v>477</v>
      </c>
      <c r="F142" s="32" t="s">
        <v>10615</v>
      </c>
      <c r="G142" s="31" t="s">
        <v>5340</v>
      </c>
      <c r="H142" s="31" t="s">
        <v>478</v>
      </c>
      <c r="I142" s="24" t="s">
        <v>25</v>
      </c>
      <c r="J142" s="24">
        <v>5</v>
      </c>
      <c r="K142" s="24" t="s">
        <v>6603</v>
      </c>
      <c r="L142" s="31" t="s">
        <v>2765</v>
      </c>
      <c r="M142" s="112" t="s">
        <v>10616</v>
      </c>
      <c r="N142" s="24" t="s">
        <v>2766</v>
      </c>
      <c r="O142" s="13" t="s">
        <v>165</v>
      </c>
      <c r="P142" s="13" t="s">
        <v>9</v>
      </c>
      <c r="Q142" s="31"/>
      <c r="R142" s="31" t="s">
        <v>479</v>
      </c>
      <c r="S142" s="33" t="s">
        <v>2767</v>
      </c>
      <c r="T142" s="24">
        <v>60</v>
      </c>
      <c r="U142" s="24">
        <v>45</v>
      </c>
      <c r="V142" s="24" t="s">
        <v>3052</v>
      </c>
      <c r="X142" s="132">
        <v>140</v>
      </c>
      <c r="Y142" s="6"/>
    </row>
    <row r="143" spans="1:25" ht="15" customHeight="1" x14ac:dyDescent="0.2">
      <c r="A143" s="12" t="s">
        <v>5281</v>
      </c>
      <c r="B143" s="13" t="s">
        <v>4978</v>
      </c>
      <c r="C143" s="74">
        <v>46537</v>
      </c>
      <c r="D143" s="24" t="s">
        <v>1533</v>
      </c>
      <c r="E143" s="31" t="s">
        <v>477</v>
      </c>
      <c r="F143" s="15" t="s">
        <v>5341</v>
      </c>
      <c r="G143" s="31" t="s">
        <v>5340</v>
      </c>
      <c r="H143" s="31" t="s">
        <v>5340</v>
      </c>
      <c r="I143" s="13" t="s">
        <v>105</v>
      </c>
      <c r="J143" s="13">
        <v>10</v>
      </c>
      <c r="K143" s="13" t="s">
        <v>6603</v>
      </c>
      <c r="L143" s="6" t="s">
        <v>5342</v>
      </c>
      <c r="M143" s="108" t="s">
        <v>5350</v>
      </c>
      <c r="N143" s="13" t="s">
        <v>61</v>
      </c>
      <c r="O143" s="13" t="s">
        <v>61</v>
      </c>
      <c r="P143" s="13" t="s">
        <v>9</v>
      </c>
      <c r="Q143" s="31" t="s">
        <v>5349</v>
      </c>
      <c r="R143" s="31" t="s">
        <v>479</v>
      </c>
      <c r="S143" s="33" t="s">
        <v>2767</v>
      </c>
      <c r="T143" s="18">
        <v>60</v>
      </c>
      <c r="U143" s="18">
        <v>58</v>
      </c>
      <c r="V143" s="24" t="s">
        <v>5343</v>
      </c>
      <c r="X143" s="132">
        <v>141</v>
      </c>
      <c r="Y143" s="6"/>
    </row>
    <row r="144" spans="1:25" ht="15" customHeight="1" x14ac:dyDescent="0.2">
      <c r="A144" s="12" t="s">
        <v>5338</v>
      </c>
      <c r="B144" s="13" t="s">
        <v>4978</v>
      </c>
      <c r="C144" s="74">
        <v>46537</v>
      </c>
      <c r="D144" s="24" t="s">
        <v>1533</v>
      </c>
      <c r="E144" s="31" t="s">
        <v>477</v>
      </c>
      <c r="F144" s="15" t="s">
        <v>5344</v>
      </c>
      <c r="G144" s="31" t="s">
        <v>5340</v>
      </c>
      <c r="H144" s="31" t="s">
        <v>5340</v>
      </c>
      <c r="I144" s="13" t="s">
        <v>105</v>
      </c>
      <c r="J144" s="13">
        <v>10</v>
      </c>
      <c r="K144" s="13" t="s">
        <v>6603</v>
      </c>
      <c r="L144" s="6" t="s">
        <v>5346</v>
      </c>
      <c r="M144" s="108" t="s">
        <v>5351</v>
      </c>
      <c r="N144" s="13" t="s">
        <v>54</v>
      </c>
      <c r="O144" s="13" t="s">
        <v>53</v>
      </c>
      <c r="P144" s="13" t="s">
        <v>54</v>
      </c>
      <c r="Q144" s="31" t="s">
        <v>5348</v>
      </c>
      <c r="R144" s="31" t="s">
        <v>479</v>
      </c>
      <c r="S144" s="33" t="s">
        <v>2767</v>
      </c>
      <c r="T144" s="18">
        <v>220</v>
      </c>
      <c r="U144" s="18">
        <v>170</v>
      </c>
      <c r="V144" s="24" t="s">
        <v>5343</v>
      </c>
      <c r="X144" s="132">
        <v>142</v>
      </c>
      <c r="Y144" s="6"/>
    </row>
    <row r="145" spans="1:25" ht="15" customHeight="1" x14ac:dyDescent="0.2">
      <c r="A145" s="12" t="s">
        <v>5339</v>
      </c>
      <c r="B145" s="13" t="s">
        <v>4978</v>
      </c>
      <c r="C145" s="74">
        <v>46537</v>
      </c>
      <c r="D145" s="24" t="s">
        <v>1533</v>
      </c>
      <c r="E145" s="31" t="s">
        <v>477</v>
      </c>
      <c r="F145" s="15" t="s">
        <v>5345</v>
      </c>
      <c r="G145" s="31" t="s">
        <v>5340</v>
      </c>
      <c r="H145" s="31" t="s">
        <v>5340</v>
      </c>
      <c r="I145" s="13" t="s">
        <v>105</v>
      </c>
      <c r="J145" s="13">
        <v>10</v>
      </c>
      <c r="K145" s="13" t="s">
        <v>6603</v>
      </c>
      <c r="L145" s="6" t="s">
        <v>5347</v>
      </c>
      <c r="M145" s="108" t="s">
        <v>5352</v>
      </c>
      <c r="N145" s="13" t="s">
        <v>54</v>
      </c>
      <c r="O145" s="13" t="s">
        <v>53</v>
      </c>
      <c r="P145" s="13" t="s">
        <v>54</v>
      </c>
      <c r="Q145" s="31" t="s">
        <v>5348</v>
      </c>
      <c r="R145" s="31" t="s">
        <v>479</v>
      </c>
      <c r="S145" s="33" t="s">
        <v>2767</v>
      </c>
      <c r="T145" s="18">
        <v>220</v>
      </c>
      <c r="U145" s="18">
        <v>50</v>
      </c>
      <c r="V145" s="24" t="s">
        <v>5343</v>
      </c>
      <c r="X145" s="132">
        <v>143</v>
      </c>
      <c r="Y145" s="6"/>
    </row>
    <row r="146" spans="1:25" ht="15" customHeight="1" x14ac:dyDescent="0.2">
      <c r="A146" s="12" t="s">
        <v>5443</v>
      </c>
      <c r="B146" s="13" t="s">
        <v>4978</v>
      </c>
      <c r="C146" s="74">
        <v>46564</v>
      </c>
      <c r="D146" s="13" t="s">
        <v>1533</v>
      </c>
      <c r="E146" s="31" t="s">
        <v>477</v>
      </c>
      <c r="F146" s="15" t="s">
        <v>5444</v>
      </c>
      <c r="G146" s="31" t="s">
        <v>5340</v>
      </c>
      <c r="H146" s="31" t="s">
        <v>5340</v>
      </c>
      <c r="I146" s="13" t="s">
        <v>7931</v>
      </c>
      <c r="J146" s="13">
        <v>9</v>
      </c>
      <c r="K146" s="13" t="s">
        <v>6603</v>
      </c>
      <c r="L146" s="6" t="s">
        <v>5445</v>
      </c>
      <c r="M146" s="108" t="s">
        <v>5448</v>
      </c>
      <c r="N146" s="13" t="s">
        <v>5446</v>
      </c>
      <c r="O146" s="13" t="s">
        <v>165</v>
      </c>
      <c r="P146" s="13" t="s">
        <v>9</v>
      </c>
      <c r="Q146" s="6" t="s">
        <v>5447</v>
      </c>
      <c r="R146" s="31" t="s">
        <v>479</v>
      </c>
      <c r="S146" s="33" t="s">
        <v>2767</v>
      </c>
      <c r="T146" s="18">
        <v>30</v>
      </c>
      <c r="U146" s="18">
        <v>27</v>
      </c>
      <c r="V146" s="24" t="s">
        <v>5343</v>
      </c>
      <c r="X146" s="132">
        <v>144</v>
      </c>
      <c r="Y146" s="6"/>
    </row>
    <row r="147" spans="1:25" ht="15" customHeight="1" x14ac:dyDescent="0.25">
      <c r="A147" s="12" t="s">
        <v>1630</v>
      </c>
      <c r="B147" s="13" t="s">
        <v>4978</v>
      </c>
      <c r="C147" s="74">
        <v>47450</v>
      </c>
      <c r="D147" s="13" t="s">
        <v>33</v>
      </c>
      <c r="E147" s="6" t="s">
        <v>481</v>
      </c>
      <c r="F147" s="15" t="s">
        <v>10945</v>
      </c>
      <c r="G147" s="6" t="s">
        <v>482</v>
      </c>
      <c r="H147" s="6" t="s">
        <v>482</v>
      </c>
      <c r="I147" s="13" t="s">
        <v>25</v>
      </c>
      <c r="J147" s="13">
        <v>3</v>
      </c>
      <c r="K147" s="13" t="s">
        <v>1714</v>
      </c>
      <c r="L147" s="6" t="s">
        <v>10946</v>
      </c>
      <c r="M147" s="108" t="s">
        <v>10947</v>
      </c>
      <c r="N147" s="13" t="s">
        <v>2391</v>
      </c>
      <c r="O147" s="13" t="s">
        <v>2085</v>
      </c>
      <c r="P147" s="13" t="s">
        <v>68</v>
      </c>
      <c r="Q147" s="6" t="s">
        <v>10948</v>
      </c>
      <c r="R147" s="69" t="s">
        <v>10949</v>
      </c>
      <c r="S147" s="17" t="s">
        <v>6629</v>
      </c>
      <c r="T147" s="13">
        <v>35</v>
      </c>
      <c r="U147" s="13">
        <v>28</v>
      </c>
      <c r="V147" s="13" t="s">
        <v>10950</v>
      </c>
      <c r="X147" s="132">
        <v>145</v>
      </c>
      <c r="Y147" s="6"/>
    </row>
    <row r="148" spans="1:25" ht="15" customHeight="1" x14ac:dyDescent="0.2">
      <c r="A148" s="12" t="s">
        <v>1631</v>
      </c>
      <c r="B148" s="13" t="s">
        <v>4978</v>
      </c>
      <c r="C148" s="74">
        <v>46980</v>
      </c>
      <c r="D148" s="13" t="s">
        <v>33</v>
      </c>
      <c r="E148" s="6" t="s">
        <v>484</v>
      </c>
      <c r="F148" s="15" t="s">
        <v>7938</v>
      </c>
      <c r="G148" s="6" t="s">
        <v>485</v>
      </c>
      <c r="H148" s="6" t="s">
        <v>485</v>
      </c>
      <c r="I148" s="13" t="s">
        <v>25</v>
      </c>
      <c r="J148" s="13">
        <v>3</v>
      </c>
      <c r="K148" s="13" t="s">
        <v>1714</v>
      </c>
      <c r="L148" s="6" t="s">
        <v>7937</v>
      </c>
      <c r="M148" s="108" t="s">
        <v>2305</v>
      </c>
      <c r="N148" s="13" t="s">
        <v>2304</v>
      </c>
      <c r="O148" s="13" t="s">
        <v>36</v>
      </c>
      <c r="P148" s="13" t="s">
        <v>4</v>
      </c>
      <c r="Q148" s="6" t="s">
        <v>7939</v>
      </c>
      <c r="R148" s="25" t="s">
        <v>7940</v>
      </c>
      <c r="S148" s="25" t="s">
        <v>7941</v>
      </c>
      <c r="T148" s="13">
        <v>37</v>
      </c>
      <c r="U148" s="13">
        <v>29</v>
      </c>
      <c r="V148" s="13" t="s">
        <v>7942</v>
      </c>
      <c r="X148" s="132">
        <v>146</v>
      </c>
      <c r="Y148" s="6"/>
    </row>
    <row r="149" spans="1:25" ht="15" customHeight="1" x14ac:dyDescent="0.2">
      <c r="A149" s="12" t="s">
        <v>1632</v>
      </c>
      <c r="B149" s="13" t="s">
        <v>4978</v>
      </c>
      <c r="C149" s="100">
        <v>46564</v>
      </c>
      <c r="D149" s="13" t="s">
        <v>33</v>
      </c>
      <c r="E149" s="6" t="s">
        <v>5585</v>
      </c>
      <c r="F149" s="15" t="s">
        <v>11708</v>
      </c>
      <c r="G149" s="6" t="s">
        <v>488</v>
      </c>
      <c r="H149" s="6" t="s">
        <v>488</v>
      </c>
      <c r="I149" s="13" t="s">
        <v>25</v>
      </c>
      <c r="J149" s="13">
        <v>3</v>
      </c>
      <c r="K149" s="13" t="s">
        <v>1714</v>
      </c>
      <c r="L149" s="6" t="s">
        <v>5587</v>
      </c>
      <c r="M149" s="108" t="s">
        <v>5588</v>
      </c>
      <c r="N149" s="13" t="s">
        <v>2558</v>
      </c>
      <c r="O149" s="13" t="s">
        <v>128</v>
      </c>
      <c r="P149" s="13" t="s">
        <v>16</v>
      </c>
      <c r="Q149" s="6" t="s">
        <v>5589</v>
      </c>
      <c r="R149" s="17" t="s">
        <v>5590</v>
      </c>
      <c r="S149" s="17" t="s">
        <v>5591</v>
      </c>
      <c r="T149" s="13">
        <v>23</v>
      </c>
      <c r="U149" s="13">
        <v>16</v>
      </c>
      <c r="V149" s="13" t="s">
        <v>5592</v>
      </c>
      <c r="X149" s="132">
        <v>147</v>
      </c>
      <c r="Y149" s="6"/>
    </row>
    <row r="150" spans="1:25" ht="15" customHeight="1" x14ac:dyDescent="0.2">
      <c r="A150" s="20" t="s">
        <v>1633</v>
      </c>
      <c r="B150" s="22" t="s">
        <v>2608</v>
      </c>
      <c r="C150" s="14">
        <v>44219</v>
      </c>
      <c r="D150" s="13" t="s">
        <v>33</v>
      </c>
      <c r="E150" s="6" t="s">
        <v>490</v>
      </c>
      <c r="F150" s="15" t="s">
        <v>491</v>
      </c>
      <c r="G150" s="6" t="s">
        <v>492</v>
      </c>
      <c r="I150" s="13" t="s">
        <v>39</v>
      </c>
      <c r="J150" s="13">
        <v>12</v>
      </c>
      <c r="K150" s="13"/>
      <c r="L150" s="6"/>
      <c r="M150" s="108"/>
      <c r="O150" s="13" t="s">
        <v>36</v>
      </c>
      <c r="P150" s="13" t="s">
        <v>4</v>
      </c>
      <c r="Q150" s="6"/>
      <c r="R150" s="6" t="s">
        <v>493</v>
      </c>
      <c r="S150" s="17" t="s">
        <v>6630</v>
      </c>
      <c r="T150" s="13"/>
      <c r="U150" s="13"/>
      <c r="V150" s="13"/>
      <c r="X150" s="132">
        <v>148</v>
      </c>
      <c r="Y150" s="6"/>
    </row>
    <row r="151" spans="1:25" ht="15" customHeight="1" x14ac:dyDescent="0.2">
      <c r="A151" s="12" t="s">
        <v>1634</v>
      </c>
      <c r="B151" s="13" t="s">
        <v>4978</v>
      </c>
      <c r="C151" s="74">
        <v>47552</v>
      </c>
      <c r="D151" s="13" t="s">
        <v>33</v>
      </c>
      <c r="E151" s="6" t="s">
        <v>11174</v>
      </c>
      <c r="F151" s="15" t="s">
        <v>496</v>
      </c>
      <c r="G151" s="6" t="s">
        <v>497</v>
      </c>
      <c r="H151" s="6" t="s">
        <v>11175</v>
      </c>
      <c r="I151" s="13" t="s">
        <v>25</v>
      </c>
      <c r="J151" s="13">
        <v>3</v>
      </c>
      <c r="K151" s="13" t="s">
        <v>1714</v>
      </c>
      <c r="L151" s="6" t="s">
        <v>3276</v>
      </c>
      <c r="M151" s="108" t="s">
        <v>11176</v>
      </c>
      <c r="N151" s="13" t="s">
        <v>61</v>
      </c>
      <c r="O151" s="13" t="s">
        <v>61</v>
      </c>
      <c r="P151" s="13" t="s">
        <v>9</v>
      </c>
      <c r="Q151" s="6" t="s">
        <v>11177</v>
      </c>
      <c r="R151" s="6" t="s">
        <v>498</v>
      </c>
      <c r="S151" s="17" t="s">
        <v>3277</v>
      </c>
      <c r="T151" s="13">
        <v>19</v>
      </c>
      <c r="U151" s="13">
        <v>19</v>
      </c>
      <c r="V151" s="13" t="s">
        <v>3275</v>
      </c>
      <c r="X151" s="132">
        <v>149</v>
      </c>
      <c r="Y151" s="6"/>
    </row>
    <row r="152" spans="1:25" ht="15" customHeight="1" x14ac:dyDescent="0.2">
      <c r="A152" s="20" t="s">
        <v>1635</v>
      </c>
      <c r="B152" s="22" t="s">
        <v>2608</v>
      </c>
      <c r="C152" s="14">
        <v>45970</v>
      </c>
      <c r="D152" s="13" t="s">
        <v>33</v>
      </c>
      <c r="E152" s="6" t="s">
        <v>2955</v>
      </c>
      <c r="F152" s="15" t="s">
        <v>501</v>
      </c>
      <c r="G152" s="6" t="s">
        <v>502</v>
      </c>
      <c r="I152" s="13" t="s">
        <v>25</v>
      </c>
      <c r="J152" s="13">
        <v>3</v>
      </c>
      <c r="K152" s="13" t="s">
        <v>1714</v>
      </c>
      <c r="L152" s="6" t="s">
        <v>2844</v>
      </c>
      <c r="M152" s="108" t="s">
        <v>2806</v>
      </c>
      <c r="N152" s="13" t="s">
        <v>2845</v>
      </c>
      <c r="O152" s="13" t="s">
        <v>1055</v>
      </c>
      <c r="P152" s="13" t="s">
        <v>16</v>
      </c>
      <c r="Q152" s="6" t="s">
        <v>1958</v>
      </c>
      <c r="R152" s="17" t="s">
        <v>1959</v>
      </c>
      <c r="S152" s="17" t="s">
        <v>6631</v>
      </c>
      <c r="T152" s="13">
        <v>26</v>
      </c>
      <c r="U152" s="13">
        <v>26</v>
      </c>
      <c r="V152" s="13" t="s">
        <v>2846</v>
      </c>
      <c r="X152" s="132">
        <v>150</v>
      </c>
      <c r="Y152" s="6"/>
    </row>
    <row r="153" spans="1:25" ht="15" customHeight="1" x14ac:dyDescent="0.2">
      <c r="A153" s="12" t="s">
        <v>1636</v>
      </c>
      <c r="B153" s="13" t="s">
        <v>4978</v>
      </c>
      <c r="C153" s="74">
        <v>47615</v>
      </c>
      <c r="D153" s="13" t="s">
        <v>33</v>
      </c>
      <c r="E153" s="6" t="s">
        <v>504</v>
      </c>
      <c r="F153" s="15" t="s">
        <v>11487</v>
      </c>
      <c r="G153" s="6" t="s">
        <v>505</v>
      </c>
      <c r="H153" s="6" t="s">
        <v>505</v>
      </c>
      <c r="I153" s="13" t="s">
        <v>25</v>
      </c>
      <c r="J153" s="13">
        <v>3</v>
      </c>
      <c r="K153" s="13" t="s">
        <v>1714</v>
      </c>
      <c r="L153" s="6" t="s">
        <v>3715</v>
      </c>
      <c r="M153" s="108" t="s">
        <v>11488</v>
      </c>
      <c r="N153" s="13" t="s">
        <v>3716</v>
      </c>
      <c r="O153" s="13" t="s">
        <v>48</v>
      </c>
      <c r="P153" s="13" t="s">
        <v>16</v>
      </c>
      <c r="Q153" s="6" t="s">
        <v>3717</v>
      </c>
      <c r="R153" s="6" t="s">
        <v>506</v>
      </c>
      <c r="S153" s="17" t="s">
        <v>3718</v>
      </c>
      <c r="T153" s="13">
        <v>50</v>
      </c>
      <c r="U153" s="13">
        <v>25</v>
      </c>
      <c r="V153" s="13" t="s">
        <v>3719</v>
      </c>
      <c r="X153" s="132">
        <v>151</v>
      </c>
      <c r="Y153" s="6"/>
    </row>
    <row r="154" spans="1:25" ht="15" customHeight="1" x14ac:dyDescent="0.2">
      <c r="A154" s="20" t="s">
        <v>1637</v>
      </c>
      <c r="B154" s="22" t="s">
        <v>2608</v>
      </c>
      <c r="C154" s="14">
        <v>46091</v>
      </c>
      <c r="D154" s="13" t="s">
        <v>33</v>
      </c>
      <c r="E154" s="6" t="s">
        <v>3720</v>
      </c>
      <c r="F154" s="15" t="s">
        <v>7254</v>
      </c>
      <c r="G154" s="6" t="s">
        <v>509</v>
      </c>
      <c r="I154" s="13" t="s">
        <v>25</v>
      </c>
      <c r="J154" s="13">
        <v>3</v>
      </c>
      <c r="K154" s="13" t="s">
        <v>1714</v>
      </c>
      <c r="L154" s="6" t="s">
        <v>3721</v>
      </c>
      <c r="M154" s="108" t="s">
        <v>3722</v>
      </c>
      <c r="N154" s="13" t="s">
        <v>3723</v>
      </c>
      <c r="O154" s="13" t="s">
        <v>172</v>
      </c>
      <c r="P154" s="13" t="s">
        <v>9</v>
      </c>
      <c r="Q154" s="6" t="s">
        <v>3724</v>
      </c>
      <c r="R154" s="6" t="s">
        <v>510</v>
      </c>
      <c r="S154" s="17" t="s">
        <v>3725</v>
      </c>
      <c r="T154" s="13">
        <v>34</v>
      </c>
      <c r="U154" s="13">
        <v>22</v>
      </c>
      <c r="V154" s="13" t="s">
        <v>3726</v>
      </c>
      <c r="X154" s="132">
        <v>152</v>
      </c>
      <c r="Y154" s="6"/>
    </row>
    <row r="155" spans="1:25" ht="15" customHeight="1" x14ac:dyDescent="0.2">
      <c r="A155" s="20" t="s">
        <v>4421</v>
      </c>
      <c r="B155" s="22" t="s">
        <v>2608</v>
      </c>
      <c r="C155" s="14">
        <v>45590</v>
      </c>
      <c r="D155" s="13" t="s">
        <v>1533</v>
      </c>
      <c r="E155" s="6" t="s">
        <v>512</v>
      </c>
      <c r="F155" s="15" t="s">
        <v>11709</v>
      </c>
      <c r="G155" s="6" t="s">
        <v>513</v>
      </c>
      <c r="I155" s="13" t="s">
        <v>39</v>
      </c>
      <c r="J155" s="13">
        <v>12</v>
      </c>
      <c r="K155" s="13" t="s">
        <v>1714</v>
      </c>
      <c r="L155" s="6"/>
      <c r="M155" s="108"/>
      <c r="O155" s="13" t="s">
        <v>53</v>
      </c>
      <c r="P155" s="13" t="s">
        <v>54</v>
      </c>
      <c r="Q155" s="6" t="s">
        <v>4428</v>
      </c>
      <c r="R155" s="6" t="s">
        <v>514</v>
      </c>
      <c r="S155" s="17" t="s">
        <v>4429</v>
      </c>
      <c r="T155" s="13"/>
      <c r="U155" s="13"/>
      <c r="V155" s="13" t="s">
        <v>4426</v>
      </c>
      <c r="X155" s="132">
        <v>153</v>
      </c>
      <c r="Y155" s="6"/>
    </row>
    <row r="156" spans="1:25" ht="15" customHeight="1" x14ac:dyDescent="0.2">
      <c r="A156" s="20" t="s">
        <v>4422</v>
      </c>
      <c r="B156" s="22" t="s">
        <v>2608</v>
      </c>
      <c r="C156" s="14">
        <v>45590</v>
      </c>
      <c r="D156" s="13" t="s">
        <v>1533</v>
      </c>
      <c r="E156" s="6" t="s">
        <v>512</v>
      </c>
      <c r="F156" s="15" t="s">
        <v>11710</v>
      </c>
      <c r="G156" s="6" t="s">
        <v>513</v>
      </c>
      <c r="I156" s="13" t="s">
        <v>39</v>
      </c>
      <c r="J156" s="13">
        <v>12</v>
      </c>
      <c r="K156" s="13" t="s">
        <v>1714</v>
      </c>
      <c r="L156" s="6" t="s">
        <v>7624</v>
      </c>
      <c r="M156" s="108"/>
      <c r="N156" s="13" t="s">
        <v>54</v>
      </c>
      <c r="O156" s="13" t="s">
        <v>53</v>
      </c>
      <c r="P156" s="13" t="s">
        <v>54</v>
      </c>
      <c r="Q156" s="6" t="s">
        <v>4428</v>
      </c>
      <c r="R156" s="6" t="s">
        <v>514</v>
      </c>
      <c r="S156" s="17" t="s">
        <v>4429</v>
      </c>
      <c r="T156" s="18"/>
      <c r="U156" s="18"/>
      <c r="V156" s="13" t="s">
        <v>4426</v>
      </c>
      <c r="X156" s="132">
        <v>154</v>
      </c>
      <c r="Y156" s="6"/>
    </row>
    <row r="157" spans="1:25" ht="15" customHeight="1" x14ac:dyDescent="0.2">
      <c r="A157" s="20" t="s">
        <v>4423</v>
      </c>
      <c r="B157" s="22" t="s">
        <v>2608</v>
      </c>
      <c r="C157" s="14">
        <v>45590</v>
      </c>
      <c r="D157" s="13" t="s">
        <v>1533</v>
      </c>
      <c r="E157" s="6" t="s">
        <v>512</v>
      </c>
      <c r="F157" s="15" t="s">
        <v>11711</v>
      </c>
      <c r="G157" s="6" t="s">
        <v>513</v>
      </c>
      <c r="I157" s="13" t="s">
        <v>39</v>
      </c>
      <c r="J157" s="13">
        <v>12</v>
      </c>
      <c r="K157" s="13" t="s">
        <v>1714</v>
      </c>
      <c r="L157" s="6" t="s">
        <v>3771</v>
      </c>
      <c r="M157" s="108" t="s">
        <v>4427</v>
      </c>
      <c r="N157" s="13" t="s">
        <v>11952</v>
      </c>
      <c r="O157" s="13" t="s">
        <v>1055</v>
      </c>
      <c r="P157" s="13" t="s">
        <v>16</v>
      </c>
      <c r="Q157" s="6" t="s">
        <v>4428</v>
      </c>
      <c r="R157" s="6" t="s">
        <v>514</v>
      </c>
      <c r="S157" s="17" t="s">
        <v>4429</v>
      </c>
      <c r="T157" s="18"/>
      <c r="U157" s="18"/>
      <c r="V157" s="13" t="s">
        <v>4426</v>
      </c>
      <c r="X157" s="132">
        <v>155</v>
      </c>
      <c r="Y157" s="6"/>
    </row>
    <row r="158" spans="1:25" ht="15" customHeight="1" x14ac:dyDescent="0.2">
      <c r="A158" s="12" t="s">
        <v>4424</v>
      </c>
      <c r="B158" s="13" t="s">
        <v>4977</v>
      </c>
      <c r="C158" s="14">
        <v>46733</v>
      </c>
      <c r="D158" s="13" t="s">
        <v>1533</v>
      </c>
      <c r="E158" s="6" t="s">
        <v>512</v>
      </c>
      <c r="F158" s="15" t="s">
        <v>11068</v>
      </c>
      <c r="G158" s="6" t="s">
        <v>513</v>
      </c>
      <c r="I158" s="13" t="s">
        <v>39</v>
      </c>
      <c r="J158" s="13">
        <v>12</v>
      </c>
      <c r="K158" s="13" t="s">
        <v>7032</v>
      </c>
      <c r="L158" s="6" t="s">
        <v>7624</v>
      </c>
      <c r="M158" s="108" t="s">
        <v>11069</v>
      </c>
      <c r="N158" s="13" t="s">
        <v>54</v>
      </c>
      <c r="O158" s="13" t="s">
        <v>53</v>
      </c>
      <c r="P158" s="13" t="s">
        <v>54</v>
      </c>
      <c r="Q158" s="6" t="s">
        <v>4428</v>
      </c>
      <c r="R158" s="6" t="s">
        <v>514</v>
      </c>
      <c r="S158" s="17" t="s">
        <v>4429</v>
      </c>
      <c r="T158" s="18">
        <v>259</v>
      </c>
      <c r="U158" s="18">
        <v>259</v>
      </c>
      <c r="V158" s="13" t="s">
        <v>4426</v>
      </c>
      <c r="X158" s="132">
        <v>156</v>
      </c>
      <c r="Y158" s="6"/>
    </row>
    <row r="159" spans="1:25" ht="15" customHeight="1" x14ac:dyDescent="0.2">
      <c r="A159" s="20" t="s">
        <v>4425</v>
      </c>
      <c r="B159" s="22" t="s">
        <v>2608</v>
      </c>
      <c r="C159" s="14">
        <v>45590</v>
      </c>
      <c r="D159" s="13" t="s">
        <v>1533</v>
      </c>
      <c r="E159" s="6" t="s">
        <v>512</v>
      </c>
      <c r="F159" s="15" t="s">
        <v>11712</v>
      </c>
      <c r="G159" s="6" t="s">
        <v>513</v>
      </c>
      <c r="I159" s="13" t="s">
        <v>39</v>
      </c>
      <c r="J159" s="13">
        <v>12</v>
      </c>
      <c r="K159" s="13" t="s">
        <v>1714</v>
      </c>
      <c r="L159" s="6" t="s">
        <v>7624</v>
      </c>
      <c r="M159" s="108"/>
      <c r="N159" s="13" t="s">
        <v>54</v>
      </c>
      <c r="O159" s="13" t="s">
        <v>53</v>
      </c>
      <c r="P159" s="13" t="s">
        <v>54</v>
      </c>
      <c r="Q159" s="6" t="s">
        <v>4428</v>
      </c>
      <c r="R159" s="6" t="s">
        <v>514</v>
      </c>
      <c r="S159" s="17" t="s">
        <v>4429</v>
      </c>
      <c r="T159" s="18"/>
      <c r="U159" s="18"/>
      <c r="V159" s="13" t="s">
        <v>4426</v>
      </c>
      <c r="X159" s="132">
        <v>157</v>
      </c>
      <c r="Y159" s="6"/>
    </row>
    <row r="160" spans="1:25" ht="15" customHeight="1" x14ac:dyDescent="0.2">
      <c r="A160" s="12" t="s">
        <v>1638</v>
      </c>
      <c r="B160" s="13" t="s">
        <v>4978</v>
      </c>
      <c r="C160" s="74">
        <v>47552</v>
      </c>
      <c r="D160" s="13" t="s">
        <v>1533</v>
      </c>
      <c r="E160" s="6" t="s">
        <v>516</v>
      </c>
      <c r="F160" s="15" t="s">
        <v>517</v>
      </c>
      <c r="G160" s="6" t="s">
        <v>11395</v>
      </c>
      <c r="H160" s="6" t="s">
        <v>11395</v>
      </c>
      <c r="I160" s="13" t="s">
        <v>13</v>
      </c>
      <c r="J160" s="13">
        <v>7</v>
      </c>
      <c r="K160" s="13" t="s">
        <v>6603</v>
      </c>
      <c r="L160" s="6" t="s">
        <v>2836</v>
      </c>
      <c r="M160" s="108" t="s">
        <v>2837</v>
      </c>
      <c r="N160" s="13" t="s">
        <v>2838</v>
      </c>
      <c r="O160" s="13" t="s">
        <v>519</v>
      </c>
      <c r="P160" s="13" t="s">
        <v>16</v>
      </c>
      <c r="Q160" s="6" t="s">
        <v>11396</v>
      </c>
      <c r="R160" s="17" t="s">
        <v>2949</v>
      </c>
      <c r="S160" s="17"/>
      <c r="T160" s="13">
        <v>200</v>
      </c>
      <c r="U160" s="13"/>
      <c r="V160" s="13" t="s">
        <v>2839</v>
      </c>
      <c r="X160" s="132">
        <v>158</v>
      </c>
      <c r="Y160" s="6"/>
    </row>
    <row r="161" spans="1:25" ht="15" customHeight="1" x14ac:dyDescent="0.2">
      <c r="A161" s="19" t="s">
        <v>1639</v>
      </c>
      <c r="B161" s="13" t="s">
        <v>4977</v>
      </c>
      <c r="C161" s="14">
        <v>46691</v>
      </c>
      <c r="D161" s="13" t="s">
        <v>1533</v>
      </c>
      <c r="E161" s="6" t="s">
        <v>521</v>
      </c>
      <c r="F161" s="15" t="s">
        <v>10805</v>
      </c>
      <c r="G161" s="6" t="s">
        <v>10875</v>
      </c>
      <c r="H161" s="6" t="s">
        <v>10875</v>
      </c>
      <c r="I161" s="13" t="s">
        <v>39</v>
      </c>
      <c r="J161" s="13">
        <v>12</v>
      </c>
      <c r="K161" s="13" t="s">
        <v>1714</v>
      </c>
      <c r="L161" s="6" t="s">
        <v>2977</v>
      </c>
      <c r="M161" s="108" t="s">
        <v>10806</v>
      </c>
      <c r="N161" s="13" t="s">
        <v>2925</v>
      </c>
      <c r="O161" s="13" t="s">
        <v>53</v>
      </c>
      <c r="P161" s="13" t="s">
        <v>54</v>
      </c>
      <c r="Q161" s="6" t="s">
        <v>10807</v>
      </c>
      <c r="R161" s="17" t="s">
        <v>2980</v>
      </c>
      <c r="S161" s="17" t="s">
        <v>2979</v>
      </c>
      <c r="T161" s="13">
        <v>105</v>
      </c>
      <c r="U161" s="13">
        <v>105</v>
      </c>
      <c r="V161" s="13" t="s">
        <v>2978</v>
      </c>
      <c r="X161" s="132">
        <v>159</v>
      </c>
      <c r="Y161" s="6"/>
    </row>
    <row r="162" spans="1:25" ht="15" customHeight="1" x14ac:dyDescent="0.25">
      <c r="A162" s="12" t="s">
        <v>2932</v>
      </c>
      <c r="B162" s="13" t="s">
        <v>4977</v>
      </c>
      <c r="C162" s="14">
        <v>46675</v>
      </c>
      <c r="D162" s="13" t="s">
        <v>1533</v>
      </c>
      <c r="E162" s="6" t="s">
        <v>524</v>
      </c>
      <c r="F162" s="15" t="s">
        <v>525</v>
      </c>
      <c r="G162" s="6" t="s">
        <v>10709</v>
      </c>
      <c r="H162" s="6" t="s">
        <v>526</v>
      </c>
      <c r="I162" s="13" t="s">
        <v>39</v>
      </c>
      <c r="J162" s="13">
        <v>12</v>
      </c>
      <c r="K162" s="13" t="s">
        <v>1714</v>
      </c>
      <c r="L162" s="6" t="s">
        <v>2935</v>
      </c>
      <c r="M162" s="108" t="s">
        <v>2936</v>
      </c>
      <c r="N162" s="13" t="s">
        <v>2384</v>
      </c>
      <c r="O162" s="13" t="s">
        <v>15</v>
      </c>
      <c r="P162" s="13" t="s">
        <v>16</v>
      </c>
      <c r="Q162" s="6" t="s">
        <v>10710</v>
      </c>
      <c r="R162" s="69" t="s">
        <v>527</v>
      </c>
      <c r="S162" s="17" t="s">
        <v>2937</v>
      </c>
      <c r="T162" s="13">
        <v>80</v>
      </c>
      <c r="U162" s="13">
        <v>75</v>
      </c>
      <c r="V162" s="13" t="s">
        <v>2938</v>
      </c>
      <c r="X162" s="132">
        <v>160</v>
      </c>
      <c r="Y162" s="6"/>
    </row>
    <row r="163" spans="1:25" ht="15" customHeight="1" x14ac:dyDescent="0.2">
      <c r="A163" s="20" t="s">
        <v>2933</v>
      </c>
      <c r="B163" s="21" t="s">
        <v>2608</v>
      </c>
      <c r="C163" s="14">
        <v>44296</v>
      </c>
      <c r="D163" s="13" t="s">
        <v>1533</v>
      </c>
      <c r="E163" s="6" t="s">
        <v>524</v>
      </c>
      <c r="F163" s="15" t="s">
        <v>528</v>
      </c>
      <c r="G163" s="6" t="s">
        <v>529</v>
      </c>
      <c r="I163" s="13" t="s">
        <v>7931</v>
      </c>
      <c r="K163" s="13"/>
      <c r="L163" s="6"/>
      <c r="M163" s="108"/>
      <c r="O163" s="13" t="s">
        <v>136</v>
      </c>
      <c r="P163" s="13" t="s">
        <v>4</v>
      </c>
      <c r="Q163" s="6"/>
      <c r="R163" s="6" t="s">
        <v>527</v>
      </c>
      <c r="S163" s="17" t="s">
        <v>2937</v>
      </c>
      <c r="T163" s="13"/>
      <c r="U163" s="13"/>
      <c r="V163" s="13"/>
      <c r="X163" s="132">
        <v>161</v>
      </c>
      <c r="Y163" s="6"/>
    </row>
    <row r="164" spans="1:25" ht="15" customHeight="1" x14ac:dyDescent="0.2">
      <c r="A164" s="12" t="s">
        <v>2934</v>
      </c>
      <c r="B164" s="13" t="s">
        <v>4978</v>
      </c>
      <c r="C164" s="74">
        <v>47406</v>
      </c>
      <c r="D164" s="13" t="s">
        <v>1533</v>
      </c>
      <c r="E164" s="6" t="s">
        <v>524</v>
      </c>
      <c r="F164" s="15" t="s">
        <v>530</v>
      </c>
      <c r="G164" s="6" t="s">
        <v>10709</v>
      </c>
      <c r="H164" s="6" t="s">
        <v>531</v>
      </c>
      <c r="I164" s="13" t="s">
        <v>105</v>
      </c>
      <c r="J164" s="13">
        <v>10</v>
      </c>
      <c r="K164" s="13" t="s">
        <v>6603</v>
      </c>
      <c r="L164" s="6" t="s">
        <v>2939</v>
      </c>
      <c r="M164" s="108" t="s">
        <v>2940</v>
      </c>
      <c r="N164" s="13" t="s">
        <v>2941</v>
      </c>
      <c r="O164" s="13" t="s">
        <v>15</v>
      </c>
      <c r="P164" s="13" t="s">
        <v>16</v>
      </c>
      <c r="Q164" s="6" t="s">
        <v>10736</v>
      </c>
      <c r="R164" s="6" t="s">
        <v>527</v>
      </c>
      <c r="S164" s="17" t="s">
        <v>2937</v>
      </c>
      <c r="T164" s="13">
        <v>150</v>
      </c>
      <c r="U164" s="13">
        <v>150</v>
      </c>
      <c r="V164" s="13" t="s">
        <v>2938</v>
      </c>
      <c r="X164" s="132">
        <v>162</v>
      </c>
      <c r="Y164" s="6"/>
    </row>
    <row r="165" spans="1:25" ht="15" customHeight="1" x14ac:dyDescent="0.2">
      <c r="A165" s="19" t="s">
        <v>2942</v>
      </c>
      <c r="B165" s="13" t="s">
        <v>4978</v>
      </c>
      <c r="C165" s="74">
        <v>47422</v>
      </c>
      <c r="D165" s="13" t="s">
        <v>1533</v>
      </c>
      <c r="E165" s="6" t="s">
        <v>524</v>
      </c>
      <c r="F165" s="15" t="s">
        <v>2943</v>
      </c>
      <c r="G165" s="6" t="s">
        <v>10709</v>
      </c>
      <c r="H165" s="6" t="s">
        <v>2944</v>
      </c>
      <c r="I165" s="13" t="s">
        <v>13</v>
      </c>
      <c r="J165" s="13">
        <v>7</v>
      </c>
      <c r="K165" s="13" t="s">
        <v>6603</v>
      </c>
      <c r="L165" s="6" t="s">
        <v>10828</v>
      </c>
      <c r="M165" s="108" t="s">
        <v>10829</v>
      </c>
      <c r="N165" s="13" t="s">
        <v>10830</v>
      </c>
      <c r="O165" s="13" t="s">
        <v>136</v>
      </c>
      <c r="P165" s="13" t="s">
        <v>4</v>
      </c>
      <c r="Q165" s="6" t="s">
        <v>2946</v>
      </c>
      <c r="R165" s="17" t="s">
        <v>527</v>
      </c>
      <c r="S165" s="17" t="s">
        <v>2937</v>
      </c>
      <c r="T165" s="18">
        <v>421</v>
      </c>
      <c r="U165" s="18">
        <v>421</v>
      </c>
      <c r="V165" s="13" t="s">
        <v>2938</v>
      </c>
      <c r="X165" s="132">
        <v>163</v>
      </c>
      <c r="Y165" s="6"/>
    </row>
    <row r="166" spans="1:25" ht="15" customHeight="1" x14ac:dyDescent="0.2">
      <c r="A166" s="12" t="s">
        <v>1640</v>
      </c>
      <c r="B166" s="13" t="s">
        <v>4978</v>
      </c>
      <c r="C166" s="74">
        <v>47450</v>
      </c>
      <c r="D166" s="13" t="s">
        <v>1533</v>
      </c>
      <c r="E166" s="6" t="s">
        <v>10975</v>
      </c>
      <c r="F166" s="15" t="s">
        <v>534</v>
      </c>
      <c r="G166" s="6" t="s">
        <v>535</v>
      </c>
      <c r="H166" s="6" t="s">
        <v>535</v>
      </c>
      <c r="I166" s="13" t="s">
        <v>25</v>
      </c>
      <c r="J166" s="13">
        <v>6</v>
      </c>
      <c r="K166" s="13" t="s">
        <v>1714</v>
      </c>
      <c r="L166" s="6" t="s">
        <v>2858</v>
      </c>
      <c r="M166" s="108" t="s">
        <v>2859</v>
      </c>
      <c r="N166" s="13" t="s">
        <v>2552</v>
      </c>
      <c r="O166" s="13" t="s">
        <v>128</v>
      </c>
      <c r="P166" s="13" t="s">
        <v>16</v>
      </c>
      <c r="Q166" s="6" t="s">
        <v>10976</v>
      </c>
      <c r="R166" s="17" t="s">
        <v>3053</v>
      </c>
      <c r="S166" s="17" t="s">
        <v>6633</v>
      </c>
      <c r="T166" s="13">
        <v>120</v>
      </c>
      <c r="U166" s="13">
        <v>65</v>
      </c>
      <c r="V166" s="13" t="s">
        <v>2861</v>
      </c>
      <c r="X166" s="132">
        <v>164</v>
      </c>
      <c r="Y166" s="6"/>
    </row>
    <row r="167" spans="1:25" ht="15" customHeight="1" x14ac:dyDescent="0.2">
      <c r="A167" s="20" t="s">
        <v>5586</v>
      </c>
      <c r="B167" s="22" t="s">
        <v>2608</v>
      </c>
      <c r="C167" s="14">
        <v>45834</v>
      </c>
      <c r="D167" s="13" t="s">
        <v>1533</v>
      </c>
      <c r="E167" s="6" t="s">
        <v>533</v>
      </c>
      <c r="F167" s="15" t="s">
        <v>5593</v>
      </c>
      <c r="G167" s="6" t="s">
        <v>535</v>
      </c>
      <c r="I167" s="13" t="s">
        <v>39</v>
      </c>
      <c r="J167" s="13">
        <v>12</v>
      </c>
      <c r="K167" s="13" t="s">
        <v>1714</v>
      </c>
      <c r="L167" s="6" t="s">
        <v>2858</v>
      </c>
      <c r="M167" s="108"/>
      <c r="N167" s="13" t="s">
        <v>2552</v>
      </c>
      <c r="O167" s="13" t="s">
        <v>128</v>
      </c>
      <c r="P167" s="13" t="s">
        <v>16</v>
      </c>
      <c r="Q167" s="6" t="s">
        <v>2860</v>
      </c>
      <c r="R167" s="17" t="s">
        <v>3053</v>
      </c>
      <c r="S167" s="17" t="s">
        <v>6633</v>
      </c>
      <c r="T167" s="18">
        <v>40</v>
      </c>
      <c r="U167" s="18">
        <v>40</v>
      </c>
      <c r="V167" s="13" t="s">
        <v>2861</v>
      </c>
      <c r="X167" s="132">
        <v>165</v>
      </c>
      <c r="Y167" s="6"/>
    </row>
    <row r="168" spans="1:25" ht="15" customHeight="1" x14ac:dyDescent="0.2">
      <c r="A168" s="12" t="s">
        <v>1641</v>
      </c>
      <c r="B168" s="13" t="s">
        <v>4978</v>
      </c>
      <c r="C168" s="74">
        <v>46932</v>
      </c>
      <c r="D168" s="13" t="s">
        <v>33</v>
      </c>
      <c r="E168" s="6" t="s">
        <v>3653</v>
      </c>
      <c r="F168" s="15" t="s">
        <v>11713</v>
      </c>
      <c r="G168" s="6" t="s">
        <v>538</v>
      </c>
      <c r="H168" s="6" t="s">
        <v>538</v>
      </c>
      <c r="I168" s="13" t="s">
        <v>25</v>
      </c>
      <c r="J168" s="13">
        <v>3</v>
      </c>
      <c r="K168" s="13" t="s">
        <v>1714</v>
      </c>
      <c r="L168" s="6" t="s">
        <v>7587</v>
      </c>
      <c r="M168" s="108" t="s">
        <v>7588</v>
      </c>
      <c r="N168" s="13" t="s">
        <v>3654</v>
      </c>
      <c r="O168" s="13" t="s">
        <v>2146</v>
      </c>
      <c r="P168" s="13" t="s">
        <v>68</v>
      </c>
      <c r="Q168" s="6" t="s">
        <v>3655</v>
      </c>
      <c r="R168" s="17" t="s">
        <v>3656</v>
      </c>
      <c r="S168" s="17" t="s">
        <v>3657</v>
      </c>
      <c r="T168" s="13">
        <v>54</v>
      </c>
      <c r="U168" s="13">
        <v>44</v>
      </c>
      <c r="V168" s="13" t="s">
        <v>7589</v>
      </c>
      <c r="X168" s="132">
        <v>166</v>
      </c>
      <c r="Y168" s="6"/>
    </row>
    <row r="169" spans="1:25" ht="15" customHeight="1" x14ac:dyDescent="0.2">
      <c r="A169" s="12" t="s">
        <v>1642</v>
      </c>
      <c r="B169" s="13" t="s">
        <v>4978</v>
      </c>
      <c r="C169" s="74">
        <v>46372</v>
      </c>
      <c r="D169" s="13" t="s">
        <v>33</v>
      </c>
      <c r="E169" s="6" t="s">
        <v>4653</v>
      </c>
      <c r="F169" s="15" t="s">
        <v>11714</v>
      </c>
      <c r="G169" s="6" t="s">
        <v>541</v>
      </c>
      <c r="I169" s="13" t="s">
        <v>25</v>
      </c>
      <c r="J169" s="13">
        <v>3</v>
      </c>
      <c r="K169" s="13" t="s">
        <v>1714</v>
      </c>
      <c r="L169" s="6" t="s">
        <v>4651</v>
      </c>
      <c r="M169" s="108" t="s">
        <v>4652</v>
      </c>
      <c r="N169" s="13" t="s">
        <v>3789</v>
      </c>
      <c r="O169" s="13" t="s">
        <v>2085</v>
      </c>
      <c r="P169" s="13" t="s">
        <v>68</v>
      </c>
      <c r="Q169" s="6" t="s">
        <v>4650</v>
      </c>
      <c r="R169" s="6" t="s">
        <v>542</v>
      </c>
      <c r="S169" s="17" t="s">
        <v>4649</v>
      </c>
      <c r="T169" s="13">
        <v>26</v>
      </c>
      <c r="U169" s="13">
        <v>21</v>
      </c>
      <c r="V169" s="13" t="s">
        <v>4648</v>
      </c>
      <c r="X169" s="132">
        <v>167</v>
      </c>
      <c r="Y169" s="6"/>
    </row>
    <row r="170" spans="1:25" ht="15" customHeight="1" x14ac:dyDescent="0.2">
      <c r="A170" s="20" t="s">
        <v>1643</v>
      </c>
      <c r="B170" s="22" t="s">
        <v>2608</v>
      </c>
      <c r="C170" s="14">
        <v>45331</v>
      </c>
      <c r="D170" s="13" t="s">
        <v>33</v>
      </c>
      <c r="E170" s="6" t="s">
        <v>3413</v>
      </c>
      <c r="F170" s="15" t="s">
        <v>11715</v>
      </c>
      <c r="G170" s="6" t="s">
        <v>3412</v>
      </c>
      <c r="I170" s="13" t="s">
        <v>25</v>
      </c>
      <c r="J170" s="13">
        <v>3</v>
      </c>
      <c r="K170" s="13" t="s">
        <v>1714</v>
      </c>
      <c r="L170" s="6" t="s">
        <v>3414</v>
      </c>
      <c r="M170" s="108" t="s">
        <v>3415</v>
      </c>
      <c r="N170" s="13" t="s">
        <v>2340</v>
      </c>
      <c r="O170" s="13" t="s">
        <v>1055</v>
      </c>
      <c r="P170" s="13" t="s">
        <v>16</v>
      </c>
      <c r="Q170" s="6" t="s">
        <v>3416</v>
      </c>
      <c r="R170" s="17" t="s">
        <v>3417</v>
      </c>
      <c r="S170" s="17" t="s">
        <v>6634</v>
      </c>
      <c r="T170" s="13">
        <v>16</v>
      </c>
      <c r="U170" s="13">
        <v>11</v>
      </c>
      <c r="V170" s="13" t="s">
        <v>3418</v>
      </c>
      <c r="X170" s="132">
        <v>168</v>
      </c>
      <c r="Y170" s="6"/>
    </row>
    <row r="171" spans="1:25" ht="15" customHeight="1" x14ac:dyDescent="0.2">
      <c r="A171" s="20" t="s">
        <v>1644</v>
      </c>
      <c r="B171" s="22" t="s">
        <v>2608</v>
      </c>
      <c r="C171" s="14">
        <v>43565</v>
      </c>
      <c r="D171" s="13" t="s">
        <v>1533</v>
      </c>
      <c r="E171" s="6" t="s">
        <v>547</v>
      </c>
      <c r="F171" s="15" t="s">
        <v>264</v>
      </c>
      <c r="G171" s="6" t="s">
        <v>548</v>
      </c>
      <c r="I171" s="13" t="s">
        <v>25</v>
      </c>
      <c r="K171" s="13"/>
      <c r="L171" s="6"/>
      <c r="M171" s="108"/>
      <c r="O171" s="13" t="s">
        <v>27</v>
      </c>
      <c r="P171" s="13" t="s">
        <v>9</v>
      </c>
      <c r="Q171" s="6"/>
      <c r="R171" s="6" t="s">
        <v>549</v>
      </c>
      <c r="S171" s="17" t="s">
        <v>6635</v>
      </c>
      <c r="T171" s="13"/>
      <c r="U171" s="13"/>
      <c r="V171" s="13"/>
      <c r="X171" s="132">
        <v>169</v>
      </c>
      <c r="Y171" s="6"/>
    </row>
    <row r="172" spans="1:25" ht="15" customHeight="1" x14ac:dyDescent="0.2">
      <c r="A172" s="12" t="s">
        <v>2930</v>
      </c>
      <c r="B172" s="13" t="s">
        <v>4978</v>
      </c>
      <c r="C172" s="74">
        <v>46629</v>
      </c>
      <c r="D172" s="13" t="s">
        <v>33</v>
      </c>
      <c r="E172" s="6" t="s">
        <v>6293</v>
      </c>
      <c r="F172" s="15" t="s">
        <v>552</v>
      </c>
      <c r="G172" s="6" t="s">
        <v>553</v>
      </c>
      <c r="H172" s="6" t="s">
        <v>553</v>
      </c>
      <c r="I172" s="13" t="s">
        <v>25</v>
      </c>
      <c r="J172" s="13">
        <v>3</v>
      </c>
      <c r="K172" s="13" t="s">
        <v>1714</v>
      </c>
      <c r="L172" s="6" t="s">
        <v>5957</v>
      </c>
      <c r="M172" s="108" t="s">
        <v>5958</v>
      </c>
      <c r="N172" s="13" t="s">
        <v>5959</v>
      </c>
      <c r="O172" s="13" t="s">
        <v>8</v>
      </c>
      <c r="P172" s="13" t="s">
        <v>9</v>
      </c>
      <c r="Q172" s="6" t="s">
        <v>5960</v>
      </c>
      <c r="R172" s="17" t="s">
        <v>5961</v>
      </c>
      <c r="S172" s="17" t="s">
        <v>5962</v>
      </c>
      <c r="T172" s="13">
        <v>28</v>
      </c>
      <c r="U172" s="13">
        <v>23</v>
      </c>
      <c r="V172" s="13" t="s">
        <v>5956</v>
      </c>
      <c r="X172" s="132">
        <v>170</v>
      </c>
      <c r="Y172" s="6"/>
    </row>
    <row r="173" spans="1:25" ht="15" customHeight="1" x14ac:dyDescent="0.2">
      <c r="A173" s="12" t="s">
        <v>2931</v>
      </c>
      <c r="B173" s="13" t="s">
        <v>4978</v>
      </c>
      <c r="C173" s="74">
        <v>46705</v>
      </c>
      <c r="D173" s="13" t="s">
        <v>33</v>
      </c>
      <c r="E173" s="6" t="s">
        <v>6293</v>
      </c>
      <c r="F173" s="15" t="s">
        <v>554</v>
      </c>
      <c r="G173" s="6" t="s">
        <v>553</v>
      </c>
      <c r="H173" s="6" t="s">
        <v>555</v>
      </c>
      <c r="I173" s="13" t="s">
        <v>25</v>
      </c>
      <c r="J173" s="13">
        <v>3</v>
      </c>
      <c r="K173" s="13" t="s">
        <v>1714</v>
      </c>
      <c r="L173" s="6" t="s">
        <v>6294</v>
      </c>
      <c r="M173" s="108" t="s">
        <v>6295</v>
      </c>
      <c r="N173" s="13" t="s">
        <v>6296</v>
      </c>
      <c r="O173" s="13" t="s">
        <v>8</v>
      </c>
      <c r="P173" s="13" t="s">
        <v>9</v>
      </c>
      <c r="Q173" s="6" t="s">
        <v>6297</v>
      </c>
      <c r="R173" s="17" t="s">
        <v>5961</v>
      </c>
      <c r="S173" s="17" t="s">
        <v>5962</v>
      </c>
      <c r="T173" s="13">
        <v>28</v>
      </c>
      <c r="U173" s="13">
        <v>22</v>
      </c>
      <c r="V173" s="13" t="s">
        <v>6298</v>
      </c>
      <c r="X173" s="132">
        <v>171</v>
      </c>
      <c r="Y173" s="6"/>
    </row>
    <row r="174" spans="1:25" ht="15" customHeight="1" x14ac:dyDescent="0.2">
      <c r="A174" s="12" t="s">
        <v>1645</v>
      </c>
      <c r="B174" s="24" t="s">
        <v>4977</v>
      </c>
      <c r="C174" s="14">
        <v>46949</v>
      </c>
      <c r="D174" s="13" t="s">
        <v>1533</v>
      </c>
      <c r="E174" s="6" t="s">
        <v>558</v>
      </c>
      <c r="F174" s="15" t="s">
        <v>558</v>
      </c>
      <c r="G174" s="6" t="s">
        <v>559</v>
      </c>
      <c r="H174" s="6" t="s">
        <v>559</v>
      </c>
      <c r="I174" s="13" t="s">
        <v>25</v>
      </c>
      <c r="J174" s="13">
        <v>6</v>
      </c>
      <c r="K174" s="13" t="s">
        <v>1714</v>
      </c>
      <c r="L174" s="6" t="s">
        <v>6972</v>
      </c>
      <c r="M174" s="108" t="s">
        <v>3070</v>
      </c>
      <c r="N174" s="13" t="s">
        <v>2130</v>
      </c>
      <c r="O174" s="13" t="s">
        <v>1889</v>
      </c>
      <c r="P174" s="13" t="s">
        <v>68</v>
      </c>
      <c r="Q174" s="6" t="s">
        <v>6973</v>
      </c>
      <c r="R174" s="6" t="s">
        <v>560</v>
      </c>
      <c r="S174" s="17" t="s">
        <v>3069</v>
      </c>
      <c r="T174" s="13">
        <v>46</v>
      </c>
      <c r="U174" s="13">
        <v>30</v>
      </c>
      <c r="V174" s="13" t="s">
        <v>6971</v>
      </c>
      <c r="W174" s="13" t="s">
        <v>3068</v>
      </c>
      <c r="X174" s="132">
        <v>172</v>
      </c>
      <c r="Y174" s="6"/>
    </row>
    <row r="175" spans="1:25" ht="15" customHeight="1" x14ac:dyDescent="0.2">
      <c r="A175" s="20" t="s">
        <v>1646</v>
      </c>
      <c r="B175" s="22" t="s">
        <v>2608</v>
      </c>
      <c r="C175" s="14">
        <v>45773</v>
      </c>
      <c r="D175" s="13" t="s">
        <v>33</v>
      </c>
      <c r="E175" s="6" t="s">
        <v>11672</v>
      </c>
      <c r="F175" s="15" t="s">
        <v>11716</v>
      </c>
      <c r="G175" s="6" t="s">
        <v>563</v>
      </c>
      <c r="I175" s="13" t="s">
        <v>7931</v>
      </c>
      <c r="J175" s="13">
        <v>4</v>
      </c>
      <c r="K175" s="13" t="s">
        <v>1714</v>
      </c>
      <c r="L175" s="6" t="s">
        <v>2114</v>
      </c>
      <c r="M175" s="108" t="s">
        <v>2115</v>
      </c>
      <c r="N175" s="13" t="s">
        <v>2116</v>
      </c>
      <c r="O175" s="13" t="s">
        <v>53</v>
      </c>
      <c r="P175" s="13" t="s">
        <v>54</v>
      </c>
      <c r="Q175" s="6" t="s">
        <v>2117</v>
      </c>
      <c r="R175" s="6" t="s">
        <v>564</v>
      </c>
      <c r="S175" s="17" t="s">
        <v>2118</v>
      </c>
      <c r="T175" s="36">
        <v>30</v>
      </c>
      <c r="U175" s="37">
        <v>19</v>
      </c>
      <c r="V175" s="37">
        <v>19</v>
      </c>
      <c r="X175" s="132">
        <v>173</v>
      </c>
      <c r="Y175" s="6"/>
    </row>
    <row r="176" spans="1:25" ht="15" customHeight="1" x14ac:dyDescent="0.2">
      <c r="A176" s="20" t="s">
        <v>1647</v>
      </c>
      <c r="B176" s="22" t="s">
        <v>2608</v>
      </c>
      <c r="C176" s="14">
        <v>43607</v>
      </c>
      <c r="D176" s="13" t="s">
        <v>33</v>
      </c>
      <c r="E176" s="6" t="s">
        <v>566</v>
      </c>
      <c r="F176" s="15" t="s">
        <v>567</v>
      </c>
      <c r="G176" s="6" t="s">
        <v>568</v>
      </c>
      <c r="I176" s="13" t="s">
        <v>25</v>
      </c>
      <c r="J176" s="13">
        <v>3</v>
      </c>
      <c r="K176" s="13" t="s">
        <v>1714</v>
      </c>
      <c r="L176" s="6"/>
      <c r="M176" s="108"/>
      <c r="O176" s="13" t="s">
        <v>27</v>
      </c>
      <c r="P176" s="13" t="s">
        <v>9</v>
      </c>
      <c r="Q176" s="6"/>
      <c r="R176" s="6" t="s">
        <v>569</v>
      </c>
      <c r="S176" s="17" t="s">
        <v>6636</v>
      </c>
      <c r="T176" s="13"/>
      <c r="U176" s="13"/>
      <c r="V176" s="13"/>
      <c r="X176" s="132">
        <v>174</v>
      </c>
      <c r="Y176" s="6"/>
    </row>
    <row r="177" spans="1:25" ht="15" customHeight="1" x14ac:dyDescent="0.2">
      <c r="A177" s="12" t="s">
        <v>1648</v>
      </c>
      <c r="B177" s="13" t="s">
        <v>4978</v>
      </c>
      <c r="C177" s="100">
        <v>46564</v>
      </c>
      <c r="D177" s="13" t="s">
        <v>33</v>
      </c>
      <c r="E177" s="6" t="s">
        <v>5431</v>
      </c>
      <c r="F177" s="15" t="s">
        <v>572</v>
      </c>
      <c r="G177" s="6" t="s">
        <v>573</v>
      </c>
      <c r="H177" s="6" t="s">
        <v>573</v>
      </c>
      <c r="I177" s="13" t="s">
        <v>25</v>
      </c>
      <c r="J177" s="13">
        <v>3</v>
      </c>
      <c r="K177" s="13" t="s">
        <v>1714</v>
      </c>
      <c r="L177" s="6" t="s">
        <v>5432</v>
      </c>
      <c r="M177" s="108" t="s">
        <v>5433</v>
      </c>
      <c r="N177" s="13" t="s">
        <v>5434</v>
      </c>
      <c r="O177" s="13" t="s">
        <v>8</v>
      </c>
      <c r="P177" s="13" t="s">
        <v>9</v>
      </c>
      <c r="Q177" s="6" t="s">
        <v>5435</v>
      </c>
      <c r="R177" s="17" t="s">
        <v>5436</v>
      </c>
      <c r="S177" s="17" t="s">
        <v>5437</v>
      </c>
      <c r="T177" s="13">
        <v>54</v>
      </c>
      <c r="U177" s="13">
        <v>38</v>
      </c>
      <c r="V177" s="13" t="s">
        <v>5430</v>
      </c>
      <c r="X177" s="132">
        <v>175</v>
      </c>
      <c r="Y177" s="6"/>
    </row>
    <row r="178" spans="1:25" ht="15" customHeight="1" x14ac:dyDescent="0.2">
      <c r="A178" s="12" t="s">
        <v>1649</v>
      </c>
      <c r="B178" s="13" t="s">
        <v>4978</v>
      </c>
      <c r="C178" s="100">
        <v>47552</v>
      </c>
      <c r="D178" s="13" t="s">
        <v>33</v>
      </c>
      <c r="E178" s="6" t="s">
        <v>11373</v>
      </c>
      <c r="F178" s="15" t="s">
        <v>575</v>
      </c>
      <c r="G178" s="6" t="s">
        <v>576</v>
      </c>
      <c r="H178" s="6" t="s">
        <v>576</v>
      </c>
      <c r="I178" s="13" t="s">
        <v>25</v>
      </c>
      <c r="J178" s="13">
        <v>3</v>
      </c>
      <c r="K178" s="13" t="s">
        <v>1714</v>
      </c>
      <c r="L178" s="6" t="s">
        <v>2583</v>
      </c>
      <c r="M178" s="108" t="s">
        <v>2584</v>
      </c>
      <c r="N178" s="13" t="s">
        <v>2585</v>
      </c>
      <c r="O178" s="13" t="s">
        <v>11948</v>
      </c>
      <c r="P178" s="13" t="s">
        <v>68</v>
      </c>
      <c r="Q178" s="6" t="s">
        <v>11374</v>
      </c>
      <c r="R178" s="17" t="s">
        <v>2622</v>
      </c>
      <c r="S178" s="17"/>
      <c r="T178" s="13">
        <v>30</v>
      </c>
      <c r="U178" s="13">
        <v>21</v>
      </c>
      <c r="V178" s="13" t="s">
        <v>2586</v>
      </c>
      <c r="X178" s="132">
        <v>176</v>
      </c>
      <c r="Y178" s="6"/>
    </row>
    <row r="179" spans="1:25" ht="15" customHeight="1" x14ac:dyDescent="0.2">
      <c r="A179" s="20" t="s">
        <v>1650</v>
      </c>
      <c r="B179" s="22" t="s">
        <v>2608</v>
      </c>
      <c r="C179" s="14">
        <v>44368</v>
      </c>
      <c r="D179" s="13" t="s">
        <v>33</v>
      </c>
      <c r="E179" s="6" t="s">
        <v>578</v>
      </c>
      <c r="F179" s="15" t="s">
        <v>11717</v>
      </c>
      <c r="G179" s="6" t="s">
        <v>579</v>
      </c>
      <c r="I179" s="13" t="s">
        <v>25</v>
      </c>
      <c r="J179" s="13">
        <v>3</v>
      </c>
      <c r="K179" s="13" t="s">
        <v>1714</v>
      </c>
      <c r="L179" s="6"/>
      <c r="M179" s="108"/>
      <c r="O179" s="13" t="s">
        <v>177</v>
      </c>
      <c r="P179" s="13" t="s">
        <v>9</v>
      </c>
      <c r="Q179" s="6"/>
      <c r="R179" s="6" t="s">
        <v>580</v>
      </c>
      <c r="S179" s="17" t="s">
        <v>6637</v>
      </c>
      <c r="T179" s="13"/>
      <c r="U179" s="13"/>
      <c r="V179" s="13"/>
      <c r="X179" s="132">
        <v>177</v>
      </c>
      <c r="Y179" s="6"/>
    </row>
    <row r="180" spans="1:25" ht="15" customHeight="1" x14ac:dyDescent="0.2">
      <c r="A180" s="12" t="s">
        <v>1651</v>
      </c>
      <c r="B180" s="13" t="s">
        <v>4978</v>
      </c>
      <c r="C180" s="74">
        <v>46799</v>
      </c>
      <c r="D180" s="13" t="s">
        <v>1533</v>
      </c>
      <c r="E180" s="6" t="s">
        <v>582</v>
      </c>
      <c r="F180" s="15" t="s">
        <v>6852</v>
      </c>
      <c r="G180" s="6" t="s">
        <v>6715</v>
      </c>
      <c r="H180" s="6" t="s">
        <v>583</v>
      </c>
      <c r="I180" s="13" t="s">
        <v>13</v>
      </c>
      <c r="J180" s="13">
        <v>7</v>
      </c>
      <c r="K180" s="13" t="s">
        <v>6603</v>
      </c>
      <c r="L180" s="6" t="s">
        <v>6716</v>
      </c>
      <c r="M180" s="108" t="s">
        <v>6717</v>
      </c>
      <c r="N180" s="13" t="s">
        <v>5446</v>
      </c>
      <c r="O180" s="13" t="s">
        <v>165</v>
      </c>
      <c r="P180" s="13" t="s">
        <v>9</v>
      </c>
      <c r="Q180" s="6" t="s">
        <v>6718</v>
      </c>
      <c r="R180" s="17" t="s">
        <v>6719</v>
      </c>
      <c r="S180" s="17" t="s">
        <v>6638</v>
      </c>
      <c r="T180" s="13">
        <v>100</v>
      </c>
      <c r="U180" s="13">
        <v>128</v>
      </c>
      <c r="V180" s="13" t="s">
        <v>6720</v>
      </c>
      <c r="X180" s="132">
        <v>178</v>
      </c>
      <c r="Y180" s="6"/>
    </row>
    <row r="181" spans="1:25" ht="15" customHeight="1" x14ac:dyDescent="0.25">
      <c r="A181" s="12" t="s">
        <v>1652</v>
      </c>
      <c r="B181" s="13" t="s">
        <v>4978</v>
      </c>
      <c r="C181" s="74">
        <v>47464</v>
      </c>
      <c r="D181" s="13" t="s">
        <v>33</v>
      </c>
      <c r="E181" s="6" t="s">
        <v>11033</v>
      </c>
      <c r="F181" s="15" t="s">
        <v>11032</v>
      </c>
      <c r="G181" s="6" t="s">
        <v>586</v>
      </c>
      <c r="H181" s="6" t="s">
        <v>586</v>
      </c>
      <c r="I181" s="13" t="s">
        <v>25</v>
      </c>
      <c r="J181" s="13">
        <v>3</v>
      </c>
      <c r="K181" s="13" t="s">
        <v>1714</v>
      </c>
      <c r="L181" s="6" t="s">
        <v>11034</v>
      </c>
      <c r="M181" s="108" t="s">
        <v>11035</v>
      </c>
      <c r="N181" s="13" t="s">
        <v>2443</v>
      </c>
      <c r="O181" s="13" t="s">
        <v>36</v>
      </c>
      <c r="P181" s="13" t="s">
        <v>4</v>
      </c>
      <c r="Q181" s="6" t="s">
        <v>11036</v>
      </c>
      <c r="R181" s="69" t="s">
        <v>4992</v>
      </c>
      <c r="S181" s="69" t="s">
        <v>3314</v>
      </c>
      <c r="T181" s="13">
        <v>57</v>
      </c>
      <c r="U181" s="13">
        <v>44</v>
      </c>
      <c r="V181" s="13" t="s">
        <v>11037</v>
      </c>
      <c r="X181" s="132">
        <v>179</v>
      </c>
      <c r="Y181" s="6"/>
    </row>
    <row r="182" spans="1:25" ht="15" customHeight="1" x14ac:dyDescent="0.2">
      <c r="A182" s="12" t="s">
        <v>1653</v>
      </c>
      <c r="B182" s="13" t="s">
        <v>4978</v>
      </c>
      <c r="C182" s="74">
        <v>47552</v>
      </c>
      <c r="D182" s="13" t="s">
        <v>1533</v>
      </c>
      <c r="E182" s="6" t="s">
        <v>588</v>
      </c>
      <c r="F182" s="15" t="s">
        <v>588</v>
      </c>
      <c r="G182" s="6" t="s">
        <v>589</v>
      </c>
      <c r="H182" s="6" t="s">
        <v>589</v>
      </c>
      <c r="I182" s="13" t="s">
        <v>25</v>
      </c>
      <c r="J182" s="13">
        <v>6</v>
      </c>
      <c r="K182" s="13" t="s">
        <v>1714</v>
      </c>
      <c r="L182" s="6" t="s">
        <v>3647</v>
      </c>
      <c r="M182" s="108" t="s">
        <v>2594</v>
      </c>
      <c r="N182" s="13" t="s">
        <v>3648</v>
      </c>
      <c r="O182" s="13" t="s">
        <v>1889</v>
      </c>
      <c r="P182" s="13" t="s">
        <v>68</v>
      </c>
      <c r="Q182" s="6" t="s">
        <v>3649</v>
      </c>
      <c r="R182" s="17" t="s">
        <v>3650</v>
      </c>
      <c r="S182" s="17" t="s">
        <v>3651</v>
      </c>
      <c r="T182" s="13">
        <v>96</v>
      </c>
      <c r="U182" s="13">
        <v>28</v>
      </c>
      <c r="V182" s="13" t="s">
        <v>3652</v>
      </c>
      <c r="X182" s="132">
        <v>180</v>
      </c>
      <c r="Y182" s="6"/>
    </row>
    <row r="183" spans="1:25" ht="15" customHeight="1" x14ac:dyDescent="0.25">
      <c r="A183" s="12" t="s">
        <v>7108</v>
      </c>
      <c r="B183" s="24" t="s">
        <v>4977</v>
      </c>
      <c r="C183" s="14">
        <v>46885</v>
      </c>
      <c r="D183" s="13" t="s">
        <v>1533</v>
      </c>
      <c r="E183" s="6" t="s">
        <v>591</v>
      </c>
      <c r="F183" s="15" t="s">
        <v>11967</v>
      </c>
      <c r="G183" s="6" t="s">
        <v>592</v>
      </c>
      <c r="H183" s="6" t="s">
        <v>592</v>
      </c>
      <c r="I183" s="13" t="s">
        <v>25</v>
      </c>
      <c r="J183" s="13">
        <v>6</v>
      </c>
      <c r="K183" s="13" t="s">
        <v>1714</v>
      </c>
      <c r="L183" s="6" t="s">
        <v>7104</v>
      </c>
      <c r="M183" s="108" t="s">
        <v>7105</v>
      </c>
      <c r="N183" s="13" t="s">
        <v>7106</v>
      </c>
      <c r="O183" s="13" t="s">
        <v>61</v>
      </c>
      <c r="P183" s="13" t="s">
        <v>9</v>
      </c>
      <c r="Q183" s="6" t="s">
        <v>3727</v>
      </c>
      <c r="R183" s="69" t="s">
        <v>11963</v>
      </c>
      <c r="S183" s="17" t="s">
        <v>3728</v>
      </c>
      <c r="T183" s="13">
        <v>90</v>
      </c>
      <c r="U183" s="13">
        <v>73</v>
      </c>
      <c r="V183" s="13" t="s">
        <v>7107</v>
      </c>
      <c r="W183" s="13" t="s">
        <v>3729</v>
      </c>
      <c r="X183" s="132">
        <v>181</v>
      </c>
      <c r="Y183" s="6"/>
    </row>
    <row r="184" spans="1:25" ht="15" customHeight="1" x14ac:dyDescent="0.2">
      <c r="A184" s="12" t="s">
        <v>7048</v>
      </c>
      <c r="B184" s="22" t="s">
        <v>2608</v>
      </c>
      <c r="C184" s="14">
        <v>46117</v>
      </c>
      <c r="D184" s="13" t="s">
        <v>1533</v>
      </c>
      <c r="E184" s="6" t="s">
        <v>591</v>
      </c>
      <c r="F184" s="15" t="s">
        <v>7049</v>
      </c>
      <c r="G184" s="6" t="s">
        <v>592</v>
      </c>
      <c r="H184" s="6" t="s">
        <v>592</v>
      </c>
      <c r="I184" s="13" t="s">
        <v>39</v>
      </c>
      <c r="J184" s="13">
        <v>12</v>
      </c>
      <c r="K184" s="13" t="s">
        <v>6574</v>
      </c>
      <c r="L184" s="6" t="s">
        <v>7104</v>
      </c>
      <c r="M184" s="108" t="s">
        <v>7105</v>
      </c>
      <c r="N184" s="13" t="s">
        <v>7106</v>
      </c>
      <c r="O184" s="13" t="s">
        <v>61</v>
      </c>
      <c r="P184" s="13" t="s">
        <v>9</v>
      </c>
      <c r="Q184" s="6" t="s">
        <v>3727</v>
      </c>
      <c r="R184" s="17" t="s">
        <v>7050</v>
      </c>
      <c r="S184" s="17" t="s">
        <v>3728</v>
      </c>
      <c r="T184" s="18">
        <v>692</v>
      </c>
      <c r="U184" s="18">
        <v>466</v>
      </c>
      <c r="V184" s="13" t="s">
        <v>7051</v>
      </c>
      <c r="X184" s="132">
        <v>182</v>
      </c>
      <c r="Y184" s="6"/>
    </row>
    <row r="185" spans="1:25" ht="15" customHeight="1" x14ac:dyDescent="0.2">
      <c r="A185" s="12" t="s">
        <v>7555</v>
      </c>
      <c r="B185" s="13" t="s">
        <v>4977</v>
      </c>
      <c r="C185" s="14">
        <v>46201</v>
      </c>
      <c r="D185" s="13" t="s">
        <v>1533</v>
      </c>
      <c r="E185" s="6" t="s">
        <v>591</v>
      </c>
      <c r="F185" s="38" t="s">
        <v>7556</v>
      </c>
      <c r="G185" s="6" t="s">
        <v>592</v>
      </c>
      <c r="H185" s="6" t="s">
        <v>592</v>
      </c>
      <c r="I185" s="13" t="s">
        <v>39</v>
      </c>
      <c r="J185" s="13">
        <v>12</v>
      </c>
      <c r="K185" s="13" t="s">
        <v>6574</v>
      </c>
      <c r="L185" s="6" t="s">
        <v>7104</v>
      </c>
      <c r="M185" s="108" t="s">
        <v>7105</v>
      </c>
      <c r="N185" s="13" t="s">
        <v>7106</v>
      </c>
      <c r="O185" s="13" t="s">
        <v>61</v>
      </c>
      <c r="P185" s="13" t="s">
        <v>9</v>
      </c>
      <c r="Q185" s="6" t="s">
        <v>3727</v>
      </c>
      <c r="R185" s="17" t="s">
        <v>7050</v>
      </c>
      <c r="S185" s="17" t="s">
        <v>3728</v>
      </c>
      <c r="T185" s="18">
        <v>670</v>
      </c>
      <c r="U185" s="18">
        <v>270</v>
      </c>
      <c r="V185" s="13" t="s">
        <v>7557</v>
      </c>
      <c r="X185" s="132">
        <v>183</v>
      </c>
      <c r="Y185" s="6"/>
    </row>
    <row r="186" spans="1:25" ht="15" customHeight="1" x14ac:dyDescent="0.2">
      <c r="A186" s="12" t="s">
        <v>7948</v>
      </c>
      <c r="B186" s="13" t="s">
        <v>4977</v>
      </c>
      <c r="C186" s="14">
        <v>46249</v>
      </c>
      <c r="D186" s="13" t="s">
        <v>1533</v>
      </c>
      <c r="E186" s="6" t="s">
        <v>591</v>
      </c>
      <c r="F186" s="6" t="s">
        <v>7945</v>
      </c>
      <c r="G186" s="6" t="s">
        <v>592</v>
      </c>
      <c r="H186" s="6" t="s">
        <v>592</v>
      </c>
      <c r="I186" s="13" t="s">
        <v>39</v>
      </c>
      <c r="J186" s="13">
        <v>12</v>
      </c>
      <c r="K186" s="13" t="s">
        <v>6574</v>
      </c>
      <c r="L186" s="6" t="s">
        <v>7104</v>
      </c>
      <c r="M186" s="108" t="s">
        <v>7943</v>
      </c>
      <c r="N186" s="13" t="s">
        <v>7106</v>
      </c>
      <c r="O186" s="13" t="s">
        <v>61</v>
      </c>
      <c r="P186" s="13" t="s">
        <v>9</v>
      </c>
      <c r="Q186" s="6" t="s">
        <v>3727</v>
      </c>
      <c r="R186" s="17" t="s">
        <v>7050</v>
      </c>
      <c r="S186" s="17" t="s">
        <v>3728</v>
      </c>
      <c r="T186" s="18">
        <v>480</v>
      </c>
      <c r="U186" s="18">
        <v>480</v>
      </c>
      <c r="V186" s="13" t="s">
        <v>7944</v>
      </c>
      <c r="X186" s="132">
        <v>184</v>
      </c>
      <c r="Y186" s="6"/>
    </row>
    <row r="187" spans="1:25" ht="15" customHeight="1" x14ac:dyDescent="0.2">
      <c r="A187" s="12" t="s">
        <v>1654</v>
      </c>
      <c r="B187" s="13" t="s">
        <v>4978</v>
      </c>
      <c r="C187" s="74">
        <v>46799</v>
      </c>
      <c r="D187" s="13" t="s">
        <v>33</v>
      </c>
      <c r="E187" s="6" t="s">
        <v>6807</v>
      </c>
      <c r="F187" s="15" t="s">
        <v>11718</v>
      </c>
      <c r="G187" s="6" t="s">
        <v>595</v>
      </c>
      <c r="H187" s="6" t="s">
        <v>595</v>
      </c>
      <c r="I187" s="13" t="s">
        <v>25</v>
      </c>
      <c r="J187" s="13">
        <v>3</v>
      </c>
      <c r="K187" s="13" t="s">
        <v>1714</v>
      </c>
      <c r="L187" s="6" t="s">
        <v>6808</v>
      </c>
      <c r="M187" s="108" t="s">
        <v>6809</v>
      </c>
      <c r="N187" s="13" t="s">
        <v>2304</v>
      </c>
      <c r="O187" s="13" t="s">
        <v>36</v>
      </c>
      <c r="P187" s="13" t="s">
        <v>4</v>
      </c>
      <c r="Q187" s="6" t="s">
        <v>6810</v>
      </c>
      <c r="R187" s="17" t="s">
        <v>6811</v>
      </c>
      <c r="S187" s="17" t="s">
        <v>6812</v>
      </c>
      <c r="T187" s="13">
        <v>15</v>
      </c>
      <c r="U187" s="13">
        <v>15</v>
      </c>
      <c r="V187" s="13" t="s">
        <v>6813</v>
      </c>
      <c r="X187" s="132">
        <v>185</v>
      </c>
      <c r="Y187" s="6"/>
    </row>
    <row r="188" spans="1:25" ht="15" customHeight="1" x14ac:dyDescent="0.25">
      <c r="A188" s="12" t="s">
        <v>1655</v>
      </c>
      <c r="B188" s="13" t="s">
        <v>4978</v>
      </c>
      <c r="C188" s="74">
        <v>47090</v>
      </c>
      <c r="D188" s="13" t="s">
        <v>33</v>
      </c>
      <c r="E188" s="6" t="s">
        <v>1812</v>
      </c>
      <c r="F188" s="15" t="s">
        <v>8513</v>
      </c>
      <c r="G188" s="6" t="s">
        <v>598</v>
      </c>
      <c r="H188" s="6" t="s">
        <v>598</v>
      </c>
      <c r="I188" s="13" t="s">
        <v>25</v>
      </c>
      <c r="J188" s="13">
        <v>3</v>
      </c>
      <c r="K188" s="13" t="s">
        <v>1714</v>
      </c>
      <c r="L188" s="6" t="s">
        <v>8507</v>
      </c>
      <c r="M188" s="108" t="s">
        <v>8508</v>
      </c>
      <c r="N188" s="13" t="s">
        <v>3972</v>
      </c>
      <c r="O188" s="13" t="s">
        <v>165</v>
      </c>
      <c r="P188" s="13" t="s">
        <v>9</v>
      </c>
      <c r="Q188" s="6" t="s">
        <v>8509</v>
      </c>
      <c r="R188" s="69" t="s">
        <v>8510</v>
      </c>
      <c r="S188" s="69" t="s">
        <v>8511</v>
      </c>
      <c r="T188" s="13">
        <v>22</v>
      </c>
      <c r="U188" s="13">
        <v>20</v>
      </c>
      <c r="V188" s="13" t="s">
        <v>8512</v>
      </c>
      <c r="X188" s="132">
        <v>186</v>
      </c>
      <c r="Y188" s="6"/>
    </row>
    <row r="189" spans="1:25" ht="15" customHeight="1" x14ac:dyDescent="0.2">
      <c r="A189" s="20" t="s">
        <v>1656</v>
      </c>
      <c r="B189" s="22" t="s">
        <v>2608</v>
      </c>
      <c r="C189" s="14">
        <v>44368</v>
      </c>
      <c r="D189" s="13" t="s">
        <v>33</v>
      </c>
      <c r="E189" s="6" t="s">
        <v>600</v>
      </c>
      <c r="F189" s="15" t="s">
        <v>11719</v>
      </c>
      <c r="G189" s="6" t="s">
        <v>601</v>
      </c>
      <c r="I189" s="13" t="s">
        <v>25</v>
      </c>
      <c r="J189" s="13">
        <v>3</v>
      </c>
      <c r="K189" s="13" t="s">
        <v>1714</v>
      </c>
      <c r="L189" s="6" t="s">
        <v>7754</v>
      </c>
      <c r="M189" s="117" t="s">
        <v>7755</v>
      </c>
      <c r="O189" s="13" t="s">
        <v>15</v>
      </c>
      <c r="P189" s="13" t="s">
        <v>16</v>
      </c>
      <c r="Q189" s="6"/>
      <c r="R189" s="6" t="s">
        <v>602</v>
      </c>
      <c r="S189" s="17" t="s">
        <v>6639</v>
      </c>
      <c r="T189" s="13"/>
      <c r="U189" s="13"/>
      <c r="V189" s="13"/>
      <c r="X189" s="132">
        <v>187</v>
      </c>
      <c r="Y189" s="6"/>
    </row>
    <row r="190" spans="1:25" ht="15" customHeight="1" x14ac:dyDescent="0.2">
      <c r="A190" s="12" t="s">
        <v>1657</v>
      </c>
      <c r="B190" s="13" t="s">
        <v>4978</v>
      </c>
      <c r="C190" s="74">
        <v>47552</v>
      </c>
      <c r="D190" s="13" t="s">
        <v>33</v>
      </c>
      <c r="E190" s="6" t="s">
        <v>11381</v>
      </c>
      <c r="F190" s="15" t="s">
        <v>11382</v>
      </c>
      <c r="G190" s="6" t="s">
        <v>605</v>
      </c>
      <c r="H190" s="6" t="s">
        <v>605</v>
      </c>
      <c r="I190" s="13" t="s">
        <v>25</v>
      </c>
      <c r="J190" s="13">
        <v>3</v>
      </c>
      <c r="K190" s="13" t="s">
        <v>1714</v>
      </c>
      <c r="L190" s="6" t="s">
        <v>3115</v>
      </c>
      <c r="M190" s="108" t="s">
        <v>11383</v>
      </c>
      <c r="N190" s="13" t="s">
        <v>240</v>
      </c>
      <c r="O190" s="13" t="s">
        <v>240</v>
      </c>
      <c r="P190" s="13" t="s">
        <v>16</v>
      </c>
      <c r="Q190" s="6" t="s">
        <v>3114</v>
      </c>
      <c r="R190" s="6" t="s">
        <v>606</v>
      </c>
      <c r="S190" s="17"/>
      <c r="T190" s="13">
        <v>24</v>
      </c>
      <c r="U190" s="13">
        <v>19</v>
      </c>
      <c r="V190" s="13" t="s">
        <v>3113</v>
      </c>
      <c r="X190" s="132">
        <v>188</v>
      </c>
      <c r="Y190" s="6"/>
    </row>
    <row r="191" spans="1:25" ht="15" customHeight="1" x14ac:dyDescent="0.2">
      <c r="A191" s="12" t="s">
        <v>1658</v>
      </c>
      <c r="B191" s="13" t="s">
        <v>4978</v>
      </c>
      <c r="C191" s="74">
        <v>46917</v>
      </c>
      <c r="D191" s="13" t="s">
        <v>33</v>
      </c>
      <c r="E191" s="6" t="s">
        <v>3409</v>
      </c>
      <c r="G191" s="6" t="s">
        <v>609</v>
      </c>
      <c r="H191" s="6" t="s">
        <v>609</v>
      </c>
      <c r="I191" s="13" t="s">
        <v>25</v>
      </c>
      <c r="J191" s="13">
        <v>3</v>
      </c>
      <c r="K191" s="13" t="s">
        <v>1714</v>
      </c>
      <c r="L191" s="6" t="s">
        <v>7411</v>
      </c>
      <c r="M191" s="108" t="s">
        <v>7412</v>
      </c>
      <c r="N191" s="13" t="s">
        <v>3411</v>
      </c>
      <c r="O191" s="13" t="s">
        <v>240</v>
      </c>
      <c r="P191" s="13" t="s">
        <v>16</v>
      </c>
      <c r="Q191" s="6" t="s">
        <v>7413</v>
      </c>
      <c r="R191" s="17" t="s">
        <v>708</v>
      </c>
      <c r="S191" s="17"/>
      <c r="T191" s="13">
        <v>38</v>
      </c>
      <c r="U191" s="13">
        <v>30</v>
      </c>
      <c r="V191" s="13" t="s">
        <v>3410</v>
      </c>
      <c r="X191" s="132">
        <v>189</v>
      </c>
      <c r="Y191" s="6"/>
    </row>
    <row r="192" spans="1:25" ht="15" customHeight="1" x14ac:dyDescent="0.2">
      <c r="A192" s="12" t="s">
        <v>1813</v>
      </c>
      <c r="B192" s="13" t="s">
        <v>4978</v>
      </c>
      <c r="C192" s="74">
        <v>47406</v>
      </c>
      <c r="D192" s="13" t="s">
        <v>1533</v>
      </c>
      <c r="E192" s="6" t="s">
        <v>611</v>
      </c>
      <c r="F192" s="15" t="s">
        <v>10522</v>
      </c>
      <c r="G192" s="6" t="s">
        <v>613</v>
      </c>
      <c r="H192" s="6" t="s">
        <v>613</v>
      </c>
      <c r="I192" s="13" t="s">
        <v>105</v>
      </c>
      <c r="J192" s="13">
        <v>10</v>
      </c>
      <c r="K192" s="13" t="s">
        <v>6603</v>
      </c>
      <c r="L192" s="6" t="s">
        <v>10523</v>
      </c>
      <c r="M192" s="108" t="s">
        <v>10524</v>
      </c>
      <c r="N192" s="13" t="s">
        <v>2790</v>
      </c>
      <c r="O192" s="13" t="s">
        <v>204</v>
      </c>
      <c r="P192" s="13" t="s">
        <v>9</v>
      </c>
      <c r="Q192" s="6" t="s">
        <v>10525</v>
      </c>
      <c r="R192" s="17" t="s">
        <v>6274</v>
      </c>
      <c r="S192" s="17" t="s">
        <v>6640</v>
      </c>
      <c r="T192" s="13">
        <v>62</v>
      </c>
      <c r="U192" s="13">
        <v>62</v>
      </c>
      <c r="V192" s="13" t="s">
        <v>10526</v>
      </c>
      <c r="X192" s="132">
        <v>190</v>
      </c>
      <c r="Y192" s="6"/>
    </row>
    <row r="193" spans="1:25" ht="15" customHeight="1" x14ac:dyDescent="0.2">
      <c r="A193" s="19" t="s">
        <v>1814</v>
      </c>
      <c r="B193" s="13" t="s">
        <v>4978</v>
      </c>
      <c r="C193" s="74">
        <v>47243</v>
      </c>
      <c r="D193" s="13" t="s">
        <v>1533</v>
      </c>
      <c r="E193" s="6" t="s">
        <v>611</v>
      </c>
      <c r="F193" s="15" t="s">
        <v>9790</v>
      </c>
      <c r="G193" s="6" t="s">
        <v>613</v>
      </c>
      <c r="H193" s="6" t="s">
        <v>613</v>
      </c>
      <c r="I193" s="13" t="s">
        <v>13</v>
      </c>
      <c r="J193" s="13">
        <v>7</v>
      </c>
      <c r="K193" s="13" t="s">
        <v>6603</v>
      </c>
      <c r="L193" s="6" t="s">
        <v>9791</v>
      </c>
      <c r="M193" s="108" t="s">
        <v>9792</v>
      </c>
      <c r="N193" s="13" t="s">
        <v>9793</v>
      </c>
      <c r="O193" s="13" t="s">
        <v>204</v>
      </c>
      <c r="P193" s="13" t="s">
        <v>9</v>
      </c>
      <c r="Q193" s="6" t="s">
        <v>9794</v>
      </c>
      <c r="R193" s="17" t="s">
        <v>6274</v>
      </c>
      <c r="S193" s="17" t="s">
        <v>6640</v>
      </c>
      <c r="T193" s="13">
        <v>200</v>
      </c>
      <c r="U193" s="13">
        <v>200</v>
      </c>
      <c r="V193" s="13" t="s">
        <v>9795</v>
      </c>
      <c r="X193" s="132">
        <v>191</v>
      </c>
      <c r="Y193" s="6"/>
    </row>
    <row r="194" spans="1:25" ht="15" customHeight="1" x14ac:dyDescent="0.2">
      <c r="A194" s="20" t="s">
        <v>1815</v>
      </c>
      <c r="B194" s="22" t="s">
        <v>2608</v>
      </c>
      <c r="C194" s="14">
        <v>45581</v>
      </c>
      <c r="D194" s="13" t="s">
        <v>1533</v>
      </c>
      <c r="E194" s="6" t="s">
        <v>611</v>
      </c>
      <c r="F194" s="15" t="s">
        <v>11720</v>
      </c>
      <c r="G194" s="6" t="s">
        <v>613</v>
      </c>
      <c r="I194" s="13" t="s">
        <v>13</v>
      </c>
      <c r="J194" s="13">
        <v>7</v>
      </c>
      <c r="K194" s="13" t="s">
        <v>6603</v>
      </c>
      <c r="L194" s="6" t="s">
        <v>1816</v>
      </c>
      <c r="M194" s="108"/>
      <c r="O194" s="13" t="s">
        <v>204</v>
      </c>
      <c r="P194" s="13" t="s">
        <v>9</v>
      </c>
      <c r="Q194" s="6" t="s">
        <v>1817</v>
      </c>
      <c r="R194" s="17" t="s">
        <v>6274</v>
      </c>
      <c r="S194" s="17" t="s">
        <v>6640</v>
      </c>
      <c r="T194" s="13">
        <v>200</v>
      </c>
      <c r="U194" s="13">
        <v>200</v>
      </c>
      <c r="V194" s="13">
        <v>200</v>
      </c>
      <c r="X194" s="132">
        <v>192</v>
      </c>
      <c r="Y194" s="6"/>
    </row>
    <row r="195" spans="1:25" ht="15" customHeight="1" x14ac:dyDescent="0.2">
      <c r="A195" s="20" t="s">
        <v>1818</v>
      </c>
      <c r="B195" s="22" t="s">
        <v>2608</v>
      </c>
      <c r="C195" s="14">
        <v>45581</v>
      </c>
      <c r="D195" s="13" t="s">
        <v>1533</v>
      </c>
      <c r="E195" s="6" t="s">
        <v>611</v>
      </c>
      <c r="F195" s="15" t="s">
        <v>11721</v>
      </c>
      <c r="G195" s="6" t="s">
        <v>613</v>
      </c>
      <c r="I195" s="13" t="s">
        <v>13</v>
      </c>
      <c r="J195" s="13">
        <v>7</v>
      </c>
      <c r="K195" s="13" t="s">
        <v>6603</v>
      </c>
      <c r="L195" s="6" t="s">
        <v>1819</v>
      </c>
      <c r="M195" s="108"/>
      <c r="O195" s="13" t="s">
        <v>204</v>
      </c>
      <c r="P195" s="13" t="s">
        <v>9</v>
      </c>
      <c r="Q195" s="6" t="s">
        <v>1820</v>
      </c>
      <c r="R195" s="17" t="s">
        <v>6274</v>
      </c>
      <c r="S195" s="17" t="s">
        <v>6640</v>
      </c>
      <c r="T195" s="13">
        <v>100</v>
      </c>
      <c r="U195" s="13">
        <v>100</v>
      </c>
      <c r="V195" s="13">
        <v>100</v>
      </c>
      <c r="X195" s="132">
        <v>193</v>
      </c>
      <c r="Y195" s="6"/>
    </row>
    <row r="196" spans="1:25" ht="15" customHeight="1" x14ac:dyDescent="0.25">
      <c r="A196" s="12" t="s">
        <v>1659</v>
      </c>
      <c r="B196" s="13" t="s">
        <v>4978</v>
      </c>
      <c r="C196" s="74">
        <v>47436</v>
      </c>
      <c r="D196" s="13" t="s">
        <v>1533</v>
      </c>
      <c r="E196" s="6" t="s">
        <v>615</v>
      </c>
      <c r="F196" s="15" t="s">
        <v>10706</v>
      </c>
      <c r="G196" s="6" t="s">
        <v>3382</v>
      </c>
      <c r="H196" s="6" t="s">
        <v>3382</v>
      </c>
      <c r="I196" s="13" t="s">
        <v>25</v>
      </c>
      <c r="J196" s="13">
        <v>6</v>
      </c>
      <c r="K196" s="13" t="s">
        <v>1714</v>
      </c>
      <c r="L196" s="6" t="s">
        <v>3196</v>
      </c>
      <c r="M196" s="108" t="s">
        <v>10707</v>
      </c>
      <c r="N196" s="13" t="s">
        <v>3197</v>
      </c>
      <c r="O196" s="13" t="s">
        <v>61</v>
      </c>
      <c r="P196" s="13" t="s">
        <v>9</v>
      </c>
      <c r="Q196" s="6" t="s">
        <v>3198</v>
      </c>
      <c r="R196" s="69" t="s">
        <v>10708</v>
      </c>
      <c r="S196" s="17" t="s">
        <v>3199</v>
      </c>
      <c r="T196" s="13">
        <v>96</v>
      </c>
      <c r="U196" s="13">
        <v>67</v>
      </c>
      <c r="V196" s="13" t="s">
        <v>3200</v>
      </c>
      <c r="X196" s="132">
        <v>194</v>
      </c>
      <c r="Y196" s="6"/>
    </row>
    <row r="197" spans="1:25" ht="15" customHeight="1" x14ac:dyDescent="0.2">
      <c r="A197" s="12" t="s">
        <v>1660</v>
      </c>
      <c r="B197" s="13" t="s">
        <v>4978</v>
      </c>
      <c r="C197" s="74">
        <v>46372</v>
      </c>
      <c r="D197" s="13" t="s">
        <v>33</v>
      </c>
      <c r="E197" s="6" t="s">
        <v>4602</v>
      </c>
      <c r="G197" s="6" t="s">
        <v>619</v>
      </c>
      <c r="I197" s="13" t="s">
        <v>25</v>
      </c>
      <c r="J197" s="13">
        <v>3</v>
      </c>
      <c r="K197" s="13" t="s">
        <v>1714</v>
      </c>
      <c r="L197" s="6" t="s">
        <v>4603</v>
      </c>
      <c r="M197" s="108" t="s">
        <v>4604</v>
      </c>
      <c r="N197" s="13" t="s">
        <v>2711</v>
      </c>
      <c r="O197" s="13" t="s">
        <v>8</v>
      </c>
      <c r="P197" s="13" t="s">
        <v>9</v>
      </c>
      <c r="Q197" s="6" t="s">
        <v>4605</v>
      </c>
      <c r="R197" s="17" t="s">
        <v>4606</v>
      </c>
      <c r="S197" s="17" t="s">
        <v>2246</v>
      </c>
      <c r="T197" s="13">
        <v>132</v>
      </c>
      <c r="U197" s="13">
        <v>91</v>
      </c>
      <c r="V197" s="13" t="s">
        <v>4607</v>
      </c>
      <c r="X197" s="132">
        <v>195</v>
      </c>
      <c r="Y197" s="6"/>
    </row>
    <row r="198" spans="1:25" ht="15" customHeight="1" x14ac:dyDescent="0.2">
      <c r="A198" s="12" t="s">
        <v>1661</v>
      </c>
      <c r="B198" s="13" t="s">
        <v>4978</v>
      </c>
      <c r="C198" s="74">
        <v>47026</v>
      </c>
      <c r="D198" s="13" t="s">
        <v>33</v>
      </c>
      <c r="E198" s="6" t="s">
        <v>621</v>
      </c>
      <c r="F198" s="15" t="s">
        <v>11722</v>
      </c>
      <c r="G198" s="6" t="s">
        <v>622</v>
      </c>
      <c r="H198" s="6" t="s">
        <v>622</v>
      </c>
      <c r="I198" s="13" t="s">
        <v>25</v>
      </c>
      <c r="J198" s="13">
        <v>3</v>
      </c>
      <c r="K198" s="13" t="s">
        <v>1714</v>
      </c>
      <c r="L198" s="6" t="s">
        <v>7976</v>
      </c>
      <c r="M198" s="108" t="s">
        <v>7977</v>
      </c>
      <c r="N198" s="13" t="s">
        <v>3972</v>
      </c>
      <c r="O198" s="13" t="s">
        <v>97</v>
      </c>
      <c r="P198" s="13" t="s">
        <v>4</v>
      </c>
      <c r="Q198" s="6" t="s">
        <v>7978</v>
      </c>
      <c r="R198" s="25" t="s">
        <v>7979</v>
      </c>
      <c r="S198" s="25" t="s">
        <v>7980</v>
      </c>
      <c r="T198" s="13">
        <v>23</v>
      </c>
      <c r="U198" s="13">
        <v>11</v>
      </c>
      <c r="V198" s="13" t="s">
        <v>7981</v>
      </c>
      <c r="X198" s="132">
        <v>196</v>
      </c>
      <c r="Y198" s="6"/>
    </row>
    <row r="199" spans="1:25" ht="15" customHeight="1" x14ac:dyDescent="0.2">
      <c r="A199" s="12" t="s">
        <v>1662</v>
      </c>
      <c r="B199" s="13" t="s">
        <v>4978</v>
      </c>
      <c r="C199" s="74">
        <v>46284</v>
      </c>
      <c r="D199" s="13" t="s">
        <v>33</v>
      </c>
      <c r="E199" s="6" t="s">
        <v>4264</v>
      </c>
      <c r="F199" s="15" t="s">
        <v>11723</v>
      </c>
      <c r="G199" s="6" t="s">
        <v>625</v>
      </c>
      <c r="I199" s="13" t="s">
        <v>25</v>
      </c>
      <c r="J199" s="13">
        <v>3</v>
      </c>
      <c r="K199" s="13" t="s">
        <v>1714</v>
      </c>
      <c r="L199" s="6" t="s">
        <v>4266</v>
      </c>
      <c r="M199" s="108" t="s">
        <v>4265</v>
      </c>
      <c r="N199" s="13" t="s">
        <v>136</v>
      </c>
      <c r="O199" s="13" t="s">
        <v>136</v>
      </c>
      <c r="P199" s="13" t="s">
        <v>4</v>
      </c>
      <c r="Q199" s="6" t="s">
        <v>4267</v>
      </c>
      <c r="R199" s="17" t="s">
        <v>626</v>
      </c>
      <c r="S199" s="17" t="s">
        <v>6639</v>
      </c>
      <c r="T199" s="13">
        <v>18</v>
      </c>
      <c r="U199" s="13">
        <v>11</v>
      </c>
      <c r="V199" s="13" t="s">
        <v>4263</v>
      </c>
      <c r="X199" s="132">
        <v>197</v>
      </c>
      <c r="Y199" s="6"/>
    </row>
    <row r="200" spans="1:25" ht="15" customHeight="1" x14ac:dyDescent="0.2">
      <c r="A200" s="12" t="s">
        <v>1663</v>
      </c>
      <c r="B200" s="13" t="s">
        <v>4978</v>
      </c>
      <c r="C200" s="74">
        <v>47552</v>
      </c>
      <c r="D200" s="13" t="s">
        <v>33</v>
      </c>
      <c r="E200" s="6" t="s">
        <v>11308</v>
      </c>
      <c r="F200" s="15" t="s">
        <v>11309</v>
      </c>
      <c r="G200" s="6" t="s">
        <v>629</v>
      </c>
      <c r="H200" s="6" t="s">
        <v>629</v>
      </c>
      <c r="I200" s="13" t="s">
        <v>7931</v>
      </c>
      <c r="J200" s="13">
        <v>4</v>
      </c>
      <c r="K200" s="13" t="s">
        <v>1714</v>
      </c>
      <c r="L200" s="6" t="s">
        <v>3730</v>
      </c>
      <c r="M200" s="108" t="s">
        <v>11310</v>
      </c>
      <c r="N200" s="13" t="s">
        <v>2711</v>
      </c>
      <c r="O200" s="13" t="s">
        <v>8</v>
      </c>
      <c r="P200" s="13" t="s">
        <v>9</v>
      </c>
      <c r="Q200" s="6" t="s">
        <v>3731</v>
      </c>
      <c r="R200" s="6" t="s">
        <v>630</v>
      </c>
      <c r="S200" s="17" t="s">
        <v>3732</v>
      </c>
      <c r="T200" s="13">
        <v>28</v>
      </c>
      <c r="U200" s="13">
        <v>28</v>
      </c>
      <c r="V200" s="13" t="s">
        <v>3733</v>
      </c>
      <c r="X200" s="132">
        <v>198</v>
      </c>
      <c r="Y200" s="6"/>
    </row>
    <row r="201" spans="1:25" ht="15" customHeight="1" x14ac:dyDescent="0.2">
      <c r="A201" s="12" t="s">
        <v>1664</v>
      </c>
      <c r="B201" s="13" t="s">
        <v>4978</v>
      </c>
      <c r="C201" s="74">
        <v>47552</v>
      </c>
      <c r="D201" s="13" t="s">
        <v>33</v>
      </c>
      <c r="E201" s="6" t="s">
        <v>3278</v>
      </c>
      <c r="F201" s="15" t="s">
        <v>11255</v>
      </c>
      <c r="G201" s="6" t="s">
        <v>633</v>
      </c>
      <c r="H201" s="6" t="s">
        <v>633</v>
      </c>
      <c r="I201" s="13" t="s">
        <v>25</v>
      </c>
      <c r="J201" s="13">
        <v>3</v>
      </c>
      <c r="K201" s="13" t="s">
        <v>1714</v>
      </c>
      <c r="L201" s="6" t="s">
        <v>3279</v>
      </c>
      <c r="M201" s="108" t="s">
        <v>3280</v>
      </c>
      <c r="N201" s="13" t="s">
        <v>3281</v>
      </c>
      <c r="O201" s="13" t="s">
        <v>48</v>
      </c>
      <c r="P201" s="13" t="s">
        <v>16</v>
      </c>
      <c r="Q201" s="6" t="s">
        <v>3282</v>
      </c>
      <c r="R201" s="6" t="s">
        <v>634</v>
      </c>
      <c r="S201" s="17" t="s">
        <v>3283</v>
      </c>
      <c r="T201" s="13">
        <v>26</v>
      </c>
      <c r="U201" s="13">
        <v>23</v>
      </c>
      <c r="V201" s="13" t="s">
        <v>3284</v>
      </c>
      <c r="X201" s="132">
        <v>199</v>
      </c>
      <c r="Y201" s="6"/>
    </row>
    <row r="202" spans="1:25" ht="15" customHeight="1" x14ac:dyDescent="0.2">
      <c r="A202" s="12" t="s">
        <v>1665</v>
      </c>
      <c r="B202" s="13" t="s">
        <v>4978</v>
      </c>
      <c r="C202" s="74">
        <v>46320</v>
      </c>
      <c r="D202" s="13" t="s">
        <v>33</v>
      </c>
      <c r="E202" s="6" t="s">
        <v>4410</v>
      </c>
      <c r="F202" s="15" t="s">
        <v>11724</v>
      </c>
      <c r="G202" s="6" t="s">
        <v>637</v>
      </c>
      <c r="I202" s="13" t="s">
        <v>25</v>
      </c>
      <c r="J202" s="13">
        <v>3</v>
      </c>
      <c r="K202" s="13" t="s">
        <v>1714</v>
      </c>
      <c r="L202" s="6" t="s">
        <v>4411</v>
      </c>
      <c r="M202" s="108" t="s">
        <v>4412</v>
      </c>
      <c r="N202" s="13" t="s">
        <v>3338</v>
      </c>
      <c r="O202" s="13" t="s">
        <v>1055</v>
      </c>
      <c r="P202" s="13" t="s">
        <v>16</v>
      </c>
      <c r="Q202" s="6" t="s">
        <v>4413</v>
      </c>
      <c r="R202" s="6" t="s">
        <v>638</v>
      </c>
      <c r="S202" s="17" t="s">
        <v>4414</v>
      </c>
      <c r="T202" s="13">
        <v>24</v>
      </c>
      <c r="U202" s="13">
        <v>21</v>
      </c>
      <c r="V202" s="13" t="s">
        <v>4415</v>
      </c>
      <c r="X202" s="132">
        <v>200</v>
      </c>
      <c r="Y202" s="6"/>
    </row>
    <row r="203" spans="1:25" ht="15" customHeight="1" x14ac:dyDescent="0.2">
      <c r="A203" s="20" t="s">
        <v>1666</v>
      </c>
      <c r="B203" s="22" t="s">
        <v>2608</v>
      </c>
      <c r="C203" s="14">
        <v>45802</v>
      </c>
      <c r="D203" s="13" t="s">
        <v>33</v>
      </c>
      <c r="E203" s="6" t="s">
        <v>2301</v>
      </c>
      <c r="F203" s="15" t="s">
        <v>11725</v>
      </c>
      <c r="G203" s="6" t="s">
        <v>641</v>
      </c>
      <c r="I203" s="13" t="s">
        <v>25</v>
      </c>
      <c r="J203" s="13">
        <v>3</v>
      </c>
      <c r="K203" s="13" t="s">
        <v>1714</v>
      </c>
      <c r="L203" s="6" t="s">
        <v>2303</v>
      </c>
      <c r="M203" s="108" t="s">
        <v>2305</v>
      </c>
      <c r="N203" s="13" t="s">
        <v>2304</v>
      </c>
      <c r="O203" s="13" t="s">
        <v>36</v>
      </c>
      <c r="P203" s="13" t="s">
        <v>4</v>
      </c>
      <c r="Q203" s="6" t="s">
        <v>2306</v>
      </c>
      <c r="R203" s="17" t="s">
        <v>2307</v>
      </c>
      <c r="S203" s="17" t="s">
        <v>2308</v>
      </c>
      <c r="T203" s="13">
        <v>44</v>
      </c>
      <c r="U203" s="40" t="s">
        <v>2302</v>
      </c>
      <c r="V203" s="40" t="s">
        <v>2302</v>
      </c>
      <c r="X203" s="132">
        <v>201</v>
      </c>
      <c r="Y203" s="6"/>
    </row>
    <row r="204" spans="1:25" ht="15" customHeight="1" x14ac:dyDescent="0.2">
      <c r="A204" s="12" t="s">
        <v>1667</v>
      </c>
      <c r="B204" s="13" t="s">
        <v>4978</v>
      </c>
      <c r="C204" s="74">
        <v>46848</v>
      </c>
      <c r="D204" s="13" t="s">
        <v>1533</v>
      </c>
      <c r="E204" s="6" t="s">
        <v>643</v>
      </c>
      <c r="F204" s="15" t="s">
        <v>7053</v>
      </c>
      <c r="G204" s="6" t="s">
        <v>644</v>
      </c>
      <c r="H204" s="6" t="s">
        <v>7052</v>
      </c>
      <c r="I204" s="13" t="s">
        <v>7931</v>
      </c>
      <c r="J204" s="13">
        <v>9</v>
      </c>
      <c r="K204" s="13" t="s">
        <v>6603</v>
      </c>
      <c r="L204" s="6" t="s">
        <v>7054</v>
      </c>
      <c r="M204" s="108" t="s">
        <v>7055</v>
      </c>
      <c r="N204" s="13" t="s">
        <v>7056</v>
      </c>
      <c r="O204" s="13" t="s">
        <v>21</v>
      </c>
      <c r="P204" s="13" t="s">
        <v>9</v>
      </c>
      <c r="Q204" s="6" t="s">
        <v>7057</v>
      </c>
      <c r="R204" s="6" t="s">
        <v>645</v>
      </c>
      <c r="S204" s="17" t="s">
        <v>7058</v>
      </c>
      <c r="T204" s="13">
        <v>30</v>
      </c>
      <c r="U204" s="13">
        <v>28</v>
      </c>
      <c r="V204" s="13" t="s">
        <v>7059</v>
      </c>
      <c r="X204" s="132">
        <v>202</v>
      </c>
      <c r="Y204" s="6"/>
    </row>
    <row r="205" spans="1:25" ht="15" customHeight="1" x14ac:dyDescent="0.25">
      <c r="A205" s="12" t="s">
        <v>1668</v>
      </c>
      <c r="B205" s="13" t="s">
        <v>4978</v>
      </c>
      <c r="C205" s="74">
        <v>47090</v>
      </c>
      <c r="D205" s="13" t="s">
        <v>1533</v>
      </c>
      <c r="E205" s="6" t="s">
        <v>647</v>
      </c>
      <c r="F205" s="15" t="s">
        <v>8748</v>
      </c>
      <c r="G205" s="6" t="s">
        <v>648</v>
      </c>
      <c r="H205" s="6" t="s">
        <v>648</v>
      </c>
      <c r="I205" s="13" t="s">
        <v>13</v>
      </c>
      <c r="J205" s="13">
        <v>7</v>
      </c>
      <c r="K205" s="13" t="s">
        <v>6603</v>
      </c>
      <c r="L205" s="6" t="s">
        <v>8749</v>
      </c>
      <c r="M205" s="108" t="s">
        <v>8750</v>
      </c>
      <c r="N205" s="13" t="s">
        <v>8751</v>
      </c>
      <c r="O205" s="13" t="s">
        <v>204</v>
      </c>
      <c r="P205" s="13" t="s">
        <v>9</v>
      </c>
      <c r="Q205" s="6" t="s">
        <v>8752</v>
      </c>
      <c r="R205" s="6" t="s">
        <v>649</v>
      </c>
      <c r="S205" s="69" t="s">
        <v>8753</v>
      </c>
      <c r="T205" s="13">
        <v>248</v>
      </c>
      <c r="U205" s="13">
        <v>248</v>
      </c>
      <c r="V205" s="13" t="s">
        <v>8754</v>
      </c>
      <c r="X205" s="132">
        <v>203</v>
      </c>
      <c r="Y205" s="6"/>
    </row>
    <row r="206" spans="1:25" ht="15" customHeight="1" x14ac:dyDescent="0.2">
      <c r="A206" s="20" t="s">
        <v>2791</v>
      </c>
      <c r="B206" s="21" t="s">
        <v>2608</v>
      </c>
      <c r="C206" s="14">
        <v>43820</v>
      </c>
      <c r="D206" s="13" t="s">
        <v>33</v>
      </c>
      <c r="E206" s="6" t="s">
        <v>651</v>
      </c>
      <c r="F206" s="15" t="s">
        <v>652</v>
      </c>
      <c r="G206" s="6" t="s">
        <v>6257</v>
      </c>
      <c r="H206" s="6" t="s">
        <v>653</v>
      </c>
      <c r="I206" s="13" t="s">
        <v>25</v>
      </c>
      <c r="J206" s="13">
        <v>3</v>
      </c>
      <c r="K206" s="13" t="s">
        <v>1714</v>
      </c>
      <c r="L206" s="6"/>
      <c r="M206" s="108"/>
      <c r="O206" s="13" t="s">
        <v>136</v>
      </c>
      <c r="P206" s="13" t="s">
        <v>4</v>
      </c>
      <c r="Q206" s="6"/>
      <c r="R206" s="6" t="s">
        <v>654</v>
      </c>
      <c r="S206" s="17" t="s">
        <v>6641</v>
      </c>
      <c r="T206" s="13"/>
      <c r="U206" s="13"/>
      <c r="V206" s="13"/>
      <c r="X206" s="132">
        <v>204</v>
      </c>
      <c r="Y206" s="6"/>
    </row>
    <row r="207" spans="1:25" ht="15" customHeight="1" x14ac:dyDescent="0.25">
      <c r="A207" s="12" t="s">
        <v>2792</v>
      </c>
      <c r="B207" s="13" t="s">
        <v>4978</v>
      </c>
      <c r="C207" s="74">
        <v>47406</v>
      </c>
      <c r="D207" s="13" t="s">
        <v>33</v>
      </c>
      <c r="E207" s="6" t="s">
        <v>10721</v>
      </c>
      <c r="F207" s="15" t="s">
        <v>655</v>
      </c>
      <c r="G207" s="6" t="s">
        <v>656</v>
      </c>
      <c r="H207" s="6" t="s">
        <v>656</v>
      </c>
      <c r="I207" s="13" t="s">
        <v>25</v>
      </c>
      <c r="J207" s="13">
        <v>3</v>
      </c>
      <c r="K207" s="13" t="s">
        <v>1714</v>
      </c>
      <c r="L207" s="6" t="s">
        <v>2772</v>
      </c>
      <c r="M207" s="108" t="s">
        <v>2773</v>
      </c>
      <c r="N207" s="13" t="s">
        <v>2478</v>
      </c>
      <c r="O207" s="13" t="s">
        <v>61</v>
      </c>
      <c r="P207" s="13" t="s">
        <v>9</v>
      </c>
      <c r="Q207" s="6" t="s">
        <v>10722</v>
      </c>
      <c r="R207" s="69" t="s">
        <v>6190</v>
      </c>
      <c r="S207" s="17" t="s">
        <v>2771</v>
      </c>
      <c r="T207" s="13">
        <v>115</v>
      </c>
      <c r="U207" s="13">
        <v>94</v>
      </c>
      <c r="V207" s="13" t="s">
        <v>10723</v>
      </c>
      <c r="X207" s="132">
        <v>205</v>
      </c>
      <c r="Y207" s="6"/>
    </row>
    <row r="208" spans="1:25" ht="15" customHeight="1" x14ac:dyDescent="0.2">
      <c r="A208" s="12" t="s">
        <v>2793</v>
      </c>
      <c r="B208" s="13" t="s">
        <v>4978</v>
      </c>
      <c r="C208" s="74">
        <v>46705</v>
      </c>
      <c r="D208" s="13" t="s">
        <v>33</v>
      </c>
      <c r="E208" s="6" t="s">
        <v>651</v>
      </c>
      <c r="F208" s="15" t="s">
        <v>657</v>
      </c>
      <c r="G208" s="6" t="s">
        <v>6257</v>
      </c>
      <c r="H208" s="6" t="s">
        <v>658</v>
      </c>
      <c r="I208" s="13" t="s">
        <v>25</v>
      </c>
      <c r="J208" s="13">
        <v>3</v>
      </c>
      <c r="K208" s="13" t="s">
        <v>1714</v>
      </c>
      <c r="L208" s="6" t="s">
        <v>6186</v>
      </c>
      <c r="M208" s="108" t="s">
        <v>6187</v>
      </c>
      <c r="N208" s="13" t="s">
        <v>6188</v>
      </c>
      <c r="O208" s="13" t="s">
        <v>15</v>
      </c>
      <c r="P208" s="13" t="s">
        <v>16</v>
      </c>
      <c r="Q208" s="6" t="s">
        <v>6189</v>
      </c>
      <c r="R208" s="17" t="s">
        <v>6190</v>
      </c>
      <c r="S208" s="17" t="s">
        <v>6191</v>
      </c>
      <c r="T208" s="13">
        <v>112</v>
      </c>
      <c r="U208" s="13">
        <v>72</v>
      </c>
      <c r="V208" s="13" t="s">
        <v>6192</v>
      </c>
      <c r="X208" s="132">
        <v>206</v>
      </c>
      <c r="Y208" s="6"/>
    </row>
    <row r="209" spans="1:25" ht="15" customHeight="1" x14ac:dyDescent="0.2">
      <c r="A209" s="12" t="s">
        <v>2794</v>
      </c>
      <c r="B209" s="13" t="s">
        <v>4977</v>
      </c>
      <c r="C209" s="14">
        <v>46822</v>
      </c>
      <c r="D209" s="13" t="s">
        <v>33</v>
      </c>
      <c r="E209" s="6" t="s">
        <v>651</v>
      </c>
      <c r="F209" s="15" t="s">
        <v>659</v>
      </c>
      <c r="G209" s="6" t="s">
        <v>6257</v>
      </c>
      <c r="H209" s="6" t="s">
        <v>660</v>
      </c>
      <c r="I209" s="13" t="s">
        <v>25</v>
      </c>
      <c r="J209" s="13">
        <v>3</v>
      </c>
      <c r="K209" s="13" t="s">
        <v>1714</v>
      </c>
      <c r="L209" s="6" t="s">
        <v>6721</v>
      </c>
      <c r="M209" s="108" t="s">
        <v>6722</v>
      </c>
      <c r="N209" s="13" t="s">
        <v>6723</v>
      </c>
      <c r="O209" s="13" t="s">
        <v>8</v>
      </c>
      <c r="P209" s="13" t="s">
        <v>9</v>
      </c>
      <c r="Q209" s="6" t="s">
        <v>10722</v>
      </c>
      <c r="R209" s="17" t="s">
        <v>6190</v>
      </c>
      <c r="S209" s="17" t="s">
        <v>2771</v>
      </c>
      <c r="T209" s="13">
        <v>130</v>
      </c>
      <c r="U209" s="13">
        <v>104</v>
      </c>
      <c r="V209" s="13" t="s">
        <v>6724</v>
      </c>
      <c r="X209" s="132">
        <v>207</v>
      </c>
      <c r="Y209" s="6"/>
    </row>
    <row r="210" spans="1:25" s="7" customFormat="1" ht="15" customHeight="1" x14ac:dyDescent="0.2">
      <c r="A210" s="20" t="s">
        <v>2795</v>
      </c>
      <c r="B210" s="22"/>
      <c r="C210" s="21"/>
      <c r="D210" s="22" t="s">
        <v>33</v>
      </c>
      <c r="E210" s="7" t="s">
        <v>9033</v>
      </c>
      <c r="F210" s="77" t="s">
        <v>661</v>
      </c>
      <c r="G210" s="7" t="s">
        <v>6257</v>
      </c>
      <c r="H210" s="7" t="s">
        <v>662</v>
      </c>
      <c r="I210" s="22" t="s">
        <v>25</v>
      </c>
      <c r="J210" s="22">
        <v>3</v>
      </c>
      <c r="K210" s="22" t="s">
        <v>1714</v>
      </c>
      <c r="L210" s="7" t="s">
        <v>2768</v>
      </c>
      <c r="M210" s="115"/>
      <c r="N210" s="22" t="s">
        <v>177</v>
      </c>
      <c r="O210" s="13" t="s">
        <v>177</v>
      </c>
      <c r="P210" s="13" t="s">
        <v>9</v>
      </c>
      <c r="Q210" s="7" t="s">
        <v>2769</v>
      </c>
      <c r="R210" s="43" t="s">
        <v>2770</v>
      </c>
      <c r="S210" s="43" t="s">
        <v>2771</v>
      </c>
      <c r="T210" s="22">
        <v>160</v>
      </c>
      <c r="U210" s="22">
        <v>137</v>
      </c>
      <c r="V210" s="22"/>
      <c r="X210" s="132">
        <v>208</v>
      </c>
    </row>
    <row r="211" spans="1:25" ht="15" customHeight="1" x14ac:dyDescent="0.2">
      <c r="A211" s="20" t="s">
        <v>2796</v>
      </c>
      <c r="B211" s="21" t="s">
        <v>2608</v>
      </c>
      <c r="C211" s="14">
        <v>45239</v>
      </c>
      <c r="D211" s="13" t="s">
        <v>33</v>
      </c>
      <c r="E211" s="6" t="s">
        <v>666</v>
      </c>
      <c r="F211" s="15" t="s">
        <v>667</v>
      </c>
      <c r="G211" s="6" t="s">
        <v>6257</v>
      </c>
      <c r="H211" s="6" t="s">
        <v>668</v>
      </c>
      <c r="I211" s="13" t="s">
        <v>25</v>
      </c>
      <c r="J211" s="13">
        <v>3</v>
      </c>
      <c r="K211" s="13" t="s">
        <v>1714</v>
      </c>
      <c r="L211" s="6"/>
      <c r="M211" s="108"/>
      <c r="O211" s="13" t="s">
        <v>53</v>
      </c>
      <c r="P211" s="13" t="s">
        <v>54</v>
      </c>
      <c r="Q211" s="7" t="s">
        <v>7990</v>
      </c>
      <c r="R211" s="6" t="s">
        <v>654</v>
      </c>
      <c r="S211" s="17" t="s">
        <v>6641</v>
      </c>
      <c r="T211" s="13"/>
      <c r="U211" s="13"/>
      <c r="V211" s="13"/>
      <c r="X211" s="132">
        <v>209</v>
      </c>
      <c r="Y211" s="6"/>
    </row>
    <row r="212" spans="1:25" ht="15" customHeight="1" x14ac:dyDescent="0.2">
      <c r="A212" s="20" t="s">
        <v>2797</v>
      </c>
      <c r="B212" s="21" t="s">
        <v>2608</v>
      </c>
      <c r="C212" s="14">
        <v>43820</v>
      </c>
      <c r="D212" s="13" t="s">
        <v>33</v>
      </c>
      <c r="E212" s="6" t="s">
        <v>663</v>
      </c>
      <c r="F212" s="15" t="s">
        <v>664</v>
      </c>
      <c r="G212" s="6" t="s">
        <v>6257</v>
      </c>
      <c r="H212" s="6" t="s">
        <v>665</v>
      </c>
      <c r="I212" s="13" t="s">
        <v>25</v>
      </c>
      <c r="J212" s="13">
        <v>3</v>
      </c>
      <c r="K212" s="13" t="s">
        <v>1714</v>
      </c>
      <c r="L212" s="6"/>
      <c r="M212" s="108"/>
      <c r="O212" s="13" t="s">
        <v>61</v>
      </c>
      <c r="P212" s="13" t="s">
        <v>9</v>
      </c>
      <c r="Q212" s="6"/>
      <c r="R212" s="6" t="s">
        <v>654</v>
      </c>
      <c r="S212" s="17" t="s">
        <v>6641</v>
      </c>
      <c r="T212" s="13"/>
      <c r="U212" s="13"/>
      <c r="V212" s="13"/>
      <c r="X212" s="132">
        <v>210</v>
      </c>
      <c r="Y212" s="6"/>
    </row>
    <row r="213" spans="1:25" ht="15" customHeight="1" x14ac:dyDescent="0.2">
      <c r="A213" s="12" t="s">
        <v>1669</v>
      </c>
      <c r="B213" s="13" t="s">
        <v>4978</v>
      </c>
      <c r="C213" s="74">
        <v>47026</v>
      </c>
      <c r="D213" s="13" t="s">
        <v>33</v>
      </c>
      <c r="E213" s="6" t="s">
        <v>8235</v>
      </c>
      <c r="F213" s="15" t="s">
        <v>11726</v>
      </c>
      <c r="G213" s="6" t="s">
        <v>671</v>
      </c>
      <c r="H213" s="6" t="s">
        <v>671</v>
      </c>
      <c r="I213" s="13" t="s">
        <v>25</v>
      </c>
      <c r="J213" s="13">
        <v>3</v>
      </c>
      <c r="K213" s="13" t="s">
        <v>1714</v>
      </c>
      <c r="L213" s="6" t="s">
        <v>4374</v>
      </c>
      <c r="M213" s="108" t="s">
        <v>4375</v>
      </c>
      <c r="N213" s="13" t="s">
        <v>4373</v>
      </c>
      <c r="O213" s="13" t="s">
        <v>27</v>
      </c>
      <c r="P213" s="13" t="s">
        <v>9</v>
      </c>
      <c r="Q213" s="6" t="s">
        <v>4372</v>
      </c>
      <c r="R213" s="6" t="s">
        <v>672</v>
      </c>
      <c r="S213" s="17" t="s">
        <v>4371</v>
      </c>
      <c r="T213" s="13">
        <v>28</v>
      </c>
      <c r="U213" s="13">
        <v>18</v>
      </c>
      <c r="V213" s="13" t="s">
        <v>4370</v>
      </c>
      <c r="X213" s="132">
        <v>211</v>
      </c>
      <c r="Y213" s="6"/>
    </row>
    <row r="214" spans="1:25" ht="15" customHeight="1" x14ac:dyDescent="0.2">
      <c r="A214" s="12" t="s">
        <v>1670</v>
      </c>
      <c r="B214" s="13" t="s">
        <v>4978</v>
      </c>
      <c r="C214" s="74">
        <v>46848</v>
      </c>
      <c r="D214" s="13" t="s">
        <v>1533</v>
      </c>
      <c r="E214" s="6" t="s">
        <v>2675</v>
      </c>
      <c r="F214" s="15" t="s">
        <v>7120</v>
      </c>
      <c r="G214" s="6" t="s">
        <v>675</v>
      </c>
      <c r="H214" s="6" t="s">
        <v>7121</v>
      </c>
      <c r="I214" s="13" t="s">
        <v>25</v>
      </c>
      <c r="J214" s="13">
        <v>5</v>
      </c>
      <c r="K214" s="13" t="s">
        <v>6603</v>
      </c>
      <c r="L214" s="6" t="s">
        <v>7122</v>
      </c>
      <c r="M214" s="108" t="s">
        <v>7123</v>
      </c>
      <c r="N214" s="13" t="s">
        <v>2676</v>
      </c>
      <c r="O214" s="13" t="s">
        <v>11948</v>
      </c>
      <c r="P214" s="13" t="s">
        <v>68</v>
      </c>
      <c r="Q214" s="6" t="s">
        <v>7124</v>
      </c>
      <c r="R214" s="17" t="s">
        <v>7125</v>
      </c>
      <c r="S214" s="17" t="s">
        <v>2677</v>
      </c>
      <c r="T214" s="13">
        <v>30</v>
      </c>
      <c r="U214" s="13">
        <v>30</v>
      </c>
      <c r="V214" s="13" t="s">
        <v>7126</v>
      </c>
      <c r="X214" s="132">
        <v>212</v>
      </c>
      <c r="Y214" s="6"/>
    </row>
    <row r="215" spans="1:25" ht="15" customHeight="1" x14ac:dyDescent="0.25">
      <c r="A215" s="19" t="s">
        <v>1671</v>
      </c>
      <c r="B215" s="13" t="s">
        <v>4978</v>
      </c>
      <c r="C215" s="100">
        <v>47483</v>
      </c>
      <c r="D215" s="13" t="s">
        <v>1533</v>
      </c>
      <c r="E215" s="6" t="s">
        <v>2675</v>
      </c>
      <c r="F215" s="15" t="s">
        <v>10858</v>
      </c>
      <c r="G215" s="6" t="s">
        <v>675</v>
      </c>
      <c r="H215" s="6" t="s">
        <v>677</v>
      </c>
      <c r="I215" s="13" t="s">
        <v>7931</v>
      </c>
      <c r="J215" s="13">
        <v>9</v>
      </c>
      <c r="K215" s="13" t="s">
        <v>6603</v>
      </c>
      <c r="L215" s="6" t="s">
        <v>10859</v>
      </c>
      <c r="M215" s="108" t="s">
        <v>10860</v>
      </c>
      <c r="N215" s="13" t="s">
        <v>2676</v>
      </c>
      <c r="O215" s="13" t="s">
        <v>11948</v>
      </c>
      <c r="P215" s="13" t="s">
        <v>68</v>
      </c>
      <c r="Q215" s="6" t="s">
        <v>10861</v>
      </c>
      <c r="R215" s="69" t="s">
        <v>10862</v>
      </c>
      <c r="S215" s="17" t="s">
        <v>2677</v>
      </c>
      <c r="T215" s="13">
        <v>30</v>
      </c>
      <c r="U215" s="13">
        <v>34</v>
      </c>
      <c r="V215" s="13" t="s">
        <v>10863</v>
      </c>
      <c r="X215" s="132">
        <v>213</v>
      </c>
      <c r="Y215" s="6"/>
    </row>
    <row r="216" spans="1:25" ht="15" customHeight="1" x14ac:dyDescent="0.2">
      <c r="A216" s="20" t="s">
        <v>1672</v>
      </c>
      <c r="B216" s="22" t="s">
        <v>2608</v>
      </c>
      <c r="C216" s="14">
        <v>44402</v>
      </c>
      <c r="D216" s="13" t="s">
        <v>33</v>
      </c>
      <c r="E216" s="6" t="s">
        <v>679</v>
      </c>
      <c r="F216" s="15" t="s">
        <v>680</v>
      </c>
      <c r="G216" s="6" t="s">
        <v>681</v>
      </c>
      <c r="I216" s="13" t="s">
        <v>25</v>
      </c>
      <c r="J216" s="13">
        <v>3</v>
      </c>
      <c r="K216" s="13" t="s">
        <v>1714</v>
      </c>
      <c r="L216" s="6"/>
      <c r="M216" s="108"/>
      <c r="O216" s="13" t="s">
        <v>2146</v>
      </c>
      <c r="P216" s="13" t="s">
        <v>68</v>
      </c>
      <c r="Q216" s="6"/>
      <c r="R216" s="6" t="s">
        <v>654</v>
      </c>
      <c r="S216" s="17" t="s">
        <v>6641</v>
      </c>
      <c r="T216" s="13"/>
      <c r="U216" s="13"/>
      <c r="V216" s="13"/>
      <c r="X216" s="132">
        <v>214</v>
      </c>
      <c r="Y216" s="6"/>
    </row>
    <row r="217" spans="1:25" ht="15" customHeight="1" x14ac:dyDescent="0.2">
      <c r="A217" s="20" t="s">
        <v>1673</v>
      </c>
      <c r="B217" s="22" t="s">
        <v>2608</v>
      </c>
      <c r="C217" s="14">
        <v>45071</v>
      </c>
      <c r="D217" s="13" t="s">
        <v>33</v>
      </c>
      <c r="E217" s="6" t="s">
        <v>683</v>
      </c>
      <c r="G217" s="6" t="s">
        <v>684</v>
      </c>
      <c r="I217" s="13" t="s">
        <v>25</v>
      </c>
      <c r="J217" s="13">
        <v>3</v>
      </c>
      <c r="K217" s="13" t="s">
        <v>1714</v>
      </c>
      <c r="L217" s="6" t="s">
        <v>2373</v>
      </c>
      <c r="M217" s="108" t="s">
        <v>2374</v>
      </c>
      <c r="N217" s="13" t="s">
        <v>2375</v>
      </c>
      <c r="O217" s="13" t="s">
        <v>2085</v>
      </c>
      <c r="P217" s="13" t="s">
        <v>68</v>
      </c>
      <c r="Q217" s="6" t="s">
        <v>2376</v>
      </c>
      <c r="R217" s="6" t="s">
        <v>654</v>
      </c>
      <c r="S217" s="17" t="s">
        <v>6641</v>
      </c>
      <c r="T217" s="13">
        <v>32</v>
      </c>
      <c r="U217" s="13">
        <v>15</v>
      </c>
      <c r="V217" s="13">
        <v>15</v>
      </c>
      <c r="X217" s="132">
        <v>215</v>
      </c>
      <c r="Y217" s="6"/>
    </row>
    <row r="218" spans="1:25" ht="15" customHeight="1" x14ac:dyDescent="0.25">
      <c r="A218" s="12" t="s">
        <v>1674</v>
      </c>
      <c r="B218" s="13" t="s">
        <v>4978</v>
      </c>
      <c r="C218" s="100">
        <v>47679</v>
      </c>
      <c r="D218" s="13" t="s">
        <v>33</v>
      </c>
      <c r="E218" s="6" t="s">
        <v>12269</v>
      </c>
      <c r="F218" s="15" t="s">
        <v>3940</v>
      </c>
      <c r="G218" s="6" t="s">
        <v>687</v>
      </c>
      <c r="H218" s="6" t="s">
        <v>687</v>
      </c>
      <c r="I218" s="13" t="s">
        <v>25</v>
      </c>
      <c r="J218" s="13">
        <v>3</v>
      </c>
      <c r="K218" s="13" t="s">
        <v>1714</v>
      </c>
      <c r="L218" s="6" t="s">
        <v>4026</v>
      </c>
      <c r="M218" s="108" t="s">
        <v>4027</v>
      </c>
      <c r="N218" s="13" t="s">
        <v>2450</v>
      </c>
      <c r="O218" s="13" t="s">
        <v>128</v>
      </c>
      <c r="P218" s="13" t="s">
        <v>16</v>
      </c>
      <c r="Q218" s="6" t="s">
        <v>12270</v>
      </c>
      <c r="R218" s="69" t="s">
        <v>12271</v>
      </c>
      <c r="S218" s="17"/>
      <c r="T218" s="13">
        <v>30</v>
      </c>
      <c r="U218" s="13">
        <v>29</v>
      </c>
      <c r="V218" s="13" t="s">
        <v>4028</v>
      </c>
      <c r="X218" s="132">
        <v>216</v>
      </c>
      <c r="Y218" s="6"/>
    </row>
    <row r="219" spans="1:25" ht="15" customHeight="1" x14ac:dyDescent="0.2">
      <c r="A219" s="20" t="s">
        <v>1675</v>
      </c>
      <c r="B219" s="22" t="s">
        <v>2608</v>
      </c>
      <c r="C219" s="14">
        <v>44402</v>
      </c>
      <c r="D219" s="13" t="s">
        <v>33</v>
      </c>
      <c r="E219" s="6" t="s">
        <v>11607</v>
      </c>
      <c r="F219" s="15" t="s">
        <v>552</v>
      </c>
      <c r="G219" s="6" t="s">
        <v>690</v>
      </c>
      <c r="I219" s="13" t="s">
        <v>25</v>
      </c>
      <c r="J219" s="13">
        <v>3</v>
      </c>
      <c r="K219" s="13" t="s">
        <v>1714</v>
      </c>
      <c r="L219" s="6" t="s">
        <v>7759</v>
      </c>
      <c r="M219" s="108" t="s">
        <v>7756</v>
      </c>
      <c r="N219" s="13" t="s">
        <v>7757</v>
      </c>
      <c r="O219" s="13" t="s">
        <v>15</v>
      </c>
      <c r="P219" s="13" t="s">
        <v>16</v>
      </c>
      <c r="Q219" s="6" t="s">
        <v>7758</v>
      </c>
      <c r="R219" s="6" t="s">
        <v>654</v>
      </c>
      <c r="S219" s="17" t="s">
        <v>6641</v>
      </c>
      <c r="T219" s="13"/>
      <c r="U219" s="13"/>
      <c r="V219" s="13"/>
      <c r="X219" s="132">
        <v>217</v>
      </c>
      <c r="Y219" s="6"/>
    </row>
    <row r="220" spans="1:25" ht="15" customHeight="1" x14ac:dyDescent="0.25">
      <c r="A220" s="12" t="s">
        <v>11606</v>
      </c>
      <c r="B220" s="13" t="s">
        <v>4978</v>
      </c>
      <c r="C220" s="74">
        <v>47615</v>
      </c>
      <c r="D220" s="13" t="s">
        <v>33</v>
      </c>
      <c r="E220" s="6" t="s">
        <v>11607</v>
      </c>
      <c r="F220" s="15" t="s">
        <v>554</v>
      </c>
      <c r="G220" s="6" t="s">
        <v>691</v>
      </c>
      <c r="H220" s="6" t="s">
        <v>691</v>
      </c>
      <c r="I220" s="13" t="s">
        <v>25</v>
      </c>
      <c r="J220" s="13">
        <v>3</v>
      </c>
      <c r="K220" s="13" t="s">
        <v>1714</v>
      </c>
      <c r="L220" s="98" t="s">
        <v>11608</v>
      </c>
      <c r="M220" s="108" t="s">
        <v>4427</v>
      </c>
      <c r="N220" s="133" t="s">
        <v>3338</v>
      </c>
      <c r="O220" s="13" t="s">
        <v>1055</v>
      </c>
      <c r="P220" s="13" t="s">
        <v>16</v>
      </c>
      <c r="Q220" s="6" t="s">
        <v>11609</v>
      </c>
      <c r="R220" s="69" t="s">
        <v>11610</v>
      </c>
      <c r="S220" s="17"/>
      <c r="T220" s="13">
        <v>26</v>
      </c>
      <c r="U220" s="13">
        <v>23</v>
      </c>
      <c r="V220" s="13" t="s">
        <v>11611</v>
      </c>
      <c r="X220" s="132">
        <v>218</v>
      </c>
      <c r="Y220" s="6"/>
    </row>
    <row r="221" spans="1:25" ht="15" customHeight="1" x14ac:dyDescent="0.2">
      <c r="A221" s="12" t="s">
        <v>1676</v>
      </c>
      <c r="B221" s="13" t="s">
        <v>4978</v>
      </c>
      <c r="C221" s="74">
        <v>46596</v>
      </c>
      <c r="D221" s="13" t="s">
        <v>33</v>
      </c>
      <c r="E221" s="6" t="s">
        <v>5736</v>
      </c>
      <c r="F221" s="15" t="s">
        <v>694</v>
      </c>
      <c r="G221" s="6" t="s">
        <v>5734</v>
      </c>
      <c r="H221" s="6" t="s">
        <v>5734</v>
      </c>
      <c r="I221" s="13" t="s">
        <v>25</v>
      </c>
      <c r="J221" s="13">
        <v>3</v>
      </c>
      <c r="K221" s="13" t="s">
        <v>1714</v>
      </c>
      <c r="L221" s="6" t="s">
        <v>5737</v>
      </c>
      <c r="M221" s="108" t="s">
        <v>5738</v>
      </c>
      <c r="N221" s="13" t="s">
        <v>5739</v>
      </c>
      <c r="O221" s="13" t="s">
        <v>293</v>
      </c>
      <c r="P221" s="13" t="s">
        <v>16</v>
      </c>
      <c r="Q221" s="6" t="s">
        <v>5740</v>
      </c>
      <c r="R221" s="17" t="s">
        <v>5741</v>
      </c>
      <c r="S221" s="17" t="s">
        <v>6639</v>
      </c>
      <c r="T221" s="13">
        <v>21</v>
      </c>
      <c r="U221" s="13">
        <v>21</v>
      </c>
      <c r="V221" s="13" t="s">
        <v>5735</v>
      </c>
      <c r="X221" s="132">
        <v>219</v>
      </c>
      <c r="Y221" s="6"/>
    </row>
    <row r="222" spans="1:25" ht="15" customHeight="1" x14ac:dyDescent="0.2">
      <c r="A222" s="20" t="s">
        <v>2691</v>
      </c>
      <c r="B222" s="22" t="s">
        <v>2608</v>
      </c>
      <c r="C222" s="14">
        <v>45970</v>
      </c>
      <c r="D222" s="13" t="s">
        <v>1533</v>
      </c>
      <c r="E222" s="6" t="s">
        <v>697</v>
      </c>
      <c r="F222" s="15" t="s">
        <v>698</v>
      </c>
      <c r="G222" s="6" t="s">
        <v>5066</v>
      </c>
      <c r="H222" s="6" t="s">
        <v>699</v>
      </c>
      <c r="I222" s="13" t="s">
        <v>25</v>
      </c>
      <c r="J222" s="13">
        <v>5</v>
      </c>
      <c r="K222" s="13" t="s">
        <v>6603</v>
      </c>
      <c r="L222" s="6" t="s">
        <v>2686</v>
      </c>
      <c r="M222" s="108" t="s">
        <v>2688</v>
      </c>
      <c r="N222" s="13" t="s">
        <v>2687</v>
      </c>
      <c r="O222" s="13" t="s">
        <v>1889</v>
      </c>
      <c r="P222" s="13" t="s">
        <v>68</v>
      </c>
      <c r="Q222" s="6" t="s">
        <v>2689</v>
      </c>
      <c r="R222" s="6" t="s">
        <v>700</v>
      </c>
      <c r="S222" s="17" t="s">
        <v>2690</v>
      </c>
      <c r="T222" s="13">
        <v>30</v>
      </c>
      <c r="U222" s="13">
        <v>30</v>
      </c>
      <c r="V222" s="13"/>
      <c r="X222" s="132">
        <v>220</v>
      </c>
      <c r="Y222" s="6"/>
    </row>
    <row r="223" spans="1:25" ht="15" customHeight="1" x14ac:dyDescent="0.2">
      <c r="A223" s="12" t="s">
        <v>2692</v>
      </c>
      <c r="B223" s="13" t="s">
        <v>4978</v>
      </c>
      <c r="C223" s="100">
        <v>47406</v>
      </c>
      <c r="D223" s="13" t="s">
        <v>1533</v>
      </c>
      <c r="E223" s="6" t="s">
        <v>697</v>
      </c>
      <c r="F223" s="15" t="s">
        <v>10737</v>
      </c>
      <c r="G223" s="6" t="s">
        <v>5066</v>
      </c>
      <c r="H223" s="6" t="s">
        <v>5066</v>
      </c>
      <c r="I223" s="13" t="s">
        <v>105</v>
      </c>
      <c r="J223" s="13">
        <v>10</v>
      </c>
      <c r="K223" s="13" t="s">
        <v>6603</v>
      </c>
      <c r="L223" s="6" t="s">
        <v>10738</v>
      </c>
      <c r="M223" s="108" t="s">
        <v>10739</v>
      </c>
      <c r="N223" s="13" t="s">
        <v>10740</v>
      </c>
      <c r="O223" s="13" t="s">
        <v>53</v>
      </c>
      <c r="P223" s="13" t="s">
        <v>54</v>
      </c>
      <c r="Q223" s="6" t="s">
        <v>10741</v>
      </c>
      <c r="R223" s="17" t="s">
        <v>2694</v>
      </c>
      <c r="S223" s="17" t="s">
        <v>2690</v>
      </c>
      <c r="T223" s="18">
        <v>250</v>
      </c>
      <c r="U223" s="18">
        <v>250</v>
      </c>
      <c r="V223" s="13" t="s">
        <v>10742</v>
      </c>
      <c r="X223" s="132">
        <v>221</v>
      </c>
      <c r="Y223" s="6"/>
    </row>
    <row r="224" spans="1:25" ht="15" customHeight="1" x14ac:dyDescent="0.2">
      <c r="A224" s="12" t="s">
        <v>5069</v>
      </c>
      <c r="B224" s="13" t="s">
        <v>4978</v>
      </c>
      <c r="C224" s="74">
        <v>46477</v>
      </c>
      <c r="D224" s="13" t="s">
        <v>1533</v>
      </c>
      <c r="E224" s="6" t="s">
        <v>697</v>
      </c>
      <c r="F224" s="15" t="s">
        <v>11727</v>
      </c>
      <c r="G224" s="6" t="s">
        <v>5066</v>
      </c>
      <c r="H224" s="6" t="s">
        <v>5066</v>
      </c>
      <c r="I224" s="13" t="s">
        <v>105</v>
      </c>
      <c r="J224" s="13">
        <v>10</v>
      </c>
      <c r="K224" s="13" t="s">
        <v>6603</v>
      </c>
      <c r="L224" s="6" t="s">
        <v>5098</v>
      </c>
      <c r="M224" s="108" t="s">
        <v>5094</v>
      </c>
      <c r="N224" s="13" t="s">
        <v>5095</v>
      </c>
      <c r="O224" s="13" t="s">
        <v>53</v>
      </c>
      <c r="P224" s="13" t="s">
        <v>54</v>
      </c>
      <c r="Q224" s="6" t="s">
        <v>5096</v>
      </c>
      <c r="R224" s="17" t="s">
        <v>2694</v>
      </c>
      <c r="S224" s="17" t="s">
        <v>2690</v>
      </c>
      <c r="T224" s="18">
        <v>172</v>
      </c>
      <c r="U224" s="18">
        <v>172</v>
      </c>
      <c r="V224" s="13" t="s">
        <v>5097</v>
      </c>
      <c r="X224" s="132">
        <v>222</v>
      </c>
      <c r="Y224" s="6"/>
    </row>
    <row r="225" spans="1:25" ht="15" customHeight="1" x14ac:dyDescent="0.25">
      <c r="A225" s="12" t="s">
        <v>9620</v>
      </c>
      <c r="B225" s="13" t="s">
        <v>4978</v>
      </c>
      <c r="C225" s="74">
        <v>47209</v>
      </c>
      <c r="D225" s="13" t="s">
        <v>1533</v>
      </c>
      <c r="E225" s="6" t="s">
        <v>697</v>
      </c>
      <c r="F225" s="15" t="s">
        <v>9615</v>
      </c>
      <c r="G225" s="6" t="s">
        <v>5066</v>
      </c>
      <c r="H225" s="6" t="s">
        <v>5066</v>
      </c>
      <c r="I225" s="13" t="s">
        <v>105</v>
      </c>
      <c r="J225" s="13">
        <v>10</v>
      </c>
      <c r="K225" s="13" t="s">
        <v>6603</v>
      </c>
      <c r="L225" s="6" t="s">
        <v>9616</v>
      </c>
      <c r="M225" s="108" t="s">
        <v>9617</v>
      </c>
      <c r="N225" s="13" t="s">
        <v>2145</v>
      </c>
      <c r="O225" s="13" t="s">
        <v>2146</v>
      </c>
      <c r="P225" s="13" t="s">
        <v>68</v>
      </c>
      <c r="Q225" s="6" t="s">
        <v>9618</v>
      </c>
      <c r="R225" s="69" t="s">
        <v>2694</v>
      </c>
      <c r="S225" s="69" t="s">
        <v>2690</v>
      </c>
      <c r="T225" s="18">
        <v>62</v>
      </c>
      <c r="U225" s="18">
        <v>62</v>
      </c>
      <c r="V225" s="13" t="s">
        <v>9619</v>
      </c>
      <c r="X225" s="132">
        <v>223</v>
      </c>
      <c r="Y225" s="6"/>
    </row>
    <row r="226" spans="1:25" ht="15" customHeight="1" x14ac:dyDescent="0.25">
      <c r="A226" s="19" t="s">
        <v>10382</v>
      </c>
      <c r="B226" s="13" t="s">
        <v>4978</v>
      </c>
      <c r="C226" s="74">
        <v>47331</v>
      </c>
      <c r="D226" s="13" t="s">
        <v>1533</v>
      </c>
      <c r="E226" s="6" t="s">
        <v>697</v>
      </c>
      <c r="F226" s="15" t="s">
        <v>10385</v>
      </c>
      <c r="G226" s="6" t="s">
        <v>5066</v>
      </c>
      <c r="H226" s="6" t="s">
        <v>5066</v>
      </c>
      <c r="I226" s="13" t="s">
        <v>105</v>
      </c>
      <c r="J226" s="13">
        <v>10</v>
      </c>
      <c r="K226" s="13" t="s">
        <v>6603</v>
      </c>
      <c r="L226" s="6" t="s">
        <v>10401</v>
      </c>
      <c r="M226" s="108" t="s">
        <v>10403</v>
      </c>
      <c r="N226" s="13" t="s">
        <v>10383</v>
      </c>
      <c r="O226" s="13" t="s">
        <v>53</v>
      </c>
      <c r="P226" s="13" t="s">
        <v>54</v>
      </c>
      <c r="Q226" s="6" t="s">
        <v>10402</v>
      </c>
      <c r="R226" s="69" t="s">
        <v>2694</v>
      </c>
      <c r="S226" s="69" t="s">
        <v>2690</v>
      </c>
      <c r="T226" s="18">
        <v>185</v>
      </c>
      <c r="U226" s="18">
        <v>185</v>
      </c>
      <c r="V226" s="13" t="s">
        <v>10384</v>
      </c>
      <c r="X226" s="132">
        <v>224</v>
      </c>
      <c r="Y226" s="6"/>
    </row>
    <row r="227" spans="1:25" ht="15" customHeight="1" x14ac:dyDescent="0.25">
      <c r="A227" s="12" t="s">
        <v>1821</v>
      </c>
      <c r="B227" s="13" t="s">
        <v>4978</v>
      </c>
      <c r="C227" s="74">
        <v>47120</v>
      </c>
      <c r="D227" s="13" t="s">
        <v>1533</v>
      </c>
      <c r="E227" s="6" t="s">
        <v>702</v>
      </c>
      <c r="F227" s="15" t="s">
        <v>8912</v>
      </c>
      <c r="G227" s="6" t="s">
        <v>703</v>
      </c>
      <c r="H227" s="6" t="s">
        <v>703</v>
      </c>
      <c r="I227" s="13" t="s">
        <v>25</v>
      </c>
      <c r="J227" s="13">
        <v>5</v>
      </c>
      <c r="K227" s="13" t="s">
        <v>6603</v>
      </c>
      <c r="L227" s="6" t="s">
        <v>8874</v>
      </c>
      <c r="M227" s="108" t="s">
        <v>8875</v>
      </c>
      <c r="N227" s="13" t="s">
        <v>8876</v>
      </c>
      <c r="O227" s="13" t="s">
        <v>704</v>
      </c>
      <c r="P227" s="13" t="s">
        <v>16</v>
      </c>
      <c r="Q227" s="6" t="s">
        <v>8877</v>
      </c>
      <c r="R227" s="69" t="s">
        <v>8516</v>
      </c>
      <c r="S227" s="17" t="s">
        <v>8995</v>
      </c>
      <c r="T227" s="13">
        <v>30</v>
      </c>
      <c r="U227" s="13">
        <v>30</v>
      </c>
      <c r="V227" s="13" t="s">
        <v>8878</v>
      </c>
      <c r="X227" s="132">
        <v>225</v>
      </c>
      <c r="Y227" s="6"/>
    </row>
    <row r="228" spans="1:25" ht="15" customHeight="1" x14ac:dyDescent="0.25">
      <c r="A228" s="12" t="s">
        <v>1822</v>
      </c>
      <c r="B228" s="13" t="s">
        <v>4978</v>
      </c>
      <c r="C228" s="74">
        <v>47090</v>
      </c>
      <c r="D228" s="13" t="s">
        <v>1533</v>
      </c>
      <c r="E228" s="6" t="s">
        <v>702</v>
      </c>
      <c r="F228" s="15" t="s">
        <v>8514</v>
      </c>
      <c r="G228" s="6" t="s">
        <v>703</v>
      </c>
      <c r="H228" s="6" t="s">
        <v>703</v>
      </c>
      <c r="I228" s="13" t="s">
        <v>25</v>
      </c>
      <c r="J228" s="13">
        <v>5</v>
      </c>
      <c r="K228" s="13" t="s">
        <v>6603</v>
      </c>
      <c r="L228" s="6" t="s">
        <v>8515</v>
      </c>
      <c r="M228" s="108" t="s">
        <v>5039</v>
      </c>
      <c r="N228" s="13" t="s">
        <v>293</v>
      </c>
      <c r="O228" s="13" t="s">
        <v>293</v>
      </c>
      <c r="P228" s="13" t="s">
        <v>16</v>
      </c>
      <c r="Q228" s="6" t="s">
        <v>5566</v>
      </c>
      <c r="R228" s="69" t="s">
        <v>8516</v>
      </c>
      <c r="S228" s="17" t="s">
        <v>8995</v>
      </c>
      <c r="T228" s="13">
        <v>60</v>
      </c>
      <c r="U228" s="13">
        <v>60</v>
      </c>
      <c r="V228" s="13" t="s">
        <v>8517</v>
      </c>
      <c r="X228" s="132">
        <v>226</v>
      </c>
      <c r="Y228" s="6"/>
    </row>
    <row r="229" spans="1:25" ht="15" customHeight="1" x14ac:dyDescent="0.25">
      <c r="A229" s="12" t="s">
        <v>1823</v>
      </c>
      <c r="B229" s="13" t="s">
        <v>4978</v>
      </c>
      <c r="C229" s="74">
        <v>47090</v>
      </c>
      <c r="D229" s="13" t="s">
        <v>1533</v>
      </c>
      <c r="E229" s="6" t="s">
        <v>702</v>
      </c>
      <c r="F229" s="15" t="s">
        <v>8477</v>
      </c>
      <c r="G229" s="6" t="s">
        <v>703</v>
      </c>
      <c r="H229" t="s">
        <v>8476</v>
      </c>
      <c r="I229" s="13" t="s">
        <v>13</v>
      </c>
      <c r="J229" s="13">
        <v>7</v>
      </c>
      <c r="K229" s="13" t="s">
        <v>6603</v>
      </c>
      <c r="L229" s="6" t="s">
        <v>8518</v>
      </c>
      <c r="M229" s="108" t="s">
        <v>5565</v>
      </c>
      <c r="N229" s="13" t="s">
        <v>8520</v>
      </c>
      <c r="O229" s="13" t="s">
        <v>293</v>
      </c>
      <c r="P229" s="13" t="s">
        <v>16</v>
      </c>
      <c r="Q229" s="6" t="s">
        <v>5566</v>
      </c>
      <c r="R229" s="69" t="s">
        <v>8516</v>
      </c>
      <c r="S229" s="17" t="s">
        <v>8995</v>
      </c>
      <c r="T229" s="18">
        <v>200</v>
      </c>
      <c r="U229" s="13">
        <v>200</v>
      </c>
      <c r="V229" s="13" t="s">
        <v>8519</v>
      </c>
      <c r="X229" s="132">
        <v>227</v>
      </c>
      <c r="Y229" s="6"/>
    </row>
    <row r="230" spans="1:25" ht="15" customHeight="1" x14ac:dyDescent="0.2">
      <c r="A230" s="12" t="s">
        <v>5584</v>
      </c>
      <c r="B230" s="13" t="s">
        <v>4978</v>
      </c>
      <c r="C230" s="74">
        <v>46564</v>
      </c>
      <c r="D230" s="13" t="s">
        <v>1533</v>
      </c>
      <c r="E230" s="6" t="s">
        <v>702</v>
      </c>
      <c r="F230" s="15" t="s">
        <v>5594</v>
      </c>
      <c r="G230" s="6" t="s">
        <v>703</v>
      </c>
      <c r="H230" s="6" t="s">
        <v>703</v>
      </c>
      <c r="I230" s="13" t="s">
        <v>25</v>
      </c>
      <c r="J230" s="13">
        <v>5</v>
      </c>
      <c r="K230" s="13" t="s">
        <v>6603</v>
      </c>
      <c r="L230" s="6" t="s">
        <v>5564</v>
      </c>
      <c r="M230" s="108" t="s">
        <v>5565</v>
      </c>
      <c r="N230" s="13" t="s">
        <v>8520</v>
      </c>
      <c r="O230" s="13" t="s">
        <v>293</v>
      </c>
      <c r="P230" s="13" t="s">
        <v>4</v>
      </c>
      <c r="Q230" s="6" t="s">
        <v>5566</v>
      </c>
      <c r="R230" s="17" t="s">
        <v>5567</v>
      </c>
      <c r="S230" s="17" t="s">
        <v>8995</v>
      </c>
      <c r="T230" s="18">
        <v>30</v>
      </c>
      <c r="U230" s="18">
        <v>30</v>
      </c>
      <c r="V230" s="13" t="s">
        <v>5568</v>
      </c>
      <c r="X230" s="132">
        <v>228</v>
      </c>
      <c r="Y230" s="6"/>
    </row>
    <row r="231" spans="1:25" ht="15" customHeight="1" x14ac:dyDescent="0.2">
      <c r="A231" s="12" t="s">
        <v>6988</v>
      </c>
      <c r="B231" s="13" t="s">
        <v>4978</v>
      </c>
      <c r="C231" s="74">
        <v>46826</v>
      </c>
      <c r="D231" s="13" t="s">
        <v>1533</v>
      </c>
      <c r="E231" s="6" t="s">
        <v>702</v>
      </c>
      <c r="F231" s="15" t="s">
        <v>7397</v>
      </c>
      <c r="G231" s="6" t="s">
        <v>703</v>
      </c>
      <c r="H231" s="6" t="s">
        <v>703</v>
      </c>
      <c r="I231" s="13" t="s">
        <v>25</v>
      </c>
      <c r="J231" s="13">
        <v>5</v>
      </c>
      <c r="K231" s="13" t="s">
        <v>6603</v>
      </c>
      <c r="L231" s="6" t="s">
        <v>6974</v>
      </c>
      <c r="M231" s="108" t="s">
        <v>6977</v>
      </c>
      <c r="N231" s="13" t="s">
        <v>445</v>
      </c>
      <c r="O231" s="13" t="s">
        <v>445</v>
      </c>
      <c r="P231" s="13" t="s">
        <v>16</v>
      </c>
      <c r="Q231" s="6" t="s">
        <v>6975</v>
      </c>
      <c r="R231" s="17" t="s">
        <v>5567</v>
      </c>
      <c r="S231" s="30" t="s">
        <v>8995</v>
      </c>
      <c r="T231" s="18">
        <v>30</v>
      </c>
      <c r="U231" s="18">
        <v>30</v>
      </c>
      <c r="V231" s="13" t="s">
        <v>6976</v>
      </c>
      <c r="X231" s="132">
        <v>229</v>
      </c>
      <c r="Y231" s="6"/>
    </row>
    <row r="232" spans="1:25" ht="15" customHeight="1" x14ac:dyDescent="0.25">
      <c r="A232" s="12" t="s">
        <v>10743</v>
      </c>
      <c r="B232" s="13" t="s">
        <v>4978</v>
      </c>
      <c r="C232" s="102">
        <v>47406</v>
      </c>
      <c r="D232" s="79" t="s">
        <v>1533</v>
      </c>
      <c r="E232" s="81" t="s">
        <v>702</v>
      </c>
      <c r="F232" s="82" t="s">
        <v>10744</v>
      </c>
      <c r="G232" s="81" t="s">
        <v>703</v>
      </c>
      <c r="H232" s="81" t="s">
        <v>703</v>
      </c>
      <c r="I232" s="79" t="s">
        <v>13</v>
      </c>
      <c r="J232" s="79">
        <v>7</v>
      </c>
      <c r="K232" s="79" t="s">
        <v>6603</v>
      </c>
      <c r="L232" s="81" t="s">
        <v>10745</v>
      </c>
      <c r="M232" s="109" t="s">
        <v>10746</v>
      </c>
      <c r="N232" s="79" t="s">
        <v>5040</v>
      </c>
      <c r="O232" s="13" t="s">
        <v>293</v>
      </c>
      <c r="P232" s="13" t="s">
        <v>16</v>
      </c>
      <c r="Q232" s="81" t="s">
        <v>10747</v>
      </c>
      <c r="R232" s="69" t="s">
        <v>10748</v>
      </c>
      <c r="S232" s="84"/>
      <c r="T232" s="85">
        <v>200</v>
      </c>
      <c r="U232" s="85">
        <v>200</v>
      </c>
      <c r="V232" s="13" t="s">
        <v>8519</v>
      </c>
      <c r="W232" s="81"/>
      <c r="X232" s="132">
        <v>230</v>
      </c>
      <c r="Y232" s="6"/>
    </row>
    <row r="233" spans="1:25" ht="15" customHeight="1" x14ac:dyDescent="0.25">
      <c r="A233" s="12" t="s">
        <v>11562</v>
      </c>
      <c r="B233" s="13" t="s">
        <v>4978</v>
      </c>
      <c r="C233" s="103">
        <v>47615</v>
      </c>
      <c r="D233" s="92" t="s">
        <v>1533</v>
      </c>
      <c r="E233" s="94" t="s">
        <v>702</v>
      </c>
      <c r="F233" s="95" t="s">
        <v>10921</v>
      </c>
      <c r="G233" s="94" t="s">
        <v>703</v>
      </c>
      <c r="H233" s="94" t="s">
        <v>703</v>
      </c>
      <c r="I233" s="92" t="s">
        <v>13</v>
      </c>
      <c r="J233" s="92">
        <v>7</v>
      </c>
      <c r="K233" s="92" t="s">
        <v>6603</v>
      </c>
      <c r="L233" s="94" t="s">
        <v>11563</v>
      </c>
      <c r="M233" s="113" t="s">
        <v>11564</v>
      </c>
      <c r="N233" s="92" t="s">
        <v>11565</v>
      </c>
      <c r="O233" s="13" t="s">
        <v>704</v>
      </c>
      <c r="P233" s="13" t="s">
        <v>16</v>
      </c>
      <c r="Q233" s="94" t="s">
        <v>10747</v>
      </c>
      <c r="R233" s="69" t="s">
        <v>10748</v>
      </c>
      <c r="S233" s="96"/>
      <c r="T233" s="97">
        <v>100</v>
      </c>
      <c r="U233" s="97">
        <v>199</v>
      </c>
      <c r="V233" s="92" t="s">
        <v>8519</v>
      </c>
      <c r="W233" s="94"/>
      <c r="X233" s="132">
        <v>231</v>
      </c>
      <c r="Y233" s="6"/>
    </row>
    <row r="234" spans="1:25" ht="15" customHeight="1" x14ac:dyDescent="0.2">
      <c r="A234" s="12" t="s">
        <v>1677</v>
      </c>
      <c r="B234" s="13" t="s">
        <v>4978</v>
      </c>
      <c r="C234" s="74">
        <v>46917</v>
      </c>
      <c r="D234" s="13" t="s">
        <v>33</v>
      </c>
      <c r="E234" s="6" t="s">
        <v>3476</v>
      </c>
      <c r="F234" s="15" t="s">
        <v>7408</v>
      </c>
      <c r="G234" s="6" t="s">
        <v>707</v>
      </c>
      <c r="H234" s="6" t="s">
        <v>707</v>
      </c>
      <c r="I234" s="13" t="s">
        <v>25</v>
      </c>
      <c r="J234" s="13">
        <v>3</v>
      </c>
      <c r="K234" s="13" t="s">
        <v>1714</v>
      </c>
      <c r="L234" s="6" t="s">
        <v>7409</v>
      </c>
      <c r="M234" s="108" t="s">
        <v>6939</v>
      </c>
      <c r="N234" s="13" t="s">
        <v>4175</v>
      </c>
      <c r="O234" s="13" t="s">
        <v>2146</v>
      </c>
      <c r="P234" s="13" t="s">
        <v>68</v>
      </c>
      <c r="Q234" s="6" t="s">
        <v>3478</v>
      </c>
      <c r="R234" s="6" t="s">
        <v>708</v>
      </c>
      <c r="S234" s="17" t="s">
        <v>8995</v>
      </c>
      <c r="T234" s="13">
        <v>28</v>
      </c>
      <c r="U234" s="13">
        <v>20</v>
      </c>
      <c r="V234" s="13" t="s">
        <v>7410</v>
      </c>
      <c r="X234" s="132">
        <v>232</v>
      </c>
      <c r="Y234" s="6"/>
    </row>
    <row r="235" spans="1:25" ht="15" customHeight="1" x14ac:dyDescent="0.2">
      <c r="A235" s="12" t="s">
        <v>1678</v>
      </c>
      <c r="B235" s="13" t="s">
        <v>4978</v>
      </c>
      <c r="C235" s="74">
        <v>46320</v>
      </c>
      <c r="D235" s="13" t="s">
        <v>33</v>
      </c>
      <c r="E235" s="6" t="s">
        <v>4404</v>
      </c>
      <c r="G235" s="6" t="s">
        <v>711</v>
      </c>
      <c r="I235" s="13" t="s">
        <v>25</v>
      </c>
      <c r="J235" s="13">
        <v>3</v>
      </c>
      <c r="K235" s="13" t="s">
        <v>1714</v>
      </c>
      <c r="L235" s="6" t="s">
        <v>4405</v>
      </c>
      <c r="M235" s="108" t="s">
        <v>4406</v>
      </c>
      <c r="N235" s="13" t="s">
        <v>4407</v>
      </c>
      <c r="O235" s="13" t="s">
        <v>11948</v>
      </c>
      <c r="P235" s="13" t="s">
        <v>68</v>
      </c>
      <c r="Q235" s="6" t="s">
        <v>4408</v>
      </c>
      <c r="R235" s="6" t="s">
        <v>712</v>
      </c>
      <c r="S235" s="17" t="s">
        <v>6639</v>
      </c>
      <c r="T235" s="13">
        <v>19</v>
      </c>
      <c r="U235" s="13">
        <v>14</v>
      </c>
      <c r="V235" s="13" t="s">
        <v>4409</v>
      </c>
      <c r="X235" s="132">
        <v>233</v>
      </c>
      <c r="Y235" s="6"/>
    </row>
    <row r="236" spans="1:25" ht="15" customHeight="1" x14ac:dyDescent="0.2">
      <c r="A236" s="12" t="s">
        <v>1679</v>
      </c>
      <c r="B236" s="13" t="s">
        <v>4978</v>
      </c>
      <c r="C236" s="74">
        <v>46372</v>
      </c>
      <c r="D236" s="13" t="s">
        <v>33</v>
      </c>
      <c r="E236" s="6" t="s">
        <v>4608</v>
      </c>
      <c r="F236" s="15" t="s">
        <v>11728</v>
      </c>
      <c r="G236" s="6" t="s">
        <v>715</v>
      </c>
      <c r="I236" s="13" t="s">
        <v>25</v>
      </c>
      <c r="J236" s="13">
        <v>3</v>
      </c>
      <c r="K236" s="13" t="s">
        <v>1714</v>
      </c>
      <c r="L236" s="6" t="s">
        <v>8452</v>
      </c>
      <c r="M236" s="108" t="s">
        <v>8454</v>
      </c>
      <c r="N236" s="13" t="s">
        <v>8453</v>
      </c>
      <c r="O236" s="13" t="s">
        <v>1055</v>
      </c>
      <c r="P236" s="13" t="s">
        <v>16</v>
      </c>
      <c r="Q236" s="6" t="s">
        <v>1824</v>
      </c>
      <c r="R236" s="6" t="s">
        <v>1825</v>
      </c>
      <c r="S236" s="17" t="s">
        <v>6627</v>
      </c>
      <c r="T236" s="13">
        <v>28</v>
      </c>
      <c r="U236" s="13">
        <v>23</v>
      </c>
      <c r="V236" s="13" t="s">
        <v>4609</v>
      </c>
      <c r="X236" s="132">
        <v>234</v>
      </c>
      <c r="Y236" s="6"/>
    </row>
    <row r="237" spans="1:25" ht="15" customHeight="1" x14ac:dyDescent="0.2">
      <c r="A237" s="12" t="s">
        <v>1680</v>
      </c>
      <c r="B237" s="13" t="s">
        <v>4978</v>
      </c>
      <c r="C237" s="74">
        <v>46414</v>
      </c>
      <c r="D237" s="13" t="s">
        <v>33</v>
      </c>
      <c r="E237" s="6" t="s">
        <v>11673</v>
      </c>
      <c r="F237" s="15" t="s">
        <v>11729</v>
      </c>
      <c r="G237" s="6" t="s">
        <v>4860</v>
      </c>
      <c r="H237" s="6" t="s">
        <v>4860</v>
      </c>
      <c r="I237" s="13" t="s">
        <v>25</v>
      </c>
      <c r="J237" s="13">
        <v>3</v>
      </c>
      <c r="K237" s="13" t="s">
        <v>1714</v>
      </c>
      <c r="L237" s="6" t="s">
        <v>4861</v>
      </c>
      <c r="M237" s="108" t="s">
        <v>4862</v>
      </c>
      <c r="N237" s="13" t="s">
        <v>2152</v>
      </c>
      <c r="O237" s="13" t="s">
        <v>1847</v>
      </c>
      <c r="P237" s="13" t="s">
        <v>68</v>
      </c>
      <c r="Q237" s="6" t="s">
        <v>4863</v>
      </c>
      <c r="R237" s="17" t="s">
        <v>4864</v>
      </c>
      <c r="S237" s="6" t="s">
        <v>716</v>
      </c>
      <c r="T237" s="13">
        <v>22</v>
      </c>
      <c r="U237" s="13">
        <v>20</v>
      </c>
      <c r="V237" s="13" t="s">
        <v>4865</v>
      </c>
      <c r="X237" s="132">
        <v>235</v>
      </c>
      <c r="Y237" s="6"/>
    </row>
    <row r="238" spans="1:25" ht="15" customHeight="1" x14ac:dyDescent="0.2">
      <c r="A238" s="20" t="s">
        <v>1681</v>
      </c>
      <c r="B238" s="22" t="s">
        <v>2608</v>
      </c>
      <c r="C238" s="14">
        <v>44451</v>
      </c>
      <c r="D238" s="13" t="s">
        <v>33</v>
      </c>
      <c r="E238" s="6" t="s">
        <v>721</v>
      </c>
      <c r="F238" s="15" t="s">
        <v>722</v>
      </c>
      <c r="G238" s="6" t="s">
        <v>723</v>
      </c>
      <c r="I238" s="13" t="s">
        <v>25</v>
      </c>
      <c r="J238" s="13">
        <v>3</v>
      </c>
      <c r="K238" s="13" t="s">
        <v>1714</v>
      </c>
      <c r="L238" s="6"/>
      <c r="M238" s="108"/>
      <c r="O238" s="13" t="s">
        <v>172</v>
      </c>
      <c r="P238" s="13" t="s">
        <v>9</v>
      </c>
      <c r="Q238" s="6"/>
      <c r="R238" s="6" t="s">
        <v>724</v>
      </c>
      <c r="S238" s="17" t="s">
        <v>6634</v>
      </c>
      <c r="T238" s="13"/>
      <c r="U238" s="13"/>
      <c r="V238" s="13"/>
      <c r="X238" s="132">
        <v>236</v>
      </c>
      <c r="Y238" s="6"/>
    </row>
    <row r="239" spans="1:25" ht="15" customHeight="1" x14ac:dyDescent="0.2">
      <c r="A239" s="20" t="s">
        <v>1682</v>
      </c>
      <c r="B239" s="22" t="s">
        <v>2608</v>
      </c>
      <c r="C239" s="23">
        <v>45833</v>
      </c>
      <c r="D239" s="13" t="s">
        <v>33</v>
      </c>
      <c r="E239" s="6" t="s">
        <v>2496</v>
      </c>
      <c r="F239" s="15" t="s">
        <v>11730</v>
      </c>
      <c r="G239" s="6" t="s">
        <v>727</v>
      </c>
      <c r="I239" s="13" t="s">
        <v>25</v>
      </c>
      <c r="J239" s="13">
        <v>3</v>
      </c>
      <c r="K239" s="13" t="s">
        <v>1714</v>
      </c>
      <c r="L239" s="6" t="s">
        <v>2497</v>
      </c>
      <c r="M239" s="108" t="s">
        <v>2498</v>
      </c>
      <c r="N239" s="13" t="s">
        <v>2499</v>
      </c>
      <c r="O239" s="13" t="s">
        <v>1055</v>
      </c>
      <c r="P239" s="13" t="s">
        <v>16</v>
      </c>
      <c r="Q239" s="6" t="s">
        <v>2500</v>
      </c>
      <c r="R239" s="17" t="s">
        <v>2487</v>
      </c>
      <c r="S239" s="6" t="s">
        <v>2488</v>
      </c>
      <c r="T239" s="13">
        <v>25</v>
      </c>
      <c r="U239" s="13">
        <v>23</v>
      </c>
      <c r="V239" s="13" t="s">
        <v>2502</v>
      </c>
      <c r="X239" s="132">
        <v>237</v>
      </c>
      <c r="Y239" s="6"/>
    </row>
    <row r="240" spans="1:25" ht="15" customHeight="1" x14ac:dyDescent="0.2">
      <c r="A240" s="12" t="s">
        <v>3941</v>
      </c>
      <c r="B240" s="13" t="s">
        <v>4978</v>
      </c>
      <c r="C240" s="100">
        <v>47642</v>
      </c>
      <c r="D240" s="13" t="s">
        <v>33</v>
      </c>
      <c r="E240" s="6" t="s">
        <v>3959</v>
      </c>
      <c r="F240" s="15" t="s">
        <v>730</v>
      </c>
      <c r="G240" s="6" t="s">
        <v>731</v>
      </c>
      <c r="H240" s="6" t="s">
        <v>731</v>
      </c>
      <c r="I240" s="13" t="s">
        <v>25</v>
      </c>
      <c r="J240" s="13">
        <v>3</v>
      </c>
      <c r="K240" s="13" t="s">
        <v>1714</v>
      </c>
      <c r="L240" s="6" t="s">
        <v>3960</v>
      </c>
      <c r="M240" s="108" t="s">
        <v>3961</v>
      </c>
      <c r="N240" s="13" t="s">
        <v>2552</v>
      </c>
      <c r="O240" s="13" t="s">
        <v>128</v>
      </c>
      <c r="P240" s="13" t="s">
        <v>16</v>
      </c>
      <c r="Q240" s="6" t="s">
        <v>12094</v>
      </c>
      <c r="R240" s="6" t="s">
        <v>732</v>
      </c>
      <c r="S240" s="17" t="s">
        <v>3962</v>
      </c>
      <c r="T240" s="13">
        <v>20</v>
      </c>
      <c r="U240" s="13">
        <v>20</v>
      </c>
      <c r="V240" s="13" t="s">
        <v>3965</v>
      </c>
      <c r="X240" s="132">
        <v>238</v>
      </c>
      <c r="Y240" s="6"/>
    </row>
    <row r="241" spans="1:25" ht="15" customHeight="1" x14ac:dyDescent="0.2">
      <c r="A241" s="12" t="s">
        <v>3942</v>
      </c>
      <c r="B241" s="13" t="s">
        <v>4978</v>
      </c>
      <c r="C241" s="100">
        <v>47642</v>
      </c>
      <c r="D241" s="13" t="s">
        <v>33</v>
      </c>
      <c r="E241" s="6" t="s">
        <v>3959</v>
      </c>
      <c r="F241" s="15" t="s">
        <v>733</v>
      </c>
      <c r="G241" s="6" t="s">
        <v>734</v>
      </c>
      <c r="H241" s="6" t="s">
        <v>734</v>
      </c>
      <c r="I241" s="13" t="s">
        <v>25</v>
      </c>
      <c r="J241" s="13">
        <v>3</v>
      </c>
      <c r="K241" s="13" t="s">
        <v>1714</v>
      </c>
      <c r="L241" s="6" t="s">
        <v>3963</v>
      </c>
      <c r="M241" s="108" t="s">
        <v>3964</v>
      </c>
      <c r="N241" s="13" t="s">
        <v>2552</v>
      </c>
      <c r="O241" s="13" t="s">
        <v>128</v>
      </c>
      <c r="P241" s="13" t="s">
        <v>16</v>
      </c>
      <c r="Q241" s="6" t="s">
        <v>12094</v>
      </c>
      <c r="R241" s="6" t="s">
        <v>732</v>
      </c>
      <c r="S241" s="17" t="s">
        <v>3962</v>
      </c>
      <c r="T241" s="13">
        <v>23</v>
      </c>
      <c r="U241" s="13">
        <v>23</v>
      </c>
      <c r="V241" s="13" t="s">
        <v>3965</v>
      </c>
      <c r="X241" s="132">
        <v>239</v>
      </c>
      <c r="Y241" s="6"/>
    </row>
    <row r="242" spans="1:25" ht="15" customHeight="1" x14ac:dyDescent="0.2">
      <c r="A242" s="12" t="s">
        <v>1683</v>
      </c>
      <c r="B242" s="13" t="s">
        <v>4978</v>
      </c>
      <c r="C242" s="74">
        <v>46799</v>
      </c>
      <c r="D242" s="13" t="s">
        <v>33</v>
      </c>
      <c r="E242" s="6" t="s">
        <v>2162</v>
      </c>
      <c r="F242" s="15" t="s">
        <v>6814</v>
      </c>
      <c r="G242" s="6" t="s">
        <v>737</v>
      </c>
      <c r="H242" s="6" t="s">
        <v>737</v>
      </c>
      <c r="I242" s="13" t="s">
        <v>25</v>
      </c>
      <c r="J242" s="13">
        <v>3</v>
      </c>
      <c r="K242" s="13" t="s">
        <v>1714</v>
      </c>
      <c r="L242" s="6" t="s">
        <v>2163</v>
      </c>
      <c r="M242" s="108" t="s">
        <v>2164</v>
      </c>
      <c r="N242" s="13" t="s">
        <v>2165</v>
      </c>
      <c r="O242" s="13" t="s">
        <v>61</v>
      </c>
      <c r="P242" s="13" t="s">
        <v>9</v>
      </c>
      <c r="Q242" s="6" t="s">
        <v>6815</v>
      </c>
      <c r="R242" s="6" t="s">
        <v>738</v>
      </c>
      <c r="S242" s="6" t="s">
        <v>2166</v>
      </c>
      <c r="T242" s="18">
        <v>22</v>
      </c>
      <c r="U242" s="13">
        <v>17</v>
      </c>
      <c r="V242" s="13" t="s">
        <v>6816</v>
      </c>
      <c r="X242" s="132">
        <v>240</v>
      </c>
      <c r="Y242" s="6"/>
    </row>
    <row r="243" spans="1:25" ht="15" customHeight="1" x14ac:dyDescent="0.25">
      <c r="A243" s="12" t="s">
        <v>9965</v>
      </c>
      <c r="B243" s="13" t="s">
        <v>4978</v>
      </c>
      <c r="C243" s="100">
        <v>47268</v>
      </c>
      <c r="D243" s="13" t="s">
        <v>1533</v>
      </c>
      <c r="E243" s="6" t="s">
        <v>9912</v>
      </c>
      <c r="F243" s="15" t="s">
        <v>741</v>
      </c>
      <c r="G243" s="6" t="s">
        <v>2520</v>
      </c>
      <c r="H243" s="6" t="s">
        <v>9966</v>
      </c>
      <c r="I243" s="13" t="s">
        <v>25</v>
      </c>
      <c r="J243" s="13">
        <v>5</v>
      </c>
      <c r="K243" s="13" t="s">
        <v>6603</v>
      </c>
      <c r="L243" s="6" t="s">
        <v>9967</v>
      </c>
      <c r="M243" s="108" t="s">
        <v>2521</v>
      </c>
      <c r="N243" s="13" t="s">
        <v>9996</v>
      </c>
      <c r="O243" s="13" t="s">
        <v>743</v>
      </c>
      <c r="P243" s="13" t="s">
        <v>16</v>
      </c>
      <c r="Q243" s="6" t="s">
        <v>9968</v>
      </c>
      <c r="R243" s="69" t="s">
        <v>9919</v>
      </c>
      <c r="S243" s="69" t="s">
        <v>9920</v>
      </c>
      <c r="T243" s="13">
        <v>30</v>
      </c>
      <c r="U243" s="13">
        <v>30</v>
      </c>
      <c r="V243" s="13" t="s">
        <v>2522</v>
      </c>
      <c r="X243" s="132">
        <v>241</v>
      </c>
      <c r="Y243" s="6"/>
    </row>
    <row r="244" spans="1:25" ht="15" customHeight="1" x14ac:dyDescent="0.25">
      <c r="A244" s="19" t="s">
        <v>9911</v>
      </c>
      <c r="B244" s="13" t="s">
        <v>4978</v>
      </c>
      <c r="C244" s="74">
        <v>47253</v>
      </c>
      <c r="D244" s="13" t="s">
        <v>1533</v>
      </c>
      <c r="E244" s="6" t="s">
        <v>9912</v>
      </c>
      <c r="F244" s="15" t="s">
        <v>9913</v>
      </c>
      <c r="G244" s="6" t="s">
        <v>2520</v>
      </c>
      <c r="H244" s="6" t="s">
        <v>9914</v>
      </c>
      <c r="I244" s="13" t="s">
        <v>13</v>
      </c>
      <c r="J244" s="13">
        <v>7</v>
      </c>
      <c r="K244" s="13" t="s">
        <v>6603</v>
      </c>
      <c r="L244" s="6" t="s">
        <v>9915</v>
      </c>
      <c r="M244" s="108" t="s">
        <v>9916</v>
      </c>
      <c r="N244" s="13" t="s">
        <v>9917</v>
      </c>
      <c r="O244" s="13" t="s">
        <v>743</v>
      </c>
      <c r="P244" s="13" t="s">
        <v>16</v>
      </c>
      <c r="Q244" s="6" t="s">
        <v>9918</v>
      </c>
      <c r="R244" s="69" t="s">
        <v>9919</v>
      </c>
      <c r="S244" s="69" t="s">
        <v>9920</v>
      </c>
      <c r="T244" s="18">
        <v>100</v>
      </c>
      <c r="U244" s="18">
        <v>141</v>
      </c>
      <c r="V244" s="13" t="s">
        <v>9921</v>
      </c>
      <c r="X244" s="132">
        <v>242</v>
      </c>
      <c r="Y244" s="6"/>
    </row>
    <row r="245" spans="1:25" ht="15" customHeight="1" x14ac:dyDescent="0.25">
      <c r="A245" s="19" t="s">
        <v>10199</v>
      </c>
      <c r="B245" s="13" t="s">
        <v>4978</v>
      </c>
      <c r="C245" s="74">
        <v>47299</v>
      </c>
      <c r="D245" s="13" t="s">
        <v>1533</v>
      </c>
      <c r="E245" s="6" t="s">
        <v>9912</v>
      </c>
      <c r="F245" s="15" t="s">
        <v>10200</v>
      </c>
      <c r="G245" s="6" t="s">
        <v>2520</v>
      </c>
      <c r="H245" s="6" t="s">
        <v>10201</v>
      </c>
      <c r="I245" s="13" t="s">
        <v>7931</v>
      </c>
      <c r="J245" s="13">
        <v>9</v>
      </c>
      <c r="K245" s="13" t="s">
        <v>6603</v>
      </c>
      <c r="L245" s="6" t="s">
        <v>10202</v>
      </c>
      <c r="M245" s="108" t="s">
        <v>10203</v>
      </c>
      <c r="N245" s="13" t="s">
        <v>743</v>
      </c>
      <c r="O245" s="13" t="s">
        <v>743</v>
      </c>
      <c r="P245" s="13" t="s">
        <v>16</v>
      </c>
      <c r="Q245" s="6" t="s">
        <v>10204</v>
      </c>
      <c r="R245" s="69" t="s">
        <v>9919</v>
      </c>
      <c r="S245" s="69" t="s">
        <v>9920</v>
      </c>
      <c r="T245" s="18">
        <v>30</v>
      </c>
      <c r="U245" s="18">
        <v>32</v>
      </c>
      <c r="V245" s="13" t="s">
        <v>10205</v>
      </c>
      <c r="X245" s="132">
        <v>243</v>
      </c>
      <c r="Y245" s="6"/>
    </row>
    <row r="246" spans="1:25" ht="15" customHeight="1" x14ac:dyDescent="0.2">
      <c r="A246" s="12" t="s">
        <v>1684</v>
      </c>
      <c r="B246" s="13" t="s">
        <v>4978</v>
      </c>
      <c r="C246" s="74">
        <v>46372</v>
      </c>
      <c r="D246" s="13" t="s">
        <v>33</v>
      </c>
      <c r="E246" s="6" t="s">
        <v>4610</v>
      </c>
      <c r="F246" s="15" t="s">
        <v>11731</v>
      </c>
      <c r="G246" s="6" t="s">
        <v>746</v>
      </c>
      <c r="I246" s="13" t="s">
        <v>25</v>
      </c>
      <c r="J246" s="13">
        <v>3</v>
      </c>
      <c r="K246" s="13" t="s">
        <v>1714</v>
      </c>
      <c r="L246" s="6" t="s">
        <v>4611</v>
      </c>
      <c r="M246" s="108" t="s">
        <v>4612</v>
      </c>
      <c r="N246" s="13" t="s">
        <v>4613</v>
      </c>
      <c r="O246" s="13" t="s">
        <v>8</v>
      </c>
      <c r="P246" s="13" t="s">
        <v>9</v>
      </c>
      <c r="Q246" s="6" t="s">
        <v>4614</v>
      </c>
      <c r="R246" s="6" t="s">
        <v>747</v>
      </c>
      <c r="S246" s="17" t="s">
        <v>4615</v>
      </c>
      <c r="T246" s="13">
        <v>34</v>
      </c>
      <c r="U246" s="13">
        <v>32</v>
      </c>
      <c r="V246" s="13" t="s">
        <v>4616</v>
      </c>
      <c r="X246" s="132">
        <v>244</v>
      </c>
      <c r="Y246" s="6"/>
    </row>
    <row r="247" spans="1:25" ht="15" customHeight="1" x14ac:dyDescent="0.2">
      <c r="A247" s="20" t="s">
        <v>1685</v>
      </c>
      <c r="B247" s="22" t="s">
        <v>2608</v>
      </c>
      <c r="C247" s="14">
        <v>43720</v>
      </c>
      <c r="D247" s="13" t="s">
        <v>33</v>
      </c>
      <c r="E247" s="6" t="s">
        <v>749</v>
      </c>
      <c r="F247" s="15" t="s">
        <v>750</v>
      </c>
      <c r="G247" s="6" t="s">
        <v>751</v>
      </c>
      <c r="I247" s="13" t="s">
        <v>25</v>
      </c>
      <c r="J247" s="13">
        <v>3</v>
      </c>
      <c r="K247" s="13" t="s">
        <v>1714</v>
      </c>
      <c r="L247" s="6"/>
      <c r="M247" s="108"/>
      <c r="O247" s="13" t="s">
        <v>240</v>
      </c>
      <c r="P247" s="13" t="s">
        <v>16</v>
      </c>
      <c r="Q247" s="6"/>
      <c r="R247" s="6" t="s">
        <v>752</v>
      </c>
      <c r="S247" s="17" t="s">
        <v>6642</v>
      </c>
      <c r="T247" s="13"/>
      <c r="U247" s="13"/>
      <c r="V247" s="13"/>
      <c r="X247" s="132">
        <v>245</v>
      </c>
      <c r="Y247" s="6"/>
    </row>
    <row r="248" spans="1:25" ht="15" customHeight="1" x14ac:dyDescent="0.2">
      <c r="A248" s="12" t="s">
        <v>1686</v>
      </c>
      <c r="B248" s="13" t="s">
        <v>4978</v>
      </c>
      <c r="C248" s="74">
        <v>46238</v>
      </c>
      <c r="D248" s="13" t="s">
        <v>33</v>
      </c>
      <c r="E248" s="6" t="s">
        <v>754</v>
      </c>
      <c r="F248" s="15" t="s">
        <v>11732</v>
      </c>
      <c r="G248" s="6" t="s">
        <v>755</v>
      </c>
      <c r="I248" s="13" t="s">
        <v>25</v>
      </c>
      <c r="J248" s="13">
        <v>3</v>
      </c>
      <c r="K248" s="13" t="s">
        <v>1714</v>
      </c>
      <c r="L248" s="6" t="s">
        <v>4064</v>
      </c>
      <c r="M248" s="108" t="s">
        <v>4065</v>
      </c>
      <c r="N248" s="13" t="s">
        <v>4066</v>
      </c>
      <c r="O248" s="13" t="s">
        <v>136</v>
      </c>
      <c r="P248" s="13" t="s">
        <v>4</v>
      </c>
      <c r="Q248" s="6" t="s">
        <v>4067</v>
      </c>
      <c r="R248" s="17" t="s">
        <v>4068</v>
      </c>
      <c r="S248" s="17" t="s">
        <v>4069</v>
      </c>
      <c r="T248" s="13">
        <v>24</v>
      </c>
      <c r="U248" s="13">
        <v>22</v>
      </c>
      <c r="V248" s="13" t="s">
        <v>4063</v>
      </c>
      <c r="X248" s="132">
        <v>246</v>
      </c>
      <c r="Y248" s="6"/>
    </row>
    <row r="249" spans="1:25" ht="15" customHeight="1" x14ac:dyDescent="0.25">
      <c r="A249" s="12" t="s">
        <v>1687</v>
      </c>
      <c r="B249" s="13" t="s">
        <v>4978</v>
      </c>
      <c r="C249" s="74">
        <v>47552</v>
      </c>
      <c r="D249" s="13" t="s">
        <v>33</v>
      </c>
      <c r="E249" s="6" t="s">
        <v>11164</v>
      </c>
      <c r="F249" s="15" t="s">
        <v>7147</v>
      </c>
      <c r="G249" s="6" t="s">
        <v>758</v>
      </c>
      <c r="H249" s="6" t="s">
        <v>758</v>
      </c>
      <c r="I249" s="13" t="s">
        <v>25</v>
      </c>
      <c r="J249" s="13">
        <v>3</v>
      </c>
      <c r="K249" s="13" t="s">
        <v>1714</v>
      </c>
      <c r="L249" s="6" t="s">
        <v>3254</v>
      </c>
      <c r="M249" s="108" t="s">
        <v>11165</v>
      </c>
      <c r="N249" s="13" t="s">
        <v>3255</v>
      </c>
      <c r="O249" s="13" t="s">
        <v>128</v>
      </c>
      <c r="P249" s="13" t="s">
        <v>16</v>
      </c>
      <c r="Q249" s="6" t="s">
        <v>3786</v>
      </c>
      <c r="R249" s="69" t="s">
        <v>4682</v>
      </c>
      <c r="S249" s="17"/>
      <c r="T249" s="13">
        <v>29</v>
      </c>
      <c r="U249" s="13">
        <v>20</v>
      </c>
      <c r="V249" s="13" t="s">
        <v>3256</v>
      </c>
      <c r="X249" s="132">
        <v>247</v>
      </c>
      <c r="Y249" s="6"/>
    </row>
    <row r="250" spans="1:25" ht="15" customHeight="1" x14ac:dyDescent="0.2">
      <c r="A250" s="20" t="s">
        <v>1688</v>
      </c>
      <c r="B250" s="22" t="s">
        <v>2608</v>
      </c>
      <c r="C250" s="14">
        <v>45773</v>
      </c>
      <c r="D250" s="13" t="s">
        <v>33</v>
      </c>
      <c r="E250" s="6" t="s">
        <v>760</v>
      </c>
      <c r="F250" s="15" t="s">
        <v>11733</v>
      </c>
      <c r="G250" s="6" t="s">
        <v>761</v>
      </c>
      <c r="I250" s="13" t="s">
        <v>25</v>
      </c>
      <c r="J250" s="13">
        <v>3</v>
      </c>
      <c r="K250" s="13" t="s">
        <v>1714</v>
      </c>
      <c r="L250" s="6" t="s">
        <v>2262</v>
      </c>
      <c r="M250" s="108" t="s">
        <v>2263</v>
      </c>
      <c r="N250" s="13" t="s">
        <v>240</v>
      </c>
      <c r="O250" s="13" t="s">
        <v>240</v>
      </c>
      <c r="P250" s="13" t="s">
        <v>16</v>
      </c>
      <c r="Q250" s="6" t="s">
        <v>2264</v>
      </c>
      <c r="R250" s="6" t="s">
        <v>762</v>
      </c>
      <c r="S250" s="17" t="s">
        <v>6639</v>
      </c>
      <c r="T250" s="13">
        <v>18</v>
      </c>
      <c r="U250" s="13">
        <v>17</v>
      </c>
      <c r="V250" s="13">
        <v>17</v>
      </c>
      <c r="X250" s="132">
        <v>248</v>
      </c>
      <c r="Y250" s="6"/>
    </row>
    <row r="251" spans="1:25" ht="15" customHeight="1" x14ac:dyDescent="0.2">
      <c r="A251" s="12" t="s">
        <v>1689</v>
      </c>
      <c r="B251" s="13" t="s">
        <v>4978</v>
      </c>
      <c r="C251" s="100">
        <v>47642</v>
      </c>
      <c r="D251" s="13" t="s">
        <v>33</v>
      </c>
      <c r="E251" s="6" t="s">
        <v>11982</v>
      </c>
      <c r="F251" s="15" t="s">
        <v>765</v>
      </c>
      <c r="G251" s="6" t="s">
        <v>766</v>
      </c>
      <c r="H251" s="6" t="s">
        <v>766</v>
      </c>
      <c r="I251" s="13" t="s">
        <v>25</v>
      </c>
      <c r="J251" s="13">
        <v>3</v>
      </c>
      <c r="K251" s="13" t="s">
        <v>1714</v>
      </c>
      <c r="L251" s="6" t="s">
        <v>4029</v>
      </c>
      <c r="M251" s="108" t="s">
        <v>4030</v>
      </c>
      <c r="N251" s="13" t="s">
        <v>4031</v>
      </c>
      <c r="O251" s="13" t="s">
        <v>15</v>
      </c>
      <c r="P251" s="13" t="s">
        <v>16</v>
      </c>
      <c r="Q251" s="6" t="s">
        <v>11983</v>
      </c>
      <c r="R251" s="6" t="s">
        <v>767</v>
      </c>
      <c r="S251" s="17" t="s">
        <v>4032</v>
      </c>
      <c r="T251" s="13">
        <v>33</v>
      </c>
      <c r="U251" s="13">
        <v>31</v>
      </c>
      <c r="V251" s="13" t="s">
        <v>4033</v>
      </c>
      <c r="X251" s="132">
        <v>249</v>
      </c>
      <c r="Y251" s="6"/>
    </row>
    <row r="252" spans="1:25" ht="15" customHeight="1" x14ac:dyDescent="0.2">
      <c r="A252" s="12" t="s">
        <v>1690</v>
      </c>
      <c r="B252" s="13" t="s">
        <v>4978</v>
      </c>
      <c r="C252" s="74">
        <v>46372</v>
      </c>
      <c r="D252" s="13" t="s">
        <v>33</v>
      </c>
      <c r="E252" s="6" t="s">
        <v>4654</v>
      </c>
      <c r="F252" s="15" t="s">
        <v>8199</v>
      </c>
      <c r="G252" s="6" t="s">
        <v>770</v>
      </c>
      <c r="H252" s="6" t="s">
        <v>770</v>
      </c>
      <c r="I252" s="13" t="s">
        <v>25</v>
      </c>
      <c r="J252" s="13">
        <v>3</v>
      </c>
      <c r="K252" s="13" t="s">
        <v>1714</v>
      </c>
      <c r="L252" s="6" t="s">
        <v>4655</v>
      </c>
      <c r="M252" s="108" t="s">
        <v>4656</v>
      </c>
      <c r="N252" s="13" t="s">
        <v>4657</v>
      </c>
      <c r="O252" s="13" t="s">
        <v>15</v>
      </c>
      <c r="P252" s="13" t="s">
        <v>16</v>
      </c>
      <c r="Q252" s="6" t="s">
        <v>4658</v>
      </c>
      <c r="R252" s="17" t="s">
        <v>4659</v>
      </c>
      <c r="S252" s="17" t="s">
        <v>4660</v>
      </c>
      <c r="T252" s="13">
        <v>29</v>
      </c>
      <c r="U252" s="13">
        <v>28</v>
      </c>
      <c r="V252" s="13" t="s">
        <v>4661</v>
      </c>
      <c r="X252" s="132">
        <v>250</v>
      </c>
      <c r="Y252" s="6"/>
    </row>
    <row r="253" spans="1:25" ht="15" customHeight="1" x14ac:dyDescent="0.2">
      <c r="A253" s="12" t="s">
        <v>7039</v>
      </c>
      <c r="B253" s="13" t="s">
        <v>4978</v>
      </c>
      <c r="C253" s="74">
        <v>46848</v>
      </c>
      <c r="D253" s="13" t="s">
        <v>33</v>
      </c>
      <c r="E253" s="6" t="s">
        <v>4654</v>
      </c>
      <c r="F253" s="15" t="s">
        <v>7061</v>
      </c>
      <c r="G253" s="6" t="s">
        <v>770</v>
      </c>
      <c r="H253" s="6" t="s">
        <v>7060</v>
      </c>
      <c r="I253" s="13" t="s">
        <v>25</v>
      </c>
      <c r="J253" s="13">
        <v>3</v>
      </c>
      <c r="K253" s="13" t="s">
        <v>1714</v>
      </c>
      <c r="L253" s="6" t="s">
        <v>7062</v>
      </c>
      <c r="M253" s="108" t="s">
        <v>7063</v>
      </c>
      <c r="N253" s="13" t="s">
        <v>3338</v>
      </c>
      <c r="O253" s="13" t="s">
        <v>1055</v>
      </c>
      <c r="P253" s="13" t="s">
        <v>16</v>
      </c>
      <c r="Q253" s="6" t="s">
        <v>7064</v>
      </c>
      <c r="R253" s="17" t="s">
        <v>4659</v>
      </c>
      <c r="S253" s="17" t="s">
        <v>4660</v>
      </c>
      <c r="T253" s="18">
        <v>25</v>
      </c>
      <c r="U253" s="18">
        <v>21</v>
      </c>
      <c r="V253" s="13" t="s">
        <v>7065</v>
      </c>
      <c r="X253" s="132">
        <v>251</v>
      </c>
      <c r="Y253" s="6"/>
    </row>
    <row r="254" spans="1:25" ht="15" customHeight="1" x14ac:dyDescent="0.2">
      <c r="A254" s="20" t="s">
        <v>4662</v>
      </c>
      <c r="B254" s="22" t="s">
        <v>2608</v>
      </c>
      <c r="C254" s="14">
        <v>45042</v>
      </c>
      <c r="D254" s="13" t="s">
        <v>33</v>
      </c>
      <c r="E254" s="6" t="s">
        <v>772</v>
      </c>
      <c r="F254" s="15" t="s">
        <v>773</v>
      </c>
      <c r="G254" s="6" t="s">
        <v>774</v>
      </c>
      <c r="I254" s="13" t="s">
        <v>25</v>
      </c>
      <c r="J254" s="13">
        <v>3</v>
      </c>
      <c r="K254" s="13" t="s">
        <v>1714</v>
      </c>
      <c r="L254" s="6" t="s">
        <v>2265</v>
      </c>
      <c r="M254" s="108" t="s">
        <v>2266</v>
      </c>
      <c r="N254" s="13" t="s">
        <v>2229</v>
      </c>
      <c r="O254" s="13" t="s">
        <v>36</v>
      </c>
      <c r="P254" s="13" t="s">
        <v>4</v>
      </c>
      <c r="Q254" s="6" t="s">
        <v>2267</v>
      </c>
      <c r="R254" s="6" t="s">
        <v>775</v>
      </c>
      <c r="S254" s="6" t="s">
        <v>2268</v>
      </c>
      <c r="T254" s="13">
        <v>19</v>
      </c>
      <c r="U254" s="13">
        <v>19</v>
      </c>
      <c r="V254" s="13">
        <v>19</v>
      </c>
      <c r="X254" s="132">
        <v>252</v>
      </c>
      <c r="Y254" s="6"/>
    </row>
    <row r="255" spans="1:25" ht="15" customHeight="1" x14ac:dyDescent="0.2">
      <c r="A255" s="12" t="s">
        <v>4663</v>
      </c>
      <c r="B255" s="13" t="s">
        <v>4978</v>
      </c>
      <c r="C255" s="74">
        <v>46372</v>
      </c>
      <c r="D255" s="13" t="s">
        <v>33</v>
      </c>
      <c r="E255" s="6" t="s">
        <v>772</v>
      </c>
      <c r="F255" s="15" t="s">
        <v>9200</v>
      </c>
      <c r="G255" s="6" t="s">
        <v>4664</v>
      </c>
      <c r="I255" s="13" t="s">
        <v>25</v>
      </c>
      <c r="J255" s="13">
        <v>3</v>
      </c>
      <c r="K255" s="13" t="s">
        <v>1714</v>
      </c>
      <c r="L255" s="6" t="s">
        <v>4665</v>
      </c>
      <c r="M255" s="108" t="s">
        <v>4666</v>
      </c>
      <c r="N255" s="13" t="s">
        <v>2229</v>
      </c>
      <c r="O255" s="13" t="s">
        <v>36</v>
      </c>
      <c r="P255" s="13" t="s">
        <v>4</v>
      </c>
      <c r="Q255" s="6" t="s">
        <v>4667</v>
      </c>
      <c r="R255" s="6" t="s">
        <v>775</v>
      </c>
      <c r="S255" s="6" t="s">
        <v>2268</v>
      </c>
      <c r="T255" s="18">
        <v>27</v>
      </c>
      <c r="U255" s="18">
        <v>20</v>
      </c>
      <c r="V255" s="13" t="s">
        <v>4668</v>
      </c>
      <c r="X255" s="132">
        <v>253</v>
      </c>
      <c r="Y255" s="6"/>
    </row>
    <row r="256" spans="1:25" ht="15" customHeight="1" x14ac:dyDescent="0.2">
      <c r="A256" s="12" t="s">
        <v>1691</v>
      </c>
      <c r="B256" s="13" t="s">
        <v>4978</v>
      </c>
      <c r="C256" s="100">
        <v>46564</v>
      </c>
      <c r="D256" s="13" t="s">
        <v>33</v>
      </c>
      <c r="E256" s="6" t="s">
        <v>5428</v>
      </c>
      <c r="F256" s="15" t="s">
        <v>778</v>
      </c>
      <c r="G256" s="6" t="s">
        <v>779</v>
      </c>
      <c r="H256" s="6" t="s">
        <v>779</v>
      </c>
      <c r="I256" s="13" t="s">
        <v>25</v>
      </c>
      <c r="J256" s="13">
        <v>3</v>
      </c>
      <c r="K256" s="13" t="s">
        <v>1714</v>
      </c>
      <c r="L256" s="6" t="s">
        <v>2269</v>
      </c>
      <c r="M256" s="108" t="s">
        <v>2270</v>
      </c>
      <c r="N256" s="13" t="s">
        <v>2271</v>
      </c>
      <c r="O256" s="13" t="s">
        <v>36</v>
      </c>
      <c r="P256" s="13" t="s">
        <v>4</v>
      </c>
      <c r="Q256" s="6" t="s">
        <v>2272</v>
      </c>
      <c r="R256" s="6" t="s">
        <v>780</v>
      </c>
      <c r="S256" s="6" t="s">
        <v>2273</v>
      </c>
      <c r="T256" s="13">
        <v>50</v>
      </c>
      <c r="U256" s="13">
        <v>38</v>
      </c>
      <c r="V256" s="13" t="s">
        <v>5429</v>
      </c>
      <c r="X256" s="132">
        <v>254</v>
      </c>
      <c r="Y256" s="6"/>
    </row>
    <row r="257" spans="1:25" ht="15" customHeight="1" x14ac:dyDescent="0.2">
      <c r="A257" s="12" t="s">
        <v>1692</v>
      </c>
      <c r="B257" s="13" t="s">
        <v>4978</v>
      </c>
      <c r="C257" s="74">
        <v>46446</v>
      </c>
      <c r="D257" s="13" t="s">
        <v>33</v>
      </c>
      <c r="E257" s="6" t="s">
        <v>5058</v>
      </c>
      <c r="F257" s="15" t="s">
        <v>11734</v>
      </c>
      <c r="G257" s="6" t="s">
        <v>783</v>
      </c>
      <c r="H257" s="6" t="s">
        <v>783</v>
      </c>
      <c r="I257" s="13" t="s">
        <v>25</v>
      </c>
      <c r="J257" s="13">
        <v>3</v>
      </c>
      <c r="K257" s="13" t="s">
        <v>1714</v>
      </c>
      <c r="L257" s="6" t="s">
        <v>4989</v>
      </c>
      <c r="M257" s="108" t="s">
        <v>4990</v>
      </c>
      <c r="N257" s="13" t="s">
        <v>4403</v>
      </c>
      <c r="O257" s="13" t="s">
        <v>53</v>
      </c>
      <c r="P257" s="13" t="s">
        <v>54</v>
      </c>
      <c r="Q257" s="6" t="s">
        <v>4991</v>
      </c>
      <c r="R257" s="17" t="s">
        <v>4992</v>
      </c>
      <c r="S257" s="17" t="s">
        <v>3314</v>
      </c>
      <c r="T257" s="13">
        <v>51</v>
      </c>
      <c r="U257" s="13">
        <v>46</v>
      </c>
      <c r="V257" s="13" t="s">
        <v>4993</v>
      </c>
      <c r="X257" s="132">
        <v>255</v>
      </c>
      <c r="Y257" s="6"/>
    </row>
    <row r="258" spans="1:25" ht="15" customHeight="1" x14ac:dyDescent="0.2">
      <c r="A258" s="20" t="s">
        <v>1693</v>
      </c>
      <c r="B258" s="22" t="s">
        <v>2608</v>
      </c>
      <c r="C258" s="23">
        <v>45833</v>
      </c>
      <c r="D258" s="13" t="s">
        <v>33</v>
      </c>
      <c r="E258" s="6" t="s">
        <v>2568</v>
      </c>
      <c r="F258" s="15" t="s">
        <v>2569</v>
      </c>
      <c r="G258" s="6" t="s">
        <v>786</v>
      </c>
      <c r="I258" s="13" t="s">
        <v>25</v>
      </c>
      <c r="J258" s="13">
        <v>3</v>
      </c>
      <c r="K258" s="13" t="s">
        <v>1714</v>
      </c>
      <c r="L258" s="6" t="s">
        <v>2570</v>
      </c>
      <c r="M258" s="108" t="s">
        <v>2571</v>
      </c>
      <c r="N258" s="13" t="s">
        <v>2572</v>
      </c>
      <c r="O258" s="13" t="s">
        <v>2146</v>
      </c>
      <c r="P258" s="13" t="s">
        <v>68</v>
      </c>
      <c r="Q258" s="6" t="s">
        <v>2573</v>
      </c>
      <c r="R258" s="6" t="s">
        <v>787</v>
      </c>
      <c r="S258" s="17" t="s">
        <v>6639</v>
      </c>
      <c r="T258" s="13">
        <v>29</v>
      </c>
      <c r="U258" s="13">
        <v>25</v>
      </c>
      <c r="V258" s="13" t="s">
        <v>2574</v>
      </c>
      <c r="X258" s="132">
        <v>256</v>
      </c>
      <c r="Y258" s="6"/>
    </row>
    <row r="259" spans="1:25" ht="15" customHeight="1" x14ac:dyDescent="0.25">
      <c r="A259" s="12" t="s">
        <v>1694</v>
      </c>
      <c r="B259" s="13" t="s">
        <v>4978</v>
      </c>
      <c r="C259" s="74">
        <v>47120</v>
      </c>
      <c r="D259" s="13" t="s">
        <v>33</v>
      </c>
      <c r="E259" s="6" t="s">
        <v>8913</v>
      </c>
      <c r="F259" s="15" t="s">
        <v>8879</v>
      </c>
      <c r="G259" s="6" t="s">
        <v>8880</v>
      </c>
      <c r="H259" s="6" t="s">
        <v>8880</v>
      </c>
      <c r="I259" s="13" t="s">
        <v>25</v>
      </c>
      <c r="J259" s="13">
        <v>3</v>
      </c>
      <c r="K259" s="13" t="s">
        <v>1714</v>
      </c>
      <c r="L259" s="6" t="s">
        <v>8881</v>
      </c>
      <c r="M259" s="108" t="s">
        <v>8882</v>
      </c>
      <c r="N259" s="13" t="s">
        <v>2667</v>
      </c>
      <c r="O259" s="13" t="s">
        <v>177</v>
      </c>
      <c r="P259" s="13" t="s">
        <v>9</v>
      </c>
      <c r="Q259" s="6" t="s">
        <v>8883</v>
      </c>
      <c r="R259" s="69" t="s">
        <v>8884</v>
      </c>
      <c r="S259" s="69" t="s">
        <v>8885</v>
      </c>
      <c r="T259" s="13">
        <v>35</v>
      </c>
      <c r="U259" s="13">
        <v>34</v>
      </c>
      <c r="V259" s="13" t="s">
        <v>8886</v>
      </c>
      <c r="X259" s="132">
        <v>257</v>
      </c>
      <c r="Y259" s="6"/>
    </row>
    <row r="260" spans="1:25" ht="15" customHeight="1" x14ac:dyDescent="0.2">
      <c r="A260" s="20" t="s">
        <v>1695</v>
      </c>
      <c r="B260" s="22" t="s">
        <v>2608</v>
      </c>
      <c r="C260" s="14">
        <v>46062</v>
      </c>
      <c r="D260" s="13" t="s">
        <v>33</v>
      </c>
      <c r="E260" s="6" t="s">
        <v>3538</v>
      </c>
      <c r="G260" s="6" t="s">
        <v>793</v>
      </c>
      <c r="I260" s="13" t="s">
        <v>25</v>
      </c>
      <c r="J260" s="13">
        <v>3</v>
      </c>
      <c r="K260" s="13" t="s">
        <v>1714</v>
      </c>
      <c r="L260" s="6" t="s">
        <v>3539</v>
      </c>
      <c r="M260" s="108" t="s">
        <v>3540</v>
      </c>
      <c r="N260" s="13" t="s">
        <v>2312</v>
      </c>
      <c r="O260" s="13" t="s">
        <v>15</v>
      </c>
      <c r="P260" s="13" t="s">
        <v>16</v>
      </c>
      <c r="Q260" s="6" t="s">
        <v>3541</v>
      </c>
      <c r="R260" s="6" t="s">
        <v>794</v>
      </c>
      <c r="S260" s="17" t="s">
        <v>6643</v>
      </c>
      <c r="T260" s="13">
        <v>42</v>
      </c>
      <c r="U260" s="13">
        <v>39</v>
      </c>
      <c r="V260" s="13" t="s">
        <v>3537</v>
      </c>
      <c r="X260" s="132">
        <v>258</v>
      </c>
      <c r="Y260" s="6"/>
    </row>
    <row r="261" spans="1:25" ht="15" customHeight="1" x14ac:dyDescent="0.2">
      <c r="A261" s="20" t="s">
        <v>1696</v>
      </c>
      <c r="B261" s="22" t="s">
        <v>2608</v>
      </c>
      <c r="C261" s="14">
        <v>43748</v>
      </c>
      <c r="D261" s="13" t="s">
        <v>1533</v>
      </c>
      <c r="E261" s="6" t="s">
        <v>796</v>
      </c>
      <c r="F261" s="15" t="s">
        <v>797</v>
      </c>
      <c r="G261" s="6" t="s">
        <v>798</v>
      </c>
      <c r="I261" s="13" t="s">
        <v>25</v>
      </c>
      <c r="K261" s="13"/>
      <c r="L261" s="6"/>
      <c r="M261" s="108"/>
      <c r="O261" s="13" t="s">
        <v>177</v>
      </c>
      <c r="P261" s="13" t="s">
        <v>9</v>
      </c>
      <c r="Q261" s="6"/>
      <c r="R261" s="6" t="s">
        <v>716</v>
      </c>
      <c r="S261" s="17" t="s">
        <v>6644</v>
      </c>
      <c r="T261" s="13"/>
      <c r="U261" s="13"/>
      <c r="V261" s="13"/>
      <c r="X261" s="132">
        <v>259</v>
      </c>
      <c r="Y261" s="6"/>
    </row>
    <row r="262" spans="1:25" ht="15" customHeight="1" x14ac:dyDescent="0.2">
      <c r="A262" s="12" t="s">
        <v>1697</v>
      </c>
      <c r="B262" s="13" t="s">
        <v>4978</v>
      </c>
      <c r="C262" s="74">
        <v>46705</v>
      </c>
      <c r="D262" s="13" t="s">
        <v>33</v>
      </c>
      <c r="E262" s="6" t="s">
        <v>800</v>
      </c>
      <c r="F262" s="15" t="s">
        <v>6130</v>
      </c>
      <c r="G262" s="6" t="s">
        <v>801</v>
      </c>
      <c r="H262" s="6" t="s">
        <v>801</v>
      </c>
      <c r="I262" s="13" t="s">
        <v>25</v>
      </c>
      <c r="J262" s="13">
        <v>3</v>
      </c>
      <c r="K262" s="13" t="s">
        <v>1714</v>
      </c>
      <c r="L262" s="6" t="s">
        <v>6131</v>
      </c>
      <c r="M262" s="108" t="s">
        <v>6132</v>
      </c>
      <c r="N262" s="13" t="s">
        <v>6133</v>
      </c>
      <c r="O262" s="13" t="s">
        <v>240</v>
      </c>
      <c r="P262" s="13" t="s">
        <v>16</v>
      </c>
      <c r="Q262" s="6" t="s">
        <v>6134</v>
      </c>
      <c r="R262" s="17" t="s">
        <v>6135</v>
      </c>
      <c r="S262" s="17" t="s">
        <v>6634</v>
      </c>
      <c r="T262" s="13">
        <v>18</v>
      </c>
      <c r="U262" s="13">
        <v>18</v>
      </c>
      <c r="V262" s="13" t="s">
        <v>6136</v>
      </c>
      <c r="X262" s="132">
        <v>260</v>
      </c>
      <c r="Y262" s="6"/>
    </row>
    <row r="263" spans="1:25" ht="15" customHeight="1" x14ac:dyDescent="0.2">
      <c r="A263" s="12" t="s">
        <v>6129</v>
      </c>
      <c r="B263" s="13" t="s">
        <v>4978</v>
      </c>
      <c r="C263" s="74">
        <v>46917</v>
      </c>
      <c r="D263" s="13" t="s">
        <v>33</v>
      </c>
      <c r="E263" s="6" t="s">
        <v>800</v>
      </c>
      <c r="G263" s="6" t="s">
        <v>801</v>
      </c>
      <c r="H263" s="6" t="s">
        <v>7034</v>
      </c>
      <c r="I263" s="13" t="s">
        <v>25</v>
      </c>
      <c r="J263" s="13">
        <v>3</v>
      </c>
      <c r="K263" s="13" t="s">
        <v>1714</v>
      </c>
      <c r="L263" s="6" t="s">
        <v>7414</v>
      </c>
      <c r="M263" s="108" t="s">
        <v>7415</v>
      </c>
      <c r="N263" s="13" t="s">
        <v>7416</v>
      </c>
      <c r="O263" s="13" t="s">
        <v>240</v>
      </c>
      <c r="P263" s="13" t="s">
        <v>16</v>
      </c>
      <c r="Q263" s="6" t="s">
        <v>7417</v>
      </c>
      <c r="R263" s="17" t="s">
        <v>7418</v>
      </c>
      <c r="S263" s="17"/>
      <c r="T263" s="13">
        <v>28</v>
      </c>
      <c r="U263" s="13">
        <v>28</v>
      </c>
      <c r="V263" s="13" t="s">
        <v>7419</v>
      </c>
      <c r="X263" s="132">
        <v>261</v>
      </c>
      <c r="Y263" s="6"/>
    </row>
    <row r="264" spans="1:25" ht="15" customHeight="1" x14ac:dyDescent="0.2">
      <c r="A264" s="20" t="s">
        <v>1698</v>
      </c>
      <c r="B264" s="22" t="s">
        <v>2608</v>
      </c>
      <c r="C264" s="14">
        <v>44312</v>
      </c>
      <c r="D264" s="13" t="s">
        <v>1533</v>
      </c>
      <c r="E264" s="6" t="s">
        <v>804</v>
      </c>
      <c r="F264" s="15" t="s">
        <v>11735</v>
      </c>
      <c r="G264" s="6" t="s">
        <v>805</v>
      </c>
      <c r="I264" s="13" t="s">
        <v>13</v>
      </c>
      <c r="K264" s="13" t="s">
        <v>1714</v>
      </c>
      <c r="L264" s="6" t="s">
        <v>2274</v>
      </c>
      <c r="M264" s="108" t="s">
        <v>2275</v>
      </c>
      <c r="N264" s="13" t="s">
        <v>2276</v>
      </c>
      <c r="O264" s="13" t="s">
        <v>172</v>
      </c>
      <c r="P264" s="13" t="s">
        <v>9</v>
      </c>
      <c r="Q264" s="6" t="s">
        <v>2277</v>
      </c>
      <c r="R264" s="6" t="s">
        <v>806</v>
      </c>
      <c r="S264" s="6" t="s">
        <v>2278</v>
      </c>
      <c r="T264" s="13">
        <v>250</v>
      </c>
      <c r="U264" s="13">
        <v>94</v>
      </c>
      <c r="V264" s="13">
        <v>94</v>
      </c>
      <c r="X264" s="132">
        <v>262</v>
      </c>
      <c r="Y264" s="6"/>
    </row>
    <row r="265" spans="1:25" ht="15" customHeight="1" x14ac:dyDescent="0.25">
      <c r="A265" s="12" t="s">
        <v>8523</v>
      </c>
      <c r="B265" s="13" t="s">
        <v>4977</v>
      </c>
      <c r="C265" s="14">
        <v>46359</v>
      </c>
      <c r="D265" s="13" t="s">
        <v>1533</v>
      </c>
      <c r="E265" s="6" t="s">
        <v>804</v>
      </c>
      <c r="F265" s="15" t="s">
        <v>8524</v>
      </c>
      <c r="G265" s="6" t="s">
        <v>805</v>
      </c>
      <c r="H265" s="6" t="s">
        <v>805</v>
      </c>
      <c r="I265" s="13" t="s">
        <v>39</v>
      </c>
      <c r="J265" s="13">
        <v>12</v>
      </c>
      <c r="K265" s="13" t="s">
        <v>1714</v>
      </c>
      <c r="L265" s="6" t="s">
        <v>8525</v>
      </c>
      <c r="M265" s="108" t="s">
        <v>2275</v>
      </c>
      <c r="N265" s="13" t="s">
        <v>2276</v>
      </c>
      <c r="O265" s="13" t="s">
        <v>172</v>
      </c>
      <c r="P265" s="13" t="s">
        <v>9</v>
      </c>
      <c r="Q265" s="6" t="s">
        <v>8521</v>
      </c>
      <c r="R265" s="69" t="s">
        <v>8526</v>
      </c>
      <c r="S265" s="69" t="s">
        <v>8522</v>
      </c>
      <c r="T265" s="18">
        <v>680</v>
      </c>
      <c r="U265" s="18">
        <v>340</v>
      </c>
      <c r="V265" s="13" t="s">
        <v>8527</v>
      </c>
      <c r="X265" s="132">
        <v>263</v>
      </c>
      <c r="Y265" s="6"/>
    </row>
    <row r="266" spans="1:25" ht="15" customHeight="1" x14ac:dyDescent="0.2">
      <c r="A266" s="12" t="s">
        <v>1699</v>
      </c>
      <c r="B266" s="13" t="s">
        <v>4978</v>
      </c>
      <c r="C266" s="74">
        <v>46238</v>
      </c>
      <c r="D266" s="13" t="s">
        <v>33</v>
      </c>
      <c r="E266" s="6" t="s">
        <v>4236</v>
      </c>
      <c r="G266" s="6" t="s">
        <v>809</v>
      </c>
      <c r="I266" s="13" t="s">
        <v>25</v>
      </c>
      <c r="J266" s="13">
        <v>3</v>
      </c>
      <c r="K266" s="13" t="s">
        <v>1714</v>
      </c>
      <c r="L266" s="6" t="s">
        <v>4071</v>
      </c>
      <c r="M266" s="108" t="s">
        <v>4072</v>
      </c>
      <c r="N266" s="13" t="s">
        <v>4073</v>
      </c>
      <c r="O266" s="13" t="s">
        <v>61</v>
      </c>
      <c r="P266" s="13" t="s">
        <v>9</v>
      </c>
      <c r="Q266" s="6" t="s">
        <v>4074</v>
      </c>
      <c r="R266" s="17" t="s">
        <v>4237</v>
      </c>
      <c r="S266" s="17" t="s">
        <v>6634</v>
      </c>
      <c r="T266" s="13">
        <v>10</v>
      </c>
      <c r="U266" s="13">
        <v>3</v>
      </c>
      <c r="V266" s="13" t="s">
        <v>4070</v>
      </c>
      <c r="X266" s="132">
        <v>264</v>
      </c>
      <c r="Y266" s="6"/>
    </row>
    <row r="267" spans="1:25" ht="15" customHeight="1" x14ac:dyDescent="0.2">
      <c r="A267" s="12" t="s">
        <v>1700</v>
      </c>
      <c r="B267" s="13" t="s">
        <v>4978</v>
      </c>
      <c r="C267" s="74">
        <v>47615</v>
      </c>
      <c r="D267" s="13" t="s">
        <v>33</v>
      </c>
      <c r="E267" s="6" t="s">
        <v>3734</v>
      </c>
      <c r="F267" s="15" t="s">
        <v>11566</v>
      </c>
      <c r="G267" s="6" t="s">
        <v>812</v>
      </c>
      <c r="H267" s="6" t="s">
        <v>812</v>
      </c>
      <c r="I267" s="13" t="s">
        <v>25</v>
      </c>
      <c r="J267" s="13">
        <v>3</v>
      </c>
      <c r="K267" s="13" t="s">
        <v>1714</v>
      </c>
      <c r="L267" s="6" t="s">
        <v>3735</v>
      </c>
      <c r="M267" s="108" t="s">
        <v>11567</v>
      </c>
      <c r="N267" s="13" t="s">
        <v>2478</v>
      </c>
      <c r="O267" s="13" t="s">
        <v>61</v>
      </c>
      <c r="P267" s="13" t="s">
        <v>9</v>
      </c>
      <c r="Q267" s="6" t="s">
        <v>3736</v>
      </c>
      <c r="R267" s="6" t="s">
        <v>813</v>
      </c>
      <c r="S267" s="17" t="s">
        <v>2509</v>
      </c>
      <c r="T267" s="13">
        <v>75</v>
      </c>
      <c r="U267" s="13">
        <v>72</v>
      </c>
      <c r="V267" s="13" t="s">
        <v>3737</v>
      </c>
      <c r="X267" s="132">
        <v>265</v>
      </c>
      <c r="Y267" s="6"/>
    </row>
    <row r="268" spans="1:25" ht="15" customHeight="1" x14ac:dyDescent="0.2">
      <c r="A268" s="20" t="s">
        <v>1701</v>
      </c>
      <c r="B268" s="22" t="s">
        <v>2608</v>
      </c>
      <c r="C268" s="14">
        <v>44517</v>
      </c>
      <c r="D268" s="13" t="s">
        <v>33</v>
      </c>
      <c r="E268" s="6" t="s">
        <v>815</v>
      </c>
      <c r="F268" s="15" t="s">
        <v>816</v>
      </c>
      <c r="G268" s="6" t="s">
        <v>817</v>
      </c>
      <c r="I268" s="13" t="s">
        <v>25</v>
      </c>
      <c r="J268" s="13">
        <v>3</v>
      </c>
      <c r="K268" s="13" t="s">
        <v>1714</v>
      </c>
      <c r="L268" s="6"/>
      <c r="M268" s="108"/>
      <c r="O268" s="13" t="s">
        <v>8</v>
      </c>
      <c r="P268" s="13" t="s">
        <v>9</v>
      </c>
      <c r="Q268" s="6"/>
      <c r="R268" s="6" t="s">
        <v>818</v>
      </c>
      <c r="S268" s="17" t="s">
        <v>6639</v>
      </c>
      <c r="T268" s="13"/>
      <c r="U268" s="13"/>
      <c r="V268" s="13"/>
      <c r="X268" s="132">
        <v>266</v>
      </c>
      <c r="Y268" s="6"/>
    </row>
    <row r="269" spans="1:25" ht="15" customHeight="1" x14ac:dyDescent="0.25">
      <c r="A269" s="12" t="s">
        <v>1702</v>
      </c>
      <c r="B269" s="13" t="s">
        <v>4977</v>
      </c>
      <c r="C269" s="14">
        <v>46359</v>
      </c>
      <c r="D269" s="13" t="s">
        <v>1533</v>
      </c>
      <c r="E269" s="6" t="s">
        <v>8747</v>
      </c>
      <c r="F269" s="15" t="s">
        <v>8554</v>
      </c>
      <c r="G269" s="6" t="s">
        <v>821</v>
      </c>
      <c r="H269" s="6" t="s">
        <v>8555</v>
      </c>
      <c r="I269" s="13" t="s">
        <v>7931</v>
      </c>
      <c r="J269" s="13">
        <v>9</v>
      </c>
      <c r="K269" s="13" t="s">
        <v>6603</v>
      </c>
      <c r="L269" s="6" t="s">
        <v>8556</v>
      </c>
      <c r="M269" s="108" t="s">
        <v>8557</v>
      </c>
      <c r="N269" s="13" t="s">
        <v>36</v>
      </c>
      <c r="O269" s="13" t="s">
        <v>36</v>
      </c>
      <c r="P269" s="13" t="s">
        <v>4</v>
      </c>
      <c r="Q269" s="6" t="s">
        <v>8558</v>
      </c>
      <c r="R269" s="69" t="s">
        <v>8559</v>
      </c>
      <c r="S269" s="69" t="s">
        <v>8560</v>
      </c>
      <c r="T269" s="13">
        <v>35</v>
      </c>
      <c r="U269" s="13">
        <v>35</v>
      </c>
      <c r="V269" s="13" t="s">
        <v>8561</v>
      </c>
      <c r="X269" s="132">
        <v>267</v>
      </c>
      <c r="Y269" s="6"/>
    </row>
    <row r="270" spans="1:25" ht="15" customHeight="1" x14ac:dyDescent="0.25">
      <c r="A270" s="12" t="s">
        <v>2377</v>
      </c>
      <c r="B270" s="13" t="s">
        <v>4978</v>
      </c>
      <c r="C270" s="74">
        <v>47285</v>
      </c>
      <c r="D270" s="13" t="s">
        <v>1533</v>
      </c>
      <c r="E270" s="6" t="s">
        <v>823</v>
      </c>
      <c r="F270" s="15" t="s">
        <v>10083</v>
      </c>
      <c r="G270" s="6" t="s">
        <v>10068</v>
      </c>
      <c r="H270" s="6" t="s">
        <v>824</v>
      </c>
      <c r="I270" s="13" t="s">
        <v>7931</v>
      </c>
      <c r="J270" s="13">
        <v>9</v>
      </c>
      <c r="K270" s="13" t="s">
        <v>6603</v>
      </c>
      <c r="L270" s="6" t="s">
        <v>2390</v>
      </c>
      <c r="M270" s="108" t="s">
        <v>2392</v>
      </c>
      <c r="N270" s="13" t="s">
        <v>2391</v>
      </c>
      <c r="O270" s="13" t="s">
        <v>1889</v>
      </c>
      <c r="P270" s="13" t="s">
        <v>68</v>
      </c>
      <c r="Q270" s="6" t="s">
        <v>10081</v>
      </c>
      <c r="R270" s="69" t="s">
        <v>10070</v>
      </c>
      <c r="T270" s="13">
        <v>30</v>
      </c>
      <c r="U270" s="13">
        <v>33</v>
      </c>
      <c r="V270" s="13" t="s">
        <v>10082</v>
      </c>
      <c r="X270" s="132">
        <v>268</v>
      </c>
      <c r="Y270" s="6"/>
    </row>
    <row r="271" spans="1:25" ht="15" customHeight="1" x14ac:dyDescent="0.25">
      <c r="A271" s="12" t="s">
        <v>2378</v>
      </c>
      <c r="B271" s="13" t="s">
        <v>4978</v>
      </c>
      <c r="C271" s="74">
        <v>47285</v>
      </c>
      <c r="D271" s="13" t="s">
        <v>1533</v>
      </c>
      <c r="E271" s="6" t="s">
        <v>823</v>
      </c>
      <c r="F271" s="15" t="s">
        <v>10084</v>
      </c>
      <c r="G271" s="6" t="s">
        <v>10068</v>
      </c>
      <c r="H271" s="6" t="s">
        <v>10085</v>
      </c>
      <c r="I271" s="13" t="s">
        <v>13</v>
      </c>
      <c r="J271" s="13">
        <v>7</v>
      </c>
      <c r="K271" s="13" t="s">
        <v>6603</v>
      </c>
      <c r="L271" s="6" t="s">
        <v>2393</v>
      </c>
      <c r="M271" s="108" t="s">
        <v>2394</v>
      </c>
      <c r="N271" s="13" t="s">
        <v>2395</v>
      </c>
      <c r="O271" s="13" t="s">
        <v>1889</v>
      </c>
      <c r="P271" s="13" t="s">
        <v>68</v>
      </c>
      <c r="Q271" s="6" t="s">
        <v>10086</v>
      </c>
      <c r="R271" s="69" t="s">
        <v>10070</v>
      </c>
      <c r="T271" s="13">
        <v>200</v>
      </c>
      <c r="U271" s="13">
        <v>320</v>
      </c>
      <c r="V271" s="13" t="s">
        <v>10087</v>
      </c>
      <c r="X271" s="132">
        <v>269</v>
      </c>
      <c r="Y271" s="6"/>
    </row>
    <row r="272" spans="1:25" ht="15" customHeight="1" x14ac:dyDescent="0.25">
      <c r="A272" s="12" t="s">
        <v>2379</v>
      </c>
      <c r="B272" s="13" t="s">
        <v>4978</v>
      </c>
      <c r="C272" s="74">
        <v>47285</v>
      </c>
      <c r="D272" s="13" t="s">
        <v>1533</v>
      </c>
      <c r="E272" s="6" t="s">
        <v>823</v>
      </c>
      <c r="F272" s="15" t="s">
        <v>10067</v>
      </c>
      <c r="G272" s="6" t="s">
        <v>10068</v>
      </c>
      <c r="H272" s="6" t="s">
        <v>825</v>
      </c>
      <c r="I272" s="13" t="s">
        <v>13</v>
      </c>
      <c r="J272" s="13">
        <v>7</v>
      </c>
      <c r="K272" s="13" t="s">
        <v>6603</v>
      </c>
      <c r="L272" s="6" t="s">
        <v>2390</v>
      </c>
      <c r="M272" s="108" t="s">
        <v>2392</v>
      </c>
      <c r="N272" s="13" t="s">
        <v>2391</v>
      </c>
      <c r="O272" s="13" t="s">
        <v>2146</v>
      </c>
      <c r="P272" s="13" t="s">
        <v>68</v>
      </c>
      <c r="Q272" s="6" t="s">
        <v>10069</v>
      </c>
      <c r="R272" s="69" t="s">
        <v>10070</v>
      </c>
      <c r="T272" s="13">
        <v>200</v>
      </c>
      <c r="U272" s="13">
        <v>500</v>
      </c>
      <c r="V272" s="13" t="s">
        <v>10071</v>
      </c>
      <c r="X272" s="132">
        <v>270</v>
      </c>
      <c r="Y272" s="6"/>
    </row>
    <row r="273" spans="1:25" ht="15" customHeight="1" x14ac:dyDescent="0.25">
      <c r="A273" s="12" t="s">
        <v>1703</v>
      </c>
      <c r="B273" s="13" t="s">
        <v>4978</v>
      </c>
      <c r="C273" s="74">
        <v>47406</v>
      </c>
      <c r="D273" s="13" t="s">
        <v>33</v>
      </c>
      <c r="E273" s="6" t="s">
        <v>828</v>
      </c>
      <c r="F273" s="15" t="s">
        <v>10753</v>
      </c>
      <c r="G273" s="6" t="s">
        <v>829</v>
      </c>
      <c r="H273" s="6" t="s">
        <v>829</v>
      </c>
      <c r="I273" s="13" t="s">
        <v>25</v>
      </c>
      <c r="J273" s="13">
        <v>3</v>
      </c>
      <c r="K273" s="13" t="s">
        <v>1714</v>
      </c>
      <c r="L273" s="6" t="s">
        <v>2636</v>
      </c>
      <c r="M273" s="108" t="s">
        <v>2638</v>
      </c>
      <c r="N273" s="13" t="s">
        <v>2130</v>
      </c>
      <c r="O273" s="13" t="s">
        <v>1889</v>
      </c>
      <c r="P273" s="13" t="s">
        <v>68</v>
      </c>
      <c r="Q273" s="6" t="s">
        <v>10754</v>
      </c>
      <c r="R273" s="69" t="s">
        <v>10755</v>
      </c>
      <c r="S273" s="6" t="s">
        <v>2637</v>
      </c>
      <c r="T273" s="13">
        <v>21</v>
      </c>
      <c r="U273" s="13">
        <v>17</v>
      </c>
      <c r="V273" s="13" t="s">
        <v>10756</v>
      </c>
      <c r="X273" s="132">
        <v>271</v>
      </c>
      <c r="Y273" s="6"/>
    </row>
    <row r="274" spans="1:25" ht="15" customHeight="1" x14ac:dyDescent="0.2">
      <c r="A274" s="12" t="s">
        <v>1704</v>
      </c>
      <c r="B274" s="13" t="s">
        <v>4978</v>
      </c>
      <c r="C274" s="100">
        <v>46537</v>
      </c>
      <c r="D274" s="13" t="s">
        <v>33</v>
      </c>
      <c r="E274" s="6" t="s">
        <v>2505</v>
      </c>
      <c r="F274" s="15" t="s">
        <v>5353</v>
      </c>
      <c r="G274" s="6" t="s">
        <v>832</v>
      </c>
      <c r="H274" s="6" t="s">
        <v>832</v>
      </c>
      <c r="I274" s="13" t="s">
        <v>25</v>
      </c>
      <c r="J274" s="13">
        <v>3</v>
      </c>
      <c r="K274" s="13" t="s">
        <v>1714</v>
      </c>
      <c r="L274" s="6" t="s">
        <v>2508</v>
      </c>
      <c r="M274" s="108" t="s">
        <v>2506</v>
      </c>
      <c r="N274" s="13" t="s">
        <v>2507</v>
      </c>
      <c r="O274" s="13" t="s">
        <v>61</v>
      </c>
      <c r="P274" s="13" t="s">
        <v>9</v>
      </c>
      <c r="Q274" s="6" t="s">
        <v>5354</v>
      </c>
      <c r="R274" s="6" t="s">
        <v>813</v>
      </c>
      <c r="S274" s="6" t="s">
        <v>2509</v>
      </c>
      <c r="T274" s="13">
        <v>39</v>
      </c>
      <c r="U274" s="13">
        <v>39</v>
      </c>
      <c r="V274" s="13" t="s">
        <v>5355</v>
      </c>
      <c r="X274" s="132">
        <v>272</v>
      </c>
      <c r="Y274" s="6"/>
    </row>
    <row r="275" spans="1:25" ht="15" customHeight="1" x14ac:dyDescent="0.2">
      <c r="A275" s="12" t="s">
        <v>9648</v>
      </c>
      <c r="B275" s="13" t="s">
        <v>4978</v>
      </c>
      <c r="C275" s="74">
        <v>46722</v>
      </c>
      <c r="D275" s="13" t="s">
        <v>33</v>
      </c>
      <c r="E275" s="6" t="s">
        <v>2317</v>
      </c>
      <c r="G275" s="6" t="s">
        <v>835</v>
      </c>
      <c r="H275" s="6" t="s">
        <v>835</v>
      </c>
      <c r="I275" s="13" t="s">
        <v>25</v>
      </c>
      <c r="J275" s="13">
        <v>3</v>
      </c>
      <c r="K275" s="13" t="s">
        <v>1714</v>
      </c>
      <c r="L275" s="6" t="s">
        <v>2318</v>
      </c>
      <c r="M275" s="108" t="s">
        <v>2319</v>
      </c>
      <c r="N275" s="13" t="s">
        <v>2320</v>
      </c>
      <c r="O275" s="13" t="s">
        <v>2085</v>
      </c>
      <c r="P275" s="13" t="s">
        <v>68</v>
      </c>
      <c r="Q275" s="6" t="s">
        <v>6349</v>
      </c>
      <c r="R275" s="17" t="s">
        <v>2321</v>
      </c>
      <c r="S275" s="17" t="s">
        <v>6350</v>
      </c>
      <c r="T275" s="13">
        <v>53</v>
      </c>
      <c r="U275" s="13">
        <v>53</v>
      </c>
      <c r="V275" s="13" t="s">
        <v>6351</v>
      </c>
      <c r="X275" s="132">
        <v>273</v>
      </c>
      <c r="Y275" s="6"/>
    </row>
    <row r="276" spans="1:25" ht="15" customHeight="1" x14ac:dyDescent="0.25">
      <c r="A276" s="12" t="s">
        <v>9647</v>
      </c>
      <c r="B276" s="13" t="s">
        <v>4978</v>
      </c>
      <c r="C276" s="74">
        <v>47209</v>
      </c>
      <c r="D276" s="13" t="s">
        <v>33</v>
      </c>
      <c r="E276" s="6" t="s">
        <v>2317</v>
      </c>
      <c r="F276" s="15" t="s">
        <v>9649</v>
      </c>
      <c r="G276" s="6" t="s">
        <v>9650</v>
      </c>
      <c r="H276" s="6" t="s">
        <v>9650</v>
      </c>
      <c r="I276" s="13" t="s">
        <v>25</v>
      </c>
      <c r="J276" s="13">
        <v>3</v>
      </c>
      <c r="K276" s="13" t="s">
        <v>1714</v>
      </c>
      <c r="L276" s="6" t="s">
        <v>9651</v>
      </c>
      <c r="M276" s="108" t="s">
        <v>9652</v>
      </c>
      <c r="N276" s="13" t="s">
        <v>2320</v>
      </c>
      <c r="O276" s="13" t="s">
        <v>2085</v>
      </c>
      <c r="P276" s="13" t="s">
        <v>68</v>
      </c>
      <c r="Q276" s="6" t="s">
        <v>9653</v>
      </c>
      <c r="R276" s="69" t="s">
        <v>2321</v>
      </c>
      <c r="S276" s="69" t="s">
        <v>6350</v>
      </c>
      <c r="T276" s="18">
        <v>25</v>
      </c>
      <c r="U276" s="18">
        <v>25</v>
      </c>
      <c r="V276" s="13" t="s">
        <v>9654</v>
      </c>
      <c r="X276" s="132">
        <v>274</v>
      </c>
      <c r="Y276" s="6"/>
    </row>
    <row r="277" spans="1:25" ht="15" customHeight="1" x14ac:dyDescent="0.25">
      <c r="A277" s="12" t="s">
        <v>1705</v>
      </c>
      <c r="B277" s="13" t="s">
        <v>4978</v>
      </c>
      <c r="C277" s="74">
        <v>47055</v>
      </c>
      <c r="D277" s="13" t="s">
        <v>33</v>
      </c>
      <c r="E277" s="6" t="s">
        <v>8301</v>
      </c>
      <c r="F277" s="15" t="s">
        <v>838</v>
      </c>
      <c r="G277" s="6" t="s">
        <v>839</v>
      </c>
      <c r="H277" s="6" t="s">
        <v>839</v>
      </c>
      <c r="I277" s="13" t="s">
        <v>25</v>
      </c>
      <c r="J277" s="13">
        <v>3</v>
      </c>
      <c r="K277" s="13" t="s">
        <v>1714</v>
      </c>
      <c r="L277" s="6" t="s">
        <v>8302</v>
      </c>
      <c r="M277" s="108" t="s">
        <v>8303</v>
      </c>
      <c r="N277" s="13" t="s">
        <v>4558</v>
      </c>
      <c r="O277" s="13" t="s">
        <v>2146</v>
      </c>
      <c r="P277" s="13" t="s">
        <v>68</v>
      </c>
      <c r="Q277" s="6" t="s">
        <v>8304</v>
      </c>
      <c r="R277" s="69" t="s">
        <v>8305</v>
      </c>
      <c r="S277" s="17"/>
      <c r="T277" s="13">
        <v>24</v>
      </c>
      <c r="U277" s="13">
        <v>19</v>
      </c>
      <c r="V277" t="s">
        <v>8306</v>
      </c>
      <c r="X277" s="132">
        <v>275</v>
      </c>
      <c r="Y277" s="6"/>
    </row>
    <row r="278" spans="1:25" ht="15" customHeight="1" x14ac:dyDescent="0.2">
      <c r="A278" s="12" t="s">
        <v>2754</v>
      </c>
      <c r="B278" s="13" t="s">
        <v>4978</v>
      </c>
      <c r="C278" s="100">
        <v>47552</v>
      </c>
      <c r="D278" s="13" t="s">
        <v>33</v>
      </c>
      <c r="E278" s="6" t="s">
        <v>2956</v>
      </c>
      <c r="F278" s="15" t="s">
        <v>11194</v>
      </c>
      <c r="G278" s="6" t="s">
        <v>842</v>
      </c>
      <c r="H278" s="6" t="s">
        <v>842</v>
      </c>
      <c r="I278" s="13" t="s">
        <v>25</v>
      </c>
      <c r="J278" s="13">
        <v>3</v>
      </c>
      <c r="K278" s="13" t="s">
        <v>1714</v>
      </c>
      <c r="L278" s="6" t="s">
        <v>2755</v>
      </c>
      <c r="M278" s="108" t="s">
        <v>2756</v>
      </c>
      <c r="N278" s="13" t="s">
        <v>2719</v>
      </c>
      <c r="O278" s="13" t="s">
        <v>15</v>
      </c>
      <c r="P278" s="13" t="s">
        <v>16</v>
      </c>
      <c r="Q278" s="6" t="s">
        <v>11195</v>
      </c>
      <c r="R278" s="6" t="s">
        <v>843</v>
      </c>
      <c r="S278" s="17" t="s">
        <v>2758</v>
      </c>
      <c r="T278" s="13">
        <v>35</v>
      </c>
      <c r="U278" s="13">
        <v>32</v>
      </c>
      <c r="V278" s="13" t="s">
        <v>11196</v>
      </c>
      <c r="X278" s="132">
        <v>276</v>
      </c>
      <c r="Y278" s="6"/>
    </row>
    <row r="279" spans="1:25" ht="15" customHeight="1" x14ac:dyDescent="0.2">
      <c r="A279" s="20" t="s">
        <v>2759</v>
      </c>
      <c r="B279" s="22" t="s">
        <v>2608</v>
      </c>
      <c r="C279" s="23">
        <v>45970</v>
      </c>
      <c r="D279" s="13" t="s">
        <v>33</v>
      </c>
      <c r="E279" s="6" t="s">
        <v>2956</v>
      </c>
      <c r="G279" s="6" t="s">
        <v>842</v>
      </c>
      <c r="H279" s="6" t="s">
        <v>844</v>
      </c>
      <c r="I279" s="13" t="s">
        <v>25</v>
      </c>
      <c r="J279" s="13">
        <v>3</v>
      </c>
      <c r="K279" s="13" t="s">
        <v>1714</v>
      </c>
      <c r="L279" s="6" t="s">
        <v>2760</v>
      </c>
      <c r="M279" s="108" t="s">
        <v>2761</v>
      </c>
      <c r="N279" s="13" t="s">
        <v>2762</v>
      </c>
      <c r="O279" s="13" t="s">
        <v>2146</v>
      </c>
      <c r="P279" s="13" t="s">
        <v>68</v>
      </c>
      <c r="Q279" s="6" t="s">
        <v>2763</v>
      </c>
      <c r="R279" s="17" t="s">
        <v>2764</v>
      </c>
      <c r="S279" s="17" t="s">
        <v>2758</v>
      </c>
      <c r="T279" s="13">
        <v>24</v>
      </c>
      <c r="U279" s="13">
        <v>22</v>
      </c>
      <c r="V279" s="13" t="s">
        <v>11196</v>
      </c>
      <c r="X279" s="132">
        <v>277</v>
      </c>
      <c r="Y279" s="6"/>
    </row>
    <row r="280" spans="1:25" ht="15" customHeight="1" x14ac:dyDescent="0.2">
      <c r="A280" s="12" t="s">
        <v>5438</v>
      </c>
      <c r="B280" s="13" t="s">
        <v>4978</v>
      </c>
      <c r="C280" s="74">
        <v>46564</v>
      </c>
      <c r="D280" s="13" t="s">
        <v>33</v>
      </c>
      <c r="E280" s="6" t="s">
        <v>2956</v>
      </c>
      <c r="G280" s="6" t="s">
        <v>842</v>
      </c>
      <c r="H280" s="6" t="s">
        <v>844</v>
      </c>
      <c r="I280" s="13" t="s">
        <v>7931</v>
      </c>
      <c r="J280" s="13">
        <v>4</v>
      </c>
      <c r="K280" s="13" t="s">
        <v>1714</v>
      </c>
      <c r="L280" s="6" t="s">
        <v>2760</v>
      </c>
      <c r="M280" s="108" t="s">
        <v>2761</v>
      </c>
      <c r="N280" s="13" t="s">
        <v>5439</v>
      </c>
      <c r="O280" s="13" t="s">
        <v>2146</v>
      </c>
      <c r="P280" s="13" t="s">
        <v>68</v>
      </c>
      <c r="Q280" s="6" t="s">
        <v>5440</v>
      </c>
      <c r="R280" s="17" t="s">
        <v>5441</v>
      </c>
      <c r="S280" s="17" t="s">
        <v>2758</v>
      </c>
      <c r="T280" s="18">
        <v>20</v>
      </c>
      <c r="U280" s="18">
        <v>16</v>
      </c>
      <c r="V280" s="13" t="s">
        <v>5442</v>
      </c>
      <c r="X280" s="132">
        <v>278</v>
      </c>
      <c r="Y280" s="6"/>
    </row>
    <row r="281" spans="1:25" ht="15" customHeight="1" x14ac:dyDescent="0.25">
      <c r="A281" s="12" t="s">
        <v>1706</v>
      </c>
      <c r="B281" s="13" t="s">
        <v>4978</v>
      </c>
      <c r="C281" s="74">
        <v>47268</v>
      </c>
      <c r="D281" s="13" t="s">
        <v>33</v>
      </c>
      <c r="E281" s="6" t="s">
        <v>9951</v>
      </c>
      <c r="F281" s="15" t="s">
        <v>9952</v>
      </c>
      <c r="G281" s="6" t="s">
        <v>847</v>
      </c>
      <c r="H281" s="6" t="s">
        <v>847</v>
      </c>
      <c r="I281" s="13" t="s">
        <v>25</v>
      </c>
      <c r="J281" s="13">
        <v>3</v>
      </c>
      <c r="K281" s="13" t="s">
        <v>1714</v>
      </c>
      <c r="L281" s="6" t="s">
        <v>9953</v>
      </c>
      <c r="M281" s="108" t="s">
        <v>2396</v>
      </c>
      <c r="N281" s="13" t="s">
        <v>136</v>
      </c>
      <c r="O281" s="13" t="s">
        <v>136</v>
      </c>
      <c r="P281" s="13" t="s">
        <v>4</v>
      </c>
      <c r="Q281" s="6" t="s">
        <v>9954</v>
      </c>
      <c r="R281" s="69" t="s">
        <v>4068</v>
      </c>
      <c r="S281" s="6" t="s">
        <v>2397</v>
      </c>
      <c r="T281" s="13">
        <v>24</v>
      </c>
      <c r="U281" s="13">
        <v>24</v>
      </c>
      <c r="V281" s="13" t="s">
        <v>9955</v>
      </c>
      <c r="X281" s="132">
        <v>279</v>
      </c>
      <c r="Y281" s="6"/>
    </row>
    <row r="282" spans="1:25" ht="15" customHeight="1" x14ac:dyDescent="0.2">
      <c r="A282" s="12" t="s">
        <v>2398</v>
      </c>
      <c r="B282" s="13" t="s">
        <v>4978</v>
      </c>
      <c r="C282" s="74">
        <v>47345</v>
      </c>
      <c r="D282" s="13" t="s">
        <v>33</v>
      </c>
      <c r="E282" s="6" t="s">
        <v>10413</v>
      </c>
      <c r="F282" s="15" t="s">
        <v>10417</v>
      </c>
      <c r="G282" s="6" t="s">
        <v>850</v>
      </c>
      <c r="H282" s="6" t="s">
        <v>850</v>
      </c>
      <c r="I282" s="13" t="s">
        <v>25</v>
      </c>
      <c r="J282" s="13">
        <v>3</v>
      </c>
      <c r="K282" s="13" t="s">
        <v>1714</v>
      </c>
      <c r="L282" s="6" t="s">
        <v>2400</v>
      </c>
      <c r="M282" s="108" t="s">
        <v>2401</v>
      </c>
      <c r="N282" s="13" t="s">
        <v>15</v>
      </c>
      <c r="O282" s="13" t="s">
        <v>15</v>
      </c>
      <c r="P282" s="13" t="s">
        <v>16</v>
      </c>
      <c r="Q282" s="6" t="s">
        <v>10414</v>
      </c>
      <c r="R282" s="6" t="s">
        <v>851</v>
      </c>
      <c r="S282" s="6" t="s">
        <v>2402</v>
      </c>
      <c r="T282" s="13">
        <v>36</v>
      </c>
      <c r="U282" s="13">
        <v>30</v>
      </c>
      <c r="V282" s="13" t="s">
        <v>10415</v>
      </c>
      <c r="X282" s="132">
        <v>280</v>
      </c>
      <c r="Y282" s="6"/>
    </row>
    <row r="283" spans="1:25" ht="15" customHeight="1" x14ac:dyDescent="0.2">
      <c r="A283" s="12" t="s">
        <v>2399</v>
      </c>
      <c r="B283" s="13" t="s">
        <v>4978</v>
      </c>
      <c r="C283" s="74">
        <v>47345</v>
      </c>
      <c r="D283" s="13" t="s">
        <v>33</v>
      </c>
      <c r="E283" s="6" t="s">
        <v>10413</v>
      </c>
      <c r="F283" s="15" t="s">
        <v>10416</v>
      </c>
      <c r="G283" s="6" t="s">
        <v>852</v>
      </c>
      <c r="H283" s="6" t="s">
        <v>852</v>
      </c>
      <c r="I283" s="13" t="s">
        <v>25</v>
      </c>
      <c r="J283" s="13">
        <v>3</v>
      </c>
      <c r="K283" s="13" t="s">
        <v>1714</v>
      </c>
      <c r="L283" s="6" t="s">
        <v>2403</v>
      </c>
      <c r="M283" s="108" t="s">
        <v>2404</v>
      </c>
      <c r="N283" s="13" t="s">
        <v>15</v>
      </c>
      <c r="O283" s="13" t="s">
        <v>15</v>
      </c>
      <c r="P283" s="13" t="s">
        <v>16</v>
      </c>
      <c r="Q283" s="6" t="s">
        <v>10418</v>
      </c>
      <c r="R283" s="6" t="s">
        <v>851</v>
      </c>
      <c r="S283" s="6" t="s">
        <v>2402</v>
      </c>
      <c r="T283" s="13">
        <v>31</v>
      </c>
      <c r="U283" s="13">
        <v>30</v>
      </c>
      <c r="V283" s="13" t="s">
        <v>10415</v>
      </c>
      <c r="X283" s="132">
        <v>281</v>
      </c>
      <c r="Y283" s="6"/>
    </row>
    <row r="284" spans="1:25" ht="15" customHeight="1" x14ac:dyDescent="0.2">
      <c r="A284" s="12" t="s">
        <v>1707</v>
      </c>
      <c r="B284" s="13" t="s">
        <v>4978</v>
      </c>
      <c r="C284" s="100">
        <v>46705</v>
      </c>
      <c r="D284" s="13" t="s">
        <v>33</v>
      </c>
      <c r="E284" s="6" t="s">
        <v>3013</v>
      </c>
      <c r="F284" s="15" t="s">
        <v>6299</v>
      </c>
      <c r="G284" s="6" t="s">
        <v>855</v>
      </c>
      <c r="H284" s="6" t="s">
        <v>855</v>
      </c>
      <c r="I284" s="13" t="s">
        <v>25</v>
      </c>
      <c r="J284" s="13">
        <v>3</v>
      </c>
      <c r="K284" s="13" t="s">
        <v>1714</v>
      </c>
      <c r="L284" s="6" t="s">
        <v>3014</v>
      </c>
      <c r="M284" s="108" t="s">
        <v>3015</v>
      </c>
      <c r="N284" s="13" t="s">
        <v>3016</v>
      </c>
      <c r="O284" s="13" t="s">
        <v>15</v>
      </c>
      <c r="P284" s="13" t="s">
        <v>16</v>
      </c>
      <c r="Q284" s="6" t="s">
        <v>3017</v>
      </c>
      <c r="R284" s="17" t="s">
        <v>3019</v>
      </c>
      <c r="S284" s="17" t="s">
        <v>3018</v>
      </c>
      <c r="T284" s="13">
        <v>16</v>
      </c>
      <c r="U284" s="13">
        <v>16</v>
      </c>
      <c r="V284" s="13" t="s">
        <v>6049</v>
      </c>
      <c r="W284" s="13" t="s">
        <v>3020</v>
      </c>
      <c r="X284" s="132">
        <v>282</v>
      </c>
      <c r="Y284" s="6"/>
    </row>
    <row r="285" spans="1:25" ht="15" customHeight="1" x14ac:dyDescent="0.2">
      <c r="A285" s="12" t="s">
        <v>1708</v>
      </c>
      <c r="B285" s="13" t="s">
        <v>4978</v>
      </c>
      <c r="C285" s="100" t="s">
        <v>6469</v>
      </c>
      <c r="D285" s="13" t="s">
        <v>33</v>
      </c>
      <c r="E285" s="6" t="s">
        <v>2529</v>
      </c>
      <c r="G285" s="6" t="s">
        <v>858</v>
      </c>
      <c r="H285" s="6" t="s">
        <v>858</v>
      </c>
      <c r="I285" s="13" t="s">
        <v>25</v>
      </c>
      <c r="J285" s="13">
        <v>3</v>
      </c>
      <c r="K285" s="13" t="s">
        <v>1714</v>
      </c>
      <c r="L285" s="6" t="s">
        <v>2530</v>
      </c>
      <c r="M285" s="108" t="s">
        <v>2531</v>
      </c>
      <c r="N285" s="13" t="s">
        <v>2470</v>
      </c>
      <c r="O285" s="13" t="s">
        <v>136</v>
      </c>
      <c r="P285" s="13" t="s">
        <v>4</v>
      </c>
      <c r="Q285" s="6" t="s">
        <v>6464</v>
      </c>
      <c r="R285" s="6" t="s">
        <v>859</v>
      </c>
      <c r="S285" s="17" t="s">
        <v>6634</v>
      </c>
      <c r="T285" s="13">
        <v>39</v>
      </c>
      <c r="U285" s="13">
        <v>27</v>
      </c>
      <c r="V285" s="13" t="s">
        <v>6465</v>
      </c>
      <c r="W285" s="13" t="s">
        <v>2532</v>
      </c>
      <c r="X285" s="132">
        <v>283</v>
      </c>
      <c r="Y285" s="6"/>
    </row>
    <row r="286" spans="1:25" ht="15" customHeight="1" x14ac:dyDescent="0.2">
      <c r="A286" s="20" t="s">
        <v>1709</v>
      </c>
      <c r="B286" s="22" t="s">
        <v>2608</v>
      </c>
      <c r="C286" s="14">
        <v>43820</v>
      </c>
      <c r="D286" s="13" t="s">
        <v>33</v>
      </c>
      <c r="E286" s="6" t="s">
        <v>861</v>
      </c>
      <c r="F286" s="15" t="s">
        <v>862</v>
      </c>
      <c r="G286" s="6" t="s">
        <v>7760</v>
      </c>
      <c r="I286" s="13" t="s">
        <v>25</v>
      </c>
      <c r="J286" s="13">
        <v>3</v>
      </c>
      <c r="K286" s="13" t="s">
        <v>1714</v>
      </c>
      <c r="L286" s="6"/>
      <c r="M286" s="108"/>
      <c r="O286" s="13" t="s">
        <v>519</v>
      </c>
      <c r="P286" s="13" t="s">
        <v>16</v>
      </c>
      <c r="Q286" s="6"/>
      <c r="R286" s="6" t="s">
        <v>864</v>
      </c>
      <c r="S286" s="17" t="s">
        <v>6634</v>
      </c>
      <c r="T286" s="13"/>
      <c r="U286" s="13"/>
      <c r="V286" s="13"/>
      <c r="X286" s="132">
        <v>284</v>
      </c>
      <c r="Y286" s="6"/>
    </row>
    <row r="287" spans="1:25" ht="15" customHeight="1" x14ac:dyDescent="0.2">
      <c r="A287" s="12" t="s">
        <v>2172</v>
      </c>
      <c r="B287" s="13" t="s">
        <v>4978</v>
      </c>
      <c r="C287" s="74">
        <v>46582</v>
      </c>
      <c r="D287" s="13" t="s">
        <v>1533</v>
      </c>
      <c r="E287" s="6" t="s">
        <v>866</v>
      </c>
      <c r="F287" s="15" t="s">
        <v>11736</v>
      </c>
      <c r="G287" s="6" t="s">
        <v>5356</v>
      </c>
      <c r="H287" s="6" t="s">
        <v>867</v>
      </c>
      <c r="I287" s="13" t="s">
        <v>25</v>
      </c>
      <c r="J287" s="13">
        <v>6</v>
      </c>
      <c r="K287" s="13" t="s">
        <v>1714</v>
      </c>
      <c r="L287" s="6" t="s">
        <v>2174</v>
      </c>
      <c r="M287" s="108" t="s">
        <v>2175</v>
      </c>
      <c r="N287" s="13" t="s">
        <v>2176</v>
      </c>
      <c r="O287" s="13" t="s">
        <v>36</v>
      </c>
      <c r="P287" s="13" t="s">
        <v>4</v>
      </c>
      <c r="Q287" s="6" t="s">
        <v>2177</v>
      </c>
      <c r="R287" s="17" t="s">
        <v>4620</v>
      </c>
      <c r="S287" s="17" t="s">
        <v>2171</v>
      </c>
      <c r="T287" s="13">
        <v>100</v>
      </c>
      <c r="U287" s="13">
        <v>83</v>
      </c>
      <c r="V287" s="13" t="s">
        <v>5599</v>
      </c>
      <c r="X287" s="132">
        <v>285</v>
      </c>
      <c r="Y287" s="6"/>
    </row>
    <row r="288" spans="1:25" ht="15" customHeight="1" x14ac:dyDescent="0.25">
      <c r="A288" s="12" t="s">
        <v>2173</v>
      </c>
      <c r="B288" s="13" t="s">
        <v>4977</v>
      </c>
      <c r="C288" s="23">
        <v>46675</v>
      </c>
      <c r="D288" s="13" t="s">
        <v>1533</v>
      </c>
      <c r="E288" s="6" t="s">
        <v>866</v>
      </c>
      <c r="F288" s="15" t="s">
        <v>10634</v>
      </c>
      <c r="G288" s="6" t="s">
        <v>5356</v>
      </c>
      <c r="H288" s="6" t="s">
        <v>868</v>
      </c>
      <c r="I288" s="13" t="s">
        <v>25</v>
      </c>
      <c r="J288" s="13">
        <v>6</v>
      </c>
      <c r="K288" s="13" t="s">
        <v>1714</v>
      </c>
      <c r="L288" s="6" t="s">
        <v>10665</v>
      </c>
      <c r="M288" s="108" t="s">
        <v>7626</v>
      </c>
      <c r="N288" s="13" t="s">
        <v>5946</v>
      </c>
      <c r="O288" s="13" t="s">
        <v>97</v>
      </c>
      <c r="P288" s="13" t="s">
        <v>4</v>
      </c>
      <c r="Q288" s="6" t="s">
        <v>10635</v>
      </c>
      <c r="R288" s="69" t="s">
        <v>4620</v>
      </c>
      <c r="S288" s="17" t="s">
        <v>2171</v>
      </c>
      <c r="T288" s="13">
        <v>50</v>
      </c>
      <c r="U288" s="13">
        <v>46</v>
      </c>
      <c r="V288" s="13" t="s">
        <v>5600</v>
      </c>
      <c r="X288" s="132">
        <v>286</v>
      </c>
      <c r="Y288" s="6"/>
    </row>
    <row r="289" spans="1:25" ht="15" customHeight="1" x14ac:dyDescent="0.25">
      <c r="A289" s="12" t="s">
        <v>1826</v>
      </c>
      <c r="B289" s="13" t="s">
        <v>4978</v>
      </c>
      <c r="C289" s="74">
        <v>47055</v>
      </c>
      <c r="D289" s="13" t="s">
        <v>1533</v>
      </c>
      <c r="E289" s="6" t="s">
        <v>866</v>
      </c>
      <c r="F289" s="15" t="s">
        <v>8433</v>
      </c>
      <c r="G289" s="6" t="s">
        <v>5356</v>
      </c>
      <c r="H289" s="6" t="s">
        <v>1828</v>
      </c>
      <c r="I289" s="13" t="s">
        <v>13</v>
      </c>
      <c r="J289" s="13">
        <v>7</v>
      </c>
      <c r="K289" s="13" t="s">
        <v>6603</v>
      </c>
      <c r="L289" s="6" t="s">
        <v>11951</v>
      </c>
      <c r="M289" s="108" t="s">
        <v>7626</v>
      </c>
      <c r="N289" s="13" t="s">
        <v>5946</v>
      </c>
      <c r="O289" s="13" t="s">
        <v>97</v>
      </c>
      <c r="P289" s="13" t="s">
        <v>4</v>
      </c>
      <c r="Q289" s="6" t="s">
        <v>6301</v>
      </c>
      <c r="R289" s="69" t="s">
        <v>2170</v>
      </c>
      <c r="S289" s="17" t="s">
        <v>2171</v>
      </c>
      <c r="T289" s="18">
        <v>200</v>
      </c>
      <c r="U289" s="13">
        <v>200</v>
      </c>
      <c r="V289" s="13" t="s">
        <v>8365</v>
      </c>
      <c r="X289" s="132">
        <v>287</v>
      </c>
      <c r="Y289" s="6"/>
    </row>
    <row r="290" spans="1:25" ht="15" customHeight="1" x14ac:dyDescent="0.2">
      <c r="A290" s="20" t="s">
        <v>1827</v>
      </c>
      <c r="B290" s="22" t="s">
        <v>2608</v>
      </c>
      <c r="C290" s="14">
        <v>45642</v>
      </c>
      <c r="D290" s="13" t="s">
        <v>1533</v>
      </c>
      <c r="E290" s="6" t="s">
        <v>866</v>
      </c>
      <c r="F290" s="15" t="s">
        <v>11737</v>
      </c>
      <c r="G290" s="6" t="s">
        <v>5356</v>
      </c>
      <c r="H290" s="6" t="s">
        <v>1829</v>
      </c>
      <c r="I290" s="13" t="s">
        <v>13</v>
      </c>
      <c r="J290" s="13">
        <v>8</v>
      </c>
      <c r="K290" s="13" t="s">
        <v>1714</v>
      </c>
      <c r="L290" s="6" t="s">
        <v>4617</v>
      </c>
      <c r="M290" s="108" t="s">
        <v>4618</v>
      </c>
      <c r="N290" s="13" t="s">
        <v>4619</v>
      </c>
      <c r="O290" s="13" t="s">
        <v>36</v>
      </c>
      <c r="P290" s="13" t="s">
        <v>4</v>
      </c>
      <c r="Q290" s="6" t="s">
        <v>1830</v>
      </c>
      <c r="R290" s="17" t="s">
        <v>4620</v>
      </c>
      <c r="S290" s="17" t="s">
        <v>2171</v>
      </c>
      <c r="T290" s="18">
        <v>2136</v>
      </c>
      <c r="U290" s="13">
        <v>103</v>
      </c>
      <c r="V290" s="13" t="s">
        <v>4621</v>
      </c>
      <c r="X290" s="132">
        <v>288</v>
      </c>
      <c r="Y290" s="6"/>
    </row>
    <row r="291" spans="1:25" ht="15" customHeight="1" x14ac:dyDescent="0.2">
      <c r="A291" s="20" t="s">
        <v>6273</v>
      </c>
      <c r="B291" s="22" t="s">
        <v>2608</v>
      </c>
      <c r="C291" s="14">
        <v>45975</v>
      </c>
      <c r="D291" s="13" t="s">
        <v>1533</v>
      </c>
      <c r="E291" s="6" t="s">
        <v>866</v>
      </c>
      <c r="F291" s="15" t="s">
        <v>6300</v>
      </c>
      <c r="G291" s="6" t="s">
        <v>5356</v>
      </c>
      <c r="H291" s="6" t="s">
        <v>1828</v>
      </c>
      <c r="I291" s="13" t="s">
        <v>39</v>
      </c>
      <c r="J291" s="13">
        <v>12</v>
      </c>
      <c r="K291" s="13" t="s">
        <v>1714</v>
      </c>
      <c r="L291" s="6" t="s">
        <v>7627</v>
      </c>
      <c r="M291" s="108" t="s">
        <v>7626</v>
      </c>
      <c r="N291" s="13" t="s">
        <v>7625</v>
      </c>
      <c r="O291" s="13" t="s">
        <v>97</v>
      </c>
      <c r="P291" s="13" t="s">
        <v>4</v>
      </c>
      <c r="Q291" s="6" t="s">
        <v>6301</v>
      </c>
      <c r="R291" s="17" t="s">
        <v>4620</v>
      </c>
      <c r="S291" s="17" t="s">
        <v>2171</v>
      </c>
      <c r="T291" s="18">
        <v>120</v>
      </c>
      <c r="U291" s="18">
        <v>120</v>
      </c>
      <c r="V291" s="13" t="s">
        <v>4621</v>
      </c>
      <c r="X291" s="132">
        <v>289</v>
      </c>
      <c r="Y291" s="6"/>
    </row>
    <row r="292" spans="1:25" ht="15" customHeight="1" x14ac:dyDescent="0.2">
      <c r="A292" s="12" t="s">
        <v>1710</v>
      </c>
      <c r="B292" s="13" t="s">
        <v>4978</v>
      </c>
      <c r="C292" s="74">
        <v>47615</v>
      </c>
      <c r="D292" s="13" t="s">
        <v>33</v>
      </c>
      <c r="E292" s="6" t="s">
        <v>3738</v>
      </c>
      <c r="F292" s="15" t="s">
        <v>870</v>
      </c>
      <c r="G292" s="6" t="s">
        <v>871</v>
      </c>
      <c r="H292" s="6" t="s">
        <v>871</v>
      </c>
      <c r="I292" s="13" t="s">
        <v>25</v>
      </c>
      <c r="J292" s="13">
        <v>3</v>
      </c>
      <c r="K292" s="13" t="s">
        <v>1714</v>
      </c>
      <c r="L292" s="6" t="s">
        <v>11468</v>
      </c>
      <c r="M292" s="108" t="s">
        <v>11467</v>
      </c>
      <c r="N292" s="13" t="s">
        <v>2130</v>
      </c>
      <c r="O292" s="13" t="s">
        <v>1889</v>
      </c>
      <c r="P292" s="13" t="s">
        <v>68</v>
      </c>
      <c r="Q292" s="6" t="s">
        <v>3739</v>
      </c>
      <c r="R292" s="6" t="s">
        <v>872</v>
      </c>
      <c r="S292" s="17" t="s">
        <v>3740</v>
      </c>
      <c r="T292" s="13">
        <v>26</v>
      </c>
      <c r="U292" s="13">
        <v>9</v>
      </c>
      <c r="V292" s="13" t="s">
        <v>3741</v>
      </c>
      <c r="X292" s="132">
        <v>290</v>
      </c>
      <c r="Y292" s="6"/>
    </row>
    <row r="293" spans="1:25" ht="15" customHeight="1" x14ac:dyDescent="0.2">
      <c r="A293" s="12" t="s">
        <v>873</v>
      </c>
      <c r="B293" s="13" t="s">
        <v>4978</v>
      </c>
      <c r="C293" s="74">
        <v>46705</v>
      </c>
      <c r="D293" s="13" t="s">
        <v>33</v>
      </c>
      <c r="E293" s="6" t="s">
        <v>874</v>
      </c>
      <c r="F293" s="15" t="s">
        <v>875</v>
      </c>
      <c r="G293" s="6" t="s">
        <v>876</v>
      </c>
      <c r="H293" s="6" t="s">
        <v>876</v>
      </c>
      <c r="I293" s="13" t="s">
        <v>25</v>
      </c>
      <c r="J293" s="13">
        <v>3</v>
      </c>
      <c r="K293" s="13" t="s">
        <v>1714</v>
      </c>
      <c r="L293" s="6" t="s">
        <v>6313</v>
      </c>
      <c r="M293" s="108" t="s">
        <v>6314</v>
      </c>
      <c r="N293" s="13" t="s">
        <v>2123</v>
      </c>
      <c r="O293" s="13" t="s">
        <v>15</v>
      </c>
      <c r="P293" s="13" t="s">
        <v>16</v>
      </c>
      <c r="Q293" s="6" t="s">
        <v>3786</v>
      </c>
      <c r="R293" s="17" t="s">
        <v>1959</v>
      </c>
      <c r="S293" s="17" t="s">
        <v>6631</v>
      </c>
      <c r="T293" s="13">
        <v>28</v>
      </c>
      <c r="U293" s="13">
        <v>28</v>
      </c>
      <c r="V293" s="13" t="s">
        <v>5768</v>
      </c>
      <c r="X293" s="132">
        <v>291</v>
      </c>
      <c r="Y293" s="6"/>
    </row>
    <row r="294" spans="1:25" ht="15" customHeight="1" x14ac:dyDescent="0.25">
      <c r="A294" s="12" t="s">
        <v>877</v>
      </c>
      <c r="B294" s="24" t="s">
        <v>4977</v>
      </c>
      <c r="C294" s="14">
        <v>46822</v>
      </c>
      <c r="D294" s="13" t="s">
        <v>33</v>
      </c>
      <c r="E294" s="6" t="s">
        <v>2405</v>
      </c>
      <c r="F294" s="15" t="s">
        <v>11390</v>
      </c>
      <c r="G294" s="6" t="s">
        <v>879</v>
      </c>
      <c r="H294" s="6" t="s">
        <v>879</v>
      </c>
      <c r="I294" s="13" t="s">
        <v>25</v>
      </c>
      <c r="J294" s="13">
        <v>3</v>
      </c>
      <c r="K294" s="13" t="s">
        <v>1714</v>
      </c>
      <c r="L294" s="6" t="s">
        <v>2406</v>
      </c>
      <c r="M294" s="108" t="s">
        <v>11391</v>
      </c>
      <c r="N294" s="13" t="s">
        <v>2407</v>
      </c>
      <c r="O294" s="13" t="s">
        <v>61</v>
      </c>
      <c r="P294" s="13" t="s">
        <v>9</v>
      </c>
      <c r="Q294" s="6" t="s">
        <v>11392</v>
      </c>
      <c r="R294" s="69" t="s">
        <v>11393</v>
      </c>
      <c r="S294" s="17"/>
      <c r="T294" s="13">
        <v>30</v>
      </c>
      <c r="U294" s="13">
        <v>28</v>
      </c>
      <c r="V294" s="13" t="s">
        <v>11394</v>
      </c>
      <c r="X294" s="132">
        <v>292</v>
      </c>
      <c r="Y294" s="6"/>
    </row>
    <row r="295" spans="1:25" ht="15" customHeight="1" x14ac:dyDescent="0.2">
      <c r="A295" s="12" t="s">
        <v>880</v>
      </c>
      <c r="B295" s="13" t="s">
        <v>4978</v>
      </c>
      <c r="C295" s="100">
        <v>46564</v>
      </c>
      <c r="D295" s="13" t="s">
        <v>33</v>
      </c>
      <c r="E295" s="6" t="s">
        <v>2561</v>
      </c>
      <c r="F295" s="15" t="s">
        <v>9959</v>
      </c>
      <c r="G295" s="6" t="s">
        <v>882</v>
      </c>
      <c r="H295" s="6" t="s">
        <v>882</v>
      </c>
      <c r="I295" s="13" t="s">
        <v>25</v>
      </c>
      <c r="J295" s="13">
        <v>3</v>
      </c>
      <c r="K295" s="13" t="s">
        <v>1714</v>
      </c>
      <c r="L295" s="6" t="s">
        <v>2562</v>
      </c>
      <c r="M295" s="108" t="s">
        <v>2563</v>
      </c>
      <c r="N295" s="13" t="s">
        <v>2564</v>
      </c>
      <c r="O295" s="13" t="s">
        <v>21</v>
      </c>
      <c r="P295" s="13" t="s">
        <v>9</v>
      </c>
      <c r="Q295" s="6" t="s">
        <v>5583</v>
      </c>
      <c r="R295" s="17" t="s">
        <v>2565</v>
      </c>
      <c r="S295" s="17" t="s">
        <v>2566</v>
      </c>
      <c r="T295" s="13">
        <v>30</v>
      </c>
      <c r="U295" s="13">
        <v>18</v>
      </c>
      <c r="V295" s="13" t="s">
        <v>2567</v>
      </c>
      <c r="X295" s="132">
        <v>293</v>
      </c>
      <c r="Y295" s="6"/>
    </row>
    <row r="296" spans="1:25" ht="15" customHeight="1" x14ac:dyDescent="0.2">
      <c r="A296" s="12" t="s">
        <v>883</v>
      </c>
      <c r="B296" s="13" t="s">
        <v>4978</v>
      </c>
      <c r="C296" s="74">
        <v>46889</v>
      </c>
      <c r="D296" s="13" t="s">
        <v>33</v>
      </c>
      <c r="E296" s="6" t="s">
        <v>884</v>
      </c>
      <c r="F296" s="15" t="s">
        <v>7254</v>
      </c>
      <c r="G296" s="6" t="s">
        <v>885</v>
      </c>
      <c r="H296" s="6" t="s">
        <v>885</v>
      </c>
      <c r="I296" s="13" t="s">
        <v>25</v>
      </c>
      <c r="J296" s="13">
        <v>3</v>
      </c>
      <c r="K296" s="13" t="s">
        <v>1714</v>
      </c>
      <c r="L296" s="6" t="s">
        <v>7255</v>
      </c>
      <c r="M296" s="108" t="s">
        <v>7256</v>
      </c>
      <c r="N296" s="13" t="s">
        <v>7257</v>
      </c>
      <c r="O296" s="13" t="s">
        <v>128</v>
      </c>
      <c r="P296" s="13" t="s">
        <v>16</v>
      </c>
      <c r="Q296" s="6" t="s">
        <v>7258</v>
      </c>
      <c r="R296" s="6" t="s">
        <v>886</v>
      </c>
      <c r="S296" s="17" t="s">
        <v>7259</v>
      </c>
      <c r="T296" s="13">
        <v>28</v>
      </c>
      <c r="U296" s="13">
        <v>28</v>
      </c>
      <c r="V296" s="13" t="s">
        <v>7260</v>
      </c>
      <c r="X296" s="132">
        <v>294</v>
      </c>
      <c r="Y296" s="6"/>
    </row>
    <row r="297" spans="1:25" ht="15" customHeight="1" x14ac:dyDescent="0.25">
      <c r="A297" s="12" t="s">
        <v>887</v>
      </c>
      <c r="B297" s="13" t="s">
        <v>4978</v>
      </c>
      <c r="C297" s="74">
        <v>47552</v>
      </c>
      <c r="D297" s="13" t="s">
        <v>33</v>
      </c>
      <c r="E297" s="6" t="s">
        <v>11311</v>
      </c>
      <c r="F297" s="15" t="s">
        <v>9543</v>
      </c>
      <c r="G297" s="6" t="s">
        <v>889</v>
      </c>
      <c r="H297" s="6" t="s">
        <v>889</v>
      </c>
      <c r="I297" s="13" t="s">
        <v>25</v>
      </c>
      <c r="J297" s="13">
        <v>3</v>
      </c>
      <c r="K297" s="13" t="s">
        <v>1714</v>
      </c>
      <c r="L297" s="6" t="s">
        <v>3233</v>
      </c>
      <c r="M297" s="108" t="s">
        <v>11312</v>
      </c>
      <c r="N297" s="13" t="s">
        <v>3234</v>
      </c>
      <c r="O297" s="13" t="s">
        <v>97</v>
      </c>
      <c r="P297" s="13" t="s">
        <v>4</v>
      </c>
      <c r="Q297" s="6" t="s">
        <v>11313</v>
      </c>
      <c r="R297" s="69" t="s">
        <v>11314</v>
      </c>
      <c r="S297" s="17" t="s">
        <v>3235</v>
      </c>
      <c r="T297" s="13">
        <v>24</v>
      </c>
      <c r="U297" s="13">
        <v>22</v>
      </c>
      <c r="V297" s="13" t="s">
        <v>3232</v>
      </c>
      <c r="X297" s="132">
        <v>295</v>
      </c>
      <c r="Y297" s="6"/>
    </row>
    <row r="298" spans="1:25" ht="15" customHeight="1" x14ac:dyDescent="0.25">
      <c r="A298" s="12" t="s">
        <v>890</v>
      </c>
      <c r="B298" s="13" t="s">
        <v>4977</v>
      </c>
      <c r="C298" s="14">
        <v>46295</v>
      </c>
      <c r="D298" s="13" t="s">
        <v>33</v>
      </c>
      <c r="E298" s="6" t="s">
        <v>891</v>
      </c>
      <c r="F298" s="15" t="s">
        <v>892</v>
      </c>
      <c r="G298" s="6" t="s">
        <v>8126</v>
      </c>
      <c r="H298" s="6" t="s">
        <v>8126</v>
      </c>
      <c r="I298" s="13" t="s">
        <v>25</v>
      </c>
      <c r="J298" s="13">
        <v>3</v>
      </c>
      <c r="K298" s="13" t="s">
        <v>1714</v>
      </c>
      <c r="L298" s="6" t="s">
        <v>8127</v>
      </c>
      <c r="M298" s="108" t="s">
        <v>5053</v>
      </c>
      <c r="N298" s="13" t="s">
        <v>2483</v>
      </c>
      <c r="O298" s="13" t="s">
        <v>172</v>
      </c>
      <c r="P298" s="13" t="s">
        <v>9</v>
      </c>
      <c r="Q298" s="6" t="s">
        <v>8128</v>
      </c>
      <c r="R298" s="69" t="s">
        <v>8129</v>
      </c>
      <c r="S298" s="69" t="s">
        <v>8130</v>
      </c>
      <c r="T298" s="13">
        <v>29</v>
      </c>
      <c r="U298" s="13">
        <v>24</v>
      </c>
      <c r="V298" s="13" t="s">
        <v>8131</v>
      </c>
      <c r="X298" s="132">
        <v>296</v>
      </c>
      <c r="Y298" s="6"/>
    </row>
    <row r="299" spans="1:25" ht="15" customHeight="1" x14ac:dyDescent="0.25">
      <c r="A299" s="12" t="s">
        <v>895</v>
      </c>
      <c r="B299" s="13" t="s">
        <v>4977</v>
      </c>
      <c r="C299" s="14">
        <v>46478</v>
      </c>
      <c r="D299" s="13" t="s">
        <v>33</v>
      </c>
      <c r="E299" s="6" t="s">
        <v>4397</v>
      </c>
      <c r="F299" s="15" t="s">
        <v>8176</v>
      </c>
      <c r="G299" s="6" t="s">
        <v>897</v>
      </c>
      <c r="H299" s="6" t="s">
        <v>897</v>
      </c>
      <c r="I299" s="13" t="s">
        <v>25</v>
      </c>
      <c r="J299" s="13">
        <v>3</v>
      </c>
      <c r="K299" s="13" t="s">
        <v>1714</v>
      </c>
      <c r="L299" s="6" t="s">
        <v>4622</v>
      </c>
      <c r="M299" s="108" t="s">
        <v>4623</v>
      </c>
      <c r="N299" s="13" t="s">
        <v>2776</v>
      </c>
      <c r="O299" s="13" t="s">
        <v>136</v>
      </c>
      <c r="P299" s="13" t="s">
        <v>4</v>
      </c>
      <c r="Q299" s="6" t="s">
        <v>4624</v>
      </c>
      <c r="R299" s="69" t="s">
        <v>898</v>
      </c>
      <c r="S299" s="17" t="s">
        <v>4625</v>
      </c>
      <c r="T299" s="13">
        <v>30</v>
      </c>
      <c r="U299" s="13">
        <v>24</v>
      </c>
      <c r="V299" s="13" t="s">
        <v>4626</v>
      </c>
      <c r="X299" s="132">
        <v>297</v>
      </c>
      <c r="Y299" s="6"/>
    </row>
    <row r="300" spans="1:25" ht="15" customHeight="1" x14ac:dyDescent="0.2">
      <c r="A300" s="12" t="s">
        <v>899</v>
      </c>
      <c r="B300" s="13" t="s">
        <v>4978</v>
      </c>
      <c r="C300" s="74">
        <v>46320</v>
      </c>
      <c r="D300" s="13" t="s">
        <v>33</v>
      </c>
      <c r="E300" s="6" t="s">
        <v>4397</v>
      </c>
      <c r="F300" s="15" t="s">
        <v>11738</v>
      </c>
      <c r="G300" s="6" t="s">
        <v>900</v>
      </c>
      <c r="I300" s="13" t="s">
        <v>25</v>
      </c>
      <c r="J300" s="13">
        <v>3</v>
      </c>
      <c r="K300" s="13" t="s">
        <v>1714</v>
      </c>
      <c r="L300" s="6" t="s">
        <v>4401</v>
      </c>
      <c r="M300" s="108" t="s">
        <v>4402</v>
      </c>
      <c r="N300" s="13" t="s">
        <v>4403</v>
      </c>
      <c r="O300" s="13" t="s">
        <v>53</v>
      </c>
      <c r="P300" s="13" t="s">
        <v>54</v>
      </c>
      <c r="Q300" s="6" t="s">
        <v>4400</v>
      </c>
      <c r="R300" s="17" t="s">
        <v>4399</v>
      </c>
      <c r="S300" s="17" t="s">
        <v>6634</v>
      </c>
      <c r="T300" s="13">
        <v>30</v>
      </c>
      <c r="U300" s="13">
        <v>24</v>
      </c>
      <c r="V300" s="13" t="s">
        <v>4398</v>
      </c>
      <c r="X300" s="132">
        <v>298</v>
      </c>
      <c r="Y300" s="6"/>
    </row>
    <row r="301" spans="1:25" ht="15" customHeight="1" x14ac:dyDescent="0.2">
      <c r="A301" s="12" t="s">
        <v>901</v>
      </c>
      <c r="B301" s="13" t="s">
        <v>4978</v>
      </c>
      <c r="C301" s="74">
        <v>46238</v>
      </c>
      <c r="D301" s="13" t="s">
        <v>33</v>
      </c>
      <c r="E301" s="6" t="s">
        <v>4216</v>
      </c>
      <c r="F301" s="15" t="s">
        <v>903</v>
      </c>
      <c r="G301" s="6" t="s">
        <v>4215</v>
      </c>
      <c r="I301" s="13" t="s">
        <v>25</v>
      </c>
      <c r="J301" s="13">
        <v>3</v>
      </c>
      <c r="K301" s="13" t="s">
        <v>1714</v>
      </c>
      <c r="L301" s="6" t="s">
        <v>4218</v>
      </c>
      <c r="M301" s="108" t="s">
        <v>4219</v>
      </c>
      <c r="N301" s="13" t="s">
        <v>2470</v>
      </c>
      <c r="O301" s="13" t="s">
        <v>136</v>
      </c>
      <c r="P301" s="13" t="s">
        <v>4</v>
      </c>
      <c r="Q301" s="6" t="s">
        <v>4220</v>
      </c>
      <c r="R301" s="17" t="s">
        <v>4221</v>
      </c>
      <c r="S301" s="17" t="s">
        <v>4222</v>
      </c>
      <c r="T301" s="13">
        <v>30</v>
      </c>
      <c r="U301" s="13">
        <v>30</v>
      </c>
      <c r="V301" s="13" t="s">
        <v>4217</v>
      </c>
      <c r="X301" s="132">
        <v>299</v>
      </c>
      <c r="Y301" s="6"/>
    </row>
    <row r="302" spans="1:25" ht="15" customHeight="1" x14ac:dyDescent="0.2">
      <c r="A302" s="20" t="s">
        <v>905</v>
      </c>
      <c r="B302" s="22" t="s">
        <v>2608</v>
      </c>
      <c r="C302" s="14">
        <v>44669</v>
      </c>
      <c r="D302" s="13" t="s">
        <v>33</v>
      </c>
      <c r="E302" s="6" t="s">
        <v>906</v>
      </c>
      <c r="F302" s="15" t="s">
        <v>907</v>
      </c>
      <c r="G302" s="6" t="s">
        <v>908</v>
      </c>
      <c r="I302" s="13" t="s">
        <v>25</v>
      </c>
      <c r="J302" s="13">
        <v>3</v>
      </c>
      <c r="K302" s="13" t="s">
        <v>1714</v>
      </c>
      <c r="L302" s="6"/>
      <c r="M302" s="108"/>
      <c r="O302" s="13" t="s">
        <v>177</v>
      </c>
      <c r="P302" s="13" t="s">
        <v>9</v>
      </c>
      <c r="Q302" s="6"/>
      <c r="R302" s="6" t="s">
        <v>909</v>
      </c>
      <c r="S302" s="17" t="s">
        <v>6645</v>
      </c>
      <c r="T302" s="13"/>
      <c r="U302" s="13"/>
      <c r="V302" s="13"/>
      <c r="X302" s="132">
        <v>300</v>
      </c>
      <c r="Y302" s="6"/>
    </row>
    <row r="303" spans="1:25" ht="15" customHeight="1" x14ac:dyDescent="0.25">
      <c r="A303" s="19" t="s">
        <v>910</v>
      </c>
      <c r="B303" s="13" t="s">
        <v>4978</v>
      </c>
      <c r="C303" s="100">
        <v>47253</v>
      </c>
      <c r="D303" s="13" t="s">
        <v>1533</v>
      </c>
      <c r="E303" s="6" t="s">
        <v>9899</v>
      </c>
      <c r="F303" s="15" t="s">
        <v>912</v>
      </c>
      <c r="G303" s="6" t="s">
        <v>913</v>
      </c>
      <c r="H303" s="6" t="s">
        <v>2480</v>
      </c>
      <c r="I303" s="13" t="s">
        <v>13</v>
      </c>
      <c r="J303" s="13">
        <v>7</v>
      </c>
      <c r="K303" s="13" t="s">
        <v>6603</v>
      </c>
      <c r="L303" s="6" t="s">
        <v>2481</v>
      </c>
      <c r="M303" s="108" t="s">
        <v>2482</v>
      </c>
      <c r="N303" s="13" t="s">
        <v>2483</v>
      </c>
      <c r="O303" s="13" t="s">
        <v>172</v>
      </c>
      <c r="P303" s="13" t="s">
        <v>9</v>
      </c>
      <c r="Q303" s="6" t="s">
        <v>9897</v>
      </c>
      <c r="R303" s="69" t="s">
        <v>9898</v>
      </c>
      <c r="S303" s="17" t="s">
        <v>2484</v>
      </c>
      <c r="T303" s="13">
        <v>200</v>
      </c>
      <c r="U303" s="13">
        <v>383</v>
      </c>
      <c r="V303" s="13" t="s">
        <v>2504</v>
      </c>
      <c r="X303" s="132">
        <v>301</v>
      </c>
      <c r="Y303" s="6"/>
    </row>
    <row r="304" spans="1:25" ht="15" customHeight="1" x14ac:dyDescent="0.25">
      <c r="A304" s="12" t="s">
        <v>12002</v>
      </c>
      <c r="B304" s="13" t="s">
        <v>4978</v>
      </c>
      <c r="C304" s="14">
        <v>47642</v>
      </c>
      <c r="D304" s="13" t="s">
        <v>1533</v>
      </c>
      <c r="E304" s="6" t="s">
        <v>9899</v>
      </c>
      <c r="F304" s="15" t="s">
        <v>12003</v>
      </c>
      <c r="G304" s="6" t="s">
        <v>913</v>
      </c>
      <c r="H304" s="6" t="s">
        <v>12004</v>
      </c>
      <c r="I304" s="13" t="s">
        <v>2702</v>
      </c>
      <c r="J304" s="13">
        <v>11</v>
      </c>
      <c r="K304" s="13" t="s">
        <v>6603</v>
      </c>
      <c r="L304" s="6" t="s">
        <v>12005</v>
      </c>
      <c r="M304" s="108" t="s">
        <v>12006</v>
      </c>
      <c r="N304" s="13" t="s">
        <v>12007</v>
      </c>
      <c r="O304" s="13" t="s">
        <v>204</v>
      </c>
      <c r="P304" s="13" t="s">
        <v>9</v>
      </c>
      <c r="Q304" s="6" t="s">
        <v>12008</v>
      </c>
      <c r="R304" s="69" t="s">
        <v>12009</v>
      </c>
      <c r="S304" s="69" t="s">
        <v>2484</v>
      </c>
      <c r="T304" s="18">
        <v>1020</v>
      </c>
      <c r="U304" s="18">
        <v>158</v>
      </c>
      <c r="V304" s="13" t="s">
        <v>2504</v>
      </c>
      <c r="X304" s="132"/>
      <c r="Y304" s="6"/>
    </row>
    <row r="305" spans="1:25" ht="15" customHeight="1" x14ac:dyDescent="0.2">
      <c r="A305" s="12" t="s">
        <v>914</v>
      </c>
      <c r="B305" s="13" t="s">
        <v>4978</v>
      </c>
      <c r="C305" s="74">
        <v>47450</v>
      </c>
      <c r="D305" s="13" t="s">
        <v>33</v>
      </c>
      <c r="E305" s="6" t="s">
        <v>2950</v>
      </c>
      <c r="F305" s="15" t="s">
        <v>9516</v>
      </c>
      <c r="G305" s="6" t="s">
        <v>916</v>
      </c>
      <c r="H305" s="6" t="s">
        <v>916</v>
      </c>
      <c r="I305" s="13" t="s">
        <v>25</v>
      </c>
      <c r="J305" s="13">
        <v>3</v>
      </c>
      <c r="K305" s="13" t="s">
        <v>1714</v>
      </c>
      <c r="L305" s="6" t="s">
        <v>2855</v>
      </c>
      <c r="M305" s="108" t="s">
        <v>2856</v>
      </c>
      <c r="N305" s="13" t="s">
        <v>2340</v>
      </c>
      <c r="O305" s="13" t="s">
        <v>1055</v>
      </c>
      <c r="P305" s="13" t="s">
        <v>16</v>
      </c>
      <c r="Q305" s="6" t="s">
        <v>11014</v>
      </c>
      <c r="R305" s="6" t="s">
        <v>3054</v>
      </c>
      <c r="S305" s="17"/>
      <c r="T305" s="13">
        <v>32</v>
      </c>
      <c r="U305" s="13">
        <v>30</v>
      </c>
      <c r="V305" s="13" t="s">
        <v>2857</v>
      </c>
      <c r="X305" s="132">
        <v>302</v>
      </c>
      <c r="Y305" s="6"/>
    </row>
    <row r="306" spans="1:25" ht="15" customHeight="1" x14ac:dyDescent="0.2">
      <c r="A306" s="20" t="s">
        <v>917</v>
      </c>
      <c r="B306" s="22" t="s">
        <v>2608</v>
      </c>
      <c r="C306" s="14">
        <v>44669</v>
      </c>
      <c r="D306" s="13" t="s">
        <v>33</v>
      </c>
      <c r="E306" s="6" t="s">
        <v>918</v>
      </c>
      <c r="F306" s="15" t="s">
        <v>919</v>
      </c>
      <c r="G306" s="6" t="s">
        <v>920</v>
      </c>
      <c r="I306" s="13" t="s">
        <v>25</v>
      </c>
      <c r="J306" s="13">
        <v>3</v>
      </c>
      <c r="K306" s="13" t="s">
        <v>1714</v>
      </c>
      <c r="L306" s="6"/>
      <c r="M306" s="108"/>
      <c r="O306" s="13" t="s">
        <v>128</v>
      </c>
      <c r="P306" s="13" t="s">
        <v>16</v>
      </c>
      <c r="Q306" s="6"/>
      <c r="R306" s="6" t="s">
        <v>921</v>
      </c>
      <c r="S306" s="17" t="s">
        <v>6639</v>
      </c>
      <c r="T306" s="13"/>
      <c r="U306" s="13"/>
      <c r="V306" s="13"/>
      <c r="X306" s="132">
        <v>303</v>
      </c>
      <c r="Y306" s="6"/>
    </row>
    <row r="307" spans="1:25" ht="15" customHeight="1" x14ac:dyDescent="0.2">
      <c r="A307" s="20" t="s">
        <v>922</v>
      </c>
      <c r="B307" s="22" t="s">
        <v>2608</v>
      </c>
      <c r="C307" s="14">
        <v>43939</v>
      </c>
      <c r="D307" s="13" t="s">
        <v>1533</v>
      </c>
      <c r="E307" s="6" t="s">
        <v>923</v>
      </c>
      <c r="G307" s="6" t="s">
        <v>924</v>
      </c>
      <c r="I307" s="13" t="s">
        <v>13</v>
      </c>
      <c r="K307" s="13"/>
      <c r="L307" s="6"/>
      <c r="M307" s="108"/>
      <c r="O307" s="13" t="s">
        <v>925</v>
      </c>
      <c r="P307" s="13" t="s">
        <v>16</v>
      </c>
      <c r="Q307" s="6"/>
      <c r="T307" s="13"/>
      <c r="U307" s="13"/>
      <c r="V307" s="13"/>
      <c r="X307" s="132">
        <v>304</v>
      </c>
      <c r="Y307" s="6"/>
    </row>
    <row r="308" spans="1:25" ht="15" customHeight="1" x14ac:dyDescent="0.2">
      <c r="A308" s="12" t="s">
        <v>926</v>
      </c>
      <c r="B308" s="13" t="s">
        <v>4978</v>
      </c>
      <c r="C308" s="74">
        <v>46980</v>
      </c>
      <c r="D308" s="13" t="s">
        <v>33</v>
      </c>
      <c r="E308" s="6" t="s">
        <v>7982</v>
      </c>
      <c r="F308" s="15" t="s">
        <v>7857</v>
      </c>
      <c r="G308" s="6" t="s">
        <v>928</v>
      </c>
      <c r="H308" s="6" t="s">
        <v>928</v>
      </c>
      <c r="I308" s="13" t="s">
        <v>25</v>
      </c>
      <c r="J308" s="13">
        <v>3</v>
      </c>
      <c r="K308" s="13" t="s">
        <v>1714</v>
      </c>
      <c r="L308" s="6" t="s">
        <v>7858</v>
      </c>
      <c r="M308" s="108" t="s">
        <v>7859</v>
      </c>
      <c r="N308" s="13" t="s">
        <v>5932</v>
      </c>
      <c r="O308" s="13" t="s">
        <v>445</v>
      </c>
      <c r="P308" s="13" t="s">
        <v>16</v>
      </c>
      <c r="Q308" s="6" t="s">
        <v>7860</v>
      </c>
      <c r="R308" s="6" t="s">
        <v>929</v>
      </c>
      <c r="S308" s="25" t="s">
        <v>7861</v>
      </c>
      <c r="T308" s="13">
        <v>50</v>
      </c>
      <c r="U308" s="13">
        <v>32</v>
      </c>
      <c r="V308" s="26" t="s">
        <v>7862</v>
      </c>
      <c r="X308" s="132">
        <v>305</v>
      </c>
      <c r="Y308" s="6"/>
    </row>
    <row r="309" spans="1:25" ht="15" customHeight="1" x14ac:dyDescent="0.2">
      <c r="A309" s="12" t="s">
        <v>930</v>
      </c>
      <c r="B309" s="13" t="s">
        <v>4978</v>
      </c>
      <c r="C309" s="74">
        <v>46372</v>
      </c>
      <c r="D309" s="13" t="s">
        <v>33</v>
      </c>
      <c r="E309" s="6" t="s">
        <v>931</v>
      </c>
      <c r="G309" s="6" t="s">
        <v>932</v>
      </c>
      <c r="I309" s="13" t="s">
        <v>25</v>
      </c>
      <c r="J309" s="13">
        <v>3</v>
      </c>
      <c r="K309" s="13" t="s">
        <v>1714</v>
      </c>
      <c r="L309" s="6" t="s">
        <v>4669</v>
      </c>
      <c r="M309" s="108" t="s">
        <v>4670</v>
      </c>
      <c r="N309" s="13" t="s">
        <v>4671</v>
      </c>
      <c r="O309" s="13" t="s">
        <v>11948</v>
      </c>
      <c r="P309" s="13" t="s">
        <v>68</v>
      </c>
      <c r="Q309" s="6" t="s">
        <v>4672</v>
      </c>
      <c r="R309" s="6" t="s">
        <v>933</v>
      </c>
      <c r="S309" s="17" t="s">
        <v>6645</v>
      </c>
      <c r="T309" s="13">
        <v>15</v>
      </c>
      <c r="U309" s="13">
        <v>10</v>
      </c>
      <c r="V309" s="13" t="s">
        <v>4673</v>
      </c>
      <c r="X309" s="132">
        <v>306</v>
      </c>
      <c r="Y309" s="6"/>
    </row>
    <row r="310" spans="1:25" ht="15" customHeight="1" x14ac:dyDescent="0.2">
      <c r="A310" s="12" t="s">
        <v>934</v>
      </c>
      <c r="B310" s="13" t="s">
        <v>4978</v>
      </c>
      <c r="C310" s="74">
        <v>47450</v>
      </c>
      <c r="D310" s="13" t="s">
        <v>1533</v>
      </c>
      <c r="E310" s="6" t="s">
        <v>935</v>
      </c>
      <c r="F310" s="15" t="s">
        <v>10982</v>
      </c>
      <c r="G310" s="6" t="s">
        <v>936</v>
      </c>
      <c r="H310" s="6" t="s">
        <v>936</v>
      </c>
      <c r="I310" s="13" t="s">
        <v>13</v>
      </c>
      <c r="J310" s="13">
        <v>7</v>
      </c>
      <c r="K310" s="13" t="s">
        <v>6603</v>
      </c>
      <c r="L310" s="6" t="s">
        <v>10983</v>
      </c>
      <c r="M310" s="108" t="s">
        <v>3055</v>
      </c>
      <c r="N310" s="13" t="s">
        <v>2695</v>
      </c>
      <c r="O310" s="13" t="s">
        <v>11948</v>
      </c>
      <c r="P310" s="13" t="s">
        <v>68</v>
      </c>
      <c r="Q310" s="6" t="s">
        <v>10984</v>
      </c>
      <c r="R310" s="6" t="s">
        <v>937</v>
      </c>
      <c r="S310" s="17" t="s">
        <v>2696</v>
      </c>
      <c r="T310" s="13">
        <v>100</v>
      </c>
      <c r="U310" s="13">
        <v>77</v>
      </c>
      <c r="V310" s="13" t="s">
        <v>10985</v>
      </c>
      <c r="X310" s="132">
        <v>307</v>
      </c>
      <c r="Y310" s="6"/>
    </row>
    <row r="311" spans="1:25" ht="15" customHeight="1" x14ac:dyDescent="0.25">
      <c r="A311" s="19" t="s">
        <v>2970</v>
      </c>
      <c r="B311" s="13" t="s">
        <v>4977</v>
      </c>
      <c r="C311" s="14">
        <v>46512</v>
      </c>
      <c r="D311" s="13" t="s">
        <v>1533</v>
      </c>
      <c r="E311" s="6" t="s">
        <v>939</v>
      </c>
      <c r="F311" s="15" t="s">
        <v>9819</v>
      </c>
      <c r="G311" s="6" t="s">
        <v>940</v>
      </c>
      <c r="H311" s="6" t="s">
        <v>940</v>
      </c>
      <c r="I311" s="13" t="s">
        <v>39</v>
      </c>
      <c r="J311" s="13">
        <v>12</v>
      </c>
      <c r="K311" s="13" t="s">
        <v>1714</v>
      </c>
      <c r="L311" s="6" t="s">
        <v>9820</v>
      </c>
      <c r="M311" s="108" t="s">
        <v>9821</v>
      </c>
      <c r="N311" s="13" t="s">
        <v>36</v>
      </c>
      <c r="O311" s="13" t="s">
        <v>36</v>
      </c>
      <c r="P311" s="13" t="s">
        <v>4</v>
      </c>
      <c r="Q311" s="6" t="s">
        <v>2976</v>
      </c>
      <c r="R311" s="69" t="s">
        <v>9822</v>
      </c>
      <c r="S311" s="17" t="s">
        <v>2972</v>
      </c>
      <c r="T311" s="42">
        <v>150</v>
      </c>
      <c r="U311" s="13">
        <v>150</v>
      </c>
      <c r="V311" s="13" t="s">
        <v>2974</v>
      </c>
      <c r="X311" s="132">
        <v>308</v>
      </c>
      <c r="Y311" s="6"/>
    </row>
    <row r="312" spans="1:25" ht="15" customHeight="1" x14ac:dyDescent="0.2">
      <c r="A312" s="20" t="s">
        <v>2971</v>
      </c>
      <c r="B312" s="22" t="s">
        <v>2608</v>
      </c>
      <c r="C312" s="14">
        <v>45239</v>
      </c>
      <c r="D312" s="13" t="s">
        <v>1533</v>
      </c>
      <c r="E312" s="6" t="s">
        <v>939</v>
      </c>
      <c r="G312" s="6" t="s">
        <v>940</v>
      </c>
      <c r="I312" s="13" t="s">
        <v>39</v>
      </c>
      <c r="J312" s="13">
        <v>12</v>
      </c>
      <c r="K312" s="13" t="s">
        <v>1714</v>
      </c>
      <c r="L312" s="6" t="s">
        <v>2975</v>
      </c>
      <c r="M312" s="108"/>
      <c r="N312" s="13" t="s">
        <v>36</v>
      </c>
      <c r="O312" s="13" t="s">
        <v>36</v>
      </c>
      <c r="P312" s="13" t="s">
        <v>4</v>
      </c>
      <c r="Q312" s="6" t="s">
        <v>2976</v>
      </c>
      <c r="R312" s="17" t="s">
        <v>2973</v>
      </c>
      <c r="S312" s="17" t="s">
        <v>2972</v>
      </c>
      <c r="T312" s="42">
        <v>95</v>
      </c>
      <c r="U312" s="13">
        <v>95</v>
      </c>
      <c r="V312" s="13" t="s">
        <v>2974</v>
      </c>
      <c r="X312" s="132">
        <v>309</v>
      </c>
      <c r="Y312" s="6"/>
    </row>
    <row r="313" spans="1:25" ht="15" customHeight="1" x14ac:dyDescent="0.2">
      <c r="A313" s="12" t="s">
        <v>941</v>
      </c>
      <c r="B313" s="13" t="s">
        <v>4977</v>
      </c>
      <c r="C313" s="14">
        <v>46848</v>
      </c>
      <c r="D313" s="13" t="s">
        <v>33</v>
      </c>
      <c r="E313" s="6" t="s">
        <v>7066</v>
      </c>
      <c r="F313" s="15" t="s">
        <v>7067</v>
      </c>
      <c r="G313" s="6" t="s">
        <v>943</v>
      </c>
      <c r="H313" s="6" t="s">
        <v>943</v>
      </c>
      <c r="I313" s="13" t="s">
        <v>25</v>
      </c>
      <c r="J313" s="13">
        <v>3</v>
      </c>
      <c r="K313" s="13" t="s">
        <v>1714</v>
      </c>
      <c r="L313" s="6" t="s">
        <v>7068</v>
      </c>
      <c r="M313" s="108" t="s">
        <v>7069</v>
      </c>
      <c r="N313" s="13" t="s">
        <v>3642</v>
      </c>
      <c r="O313" s="13" t="s">
        <v>15</v>
      </c>
      <c r="P313" s="13" t="s">
        <v>16</v>
      </c>
      <c r="Q313" s="6" t="s">
        <v>3643</v>
      </c>
      <c r="R313" s="17" t="s">
        <v>3644</v>
      </c>
      <c r="S313" s="17"/>
      <c r="T313" s="13">
        <v>16</v>
      </c>
      <c r="U313" s="13">
        <v>14</v>
      </c>
      <c r="V313" s="13" t="s">
        <v>7070</v>
      </c>
      <c r="W313" s="13" t="s">
        <v>3645</v>
      </c>
      <c r="X313" s="132">
        <v>310</v>
      </c>
      <c r="Y313" s="6"/>
    </row>
    <row r="314" spans="1:25" ht="15" customHeight="1" x14ac:dyDescent="0.2">
      <c r="A314" s="20" t="s">
        <v>944</v>
      </c>
      <c r="B314" s="22" t="s">
        <v>2608</v>
      </c>
      <c r="C314" s="14">
        <v>44002</v>
      </c>
      <c r="D314" s="13" t="s">
        <v>33</v>
      </c>
      <c r="E314" s="6" t="s">
        <v>945</v>
      </c>
      <c r="G314" s="6" t="s">
        <v>946</v>
      </c>
      <c r="I314" s="13" t="s">
        <v>25</v>
      </c>
      <c r="J314" s="13">
        <v>3</v>
      </c>
      <c r="K314" s="13" t="s">
        <v>1714</v>
      </c>
      <c r="L314" s="6"/>
      <c r="M314" s="108"/>
      <c r="O314" s="13" t="s">
        <v>61</v>
      </c>
      <c r="P314" s="13" t="s">
        <v>9</v>
      </c>
      <c r="Q314" s="6"/>
      <c r="R314" s="6" t="s">
        <v>947</v>
      </c>
      <c r="S314" s="17" t="s">
        <v>6634</v>
      </c>
      <c r="T314" s="13"/>
      <c r="U314" s="13"/>
      <c r="V314" s="13"/>
      <c r="X314" s="132">
        <v>311</v>
      </c>
      <c r="Y314" s="6"/>
    </row>
    <row r="315" spans="1:25" ht="15" customHeight="1" x14ac:dyDescent="0.2">
      <c r="A315" s="20" t="s">
        <v>948</v>
      </c>
      <c r="B315" s="22" t="s">
        <v>2608</v>
      </c>
      <c r="C315" s="14">
        <v>44002</v>
      </c>
      <c r="D315" s="13" t="s">
        <v>33</v>
      </c>
      <c r="E315" s="6" t="s">
        <v>949</v>
      </c>
      <c r="F315" s="15" t="s">
        <v>11739</v>
      </c>
      <c r="G315" s="6" t="s">
        <v>950</v>
      </c>
      <c r="I315" s="13" t="s">
        <v>25</v>
      </c>
      <c r="J315" s="13">
        <v>3</v>
      </c>
      <c r="K315" s="13" t="s">
        <v>1714</v>
      </c>
      <c r="L315" s="6"/>
      <c r="M315" s="108"/>
      <c r="O315" s="13" t="s">
        <v>61</v>
      </c>
      <c r="P315" s="13" t="s">
        <v>9</v>
      </c>
      <c r="Q315" s="6"/>
      <c r="R315" s="6" t="s">
        <v>951</v>
      </c>
      <c r="S315" s="17" t="s">
        <v>6627</v>
      </c>
      <c r="T315" s="13"/>
      <c r="U315" s="13"/>
      <c r="V315" s="13"/>
      <c r="X315" s="132">
        <v>312</v>
      </c>
      <c r="Y315" s="6"/>
    </row>
    <row r="316" spans="1:25" ht="15" customHeight="1" x14ac:dyDescent="0.2">
      <c r="A316" s="20" t="s">
        <v>952</v>
      </c>
      <c r="B316" s="22" t="s">
        <v>2608</v>
      </c>
      <c r="C316" s="14">
        <v>44002</v>
      </c>
      <c r="D316" s="13" t="s">
        <v>1533</v>
      </c>
      <c r="E316" s="6" t="s">
        <v>953</v>
      </c>
      <c r="F316" s="15" t="s">
        <v>11740</v>
      </c>
      <c r="G316" s="6" t="s">
        <v>954</v>
      </c>
      <c r="I316" s="13" t="s">
        <v>7931</v>
      </c>
      <c r="K316" s="13"/>
      <c r="L316" s="6"/>
      <c r="M316" s="108"/>
      <c r="O316" s="13" t="s">
        <v>165</v>
      </c>
      <c r="P316" s="13" t="s">
        <v>9</v>
      </c>
      <c r="Q316" s="6"/>
      <c r="R316" s="6" t="s">
        <v>955</v>
      </c>
      <c r="S316" s="17" t="s">
        <v>6647</v>
      </c>
      <c r="T316" s="13"/>
      <c r="U316" s="13"/>
      <c r="V316" s="13"/>
      <c r="X316" s="132">
        <v>313</v>
      </c>
      <c r="Y316" s="6"/>
    </row>
    <row r="317" spans="1:25" ht="15" customHeight="1" x14ac:dyDescent="0.25">
      <c r="A317" s="12" t="s">
        <v>956</v>
      </c>
      <c r="B317" s="13" t="s">
        <v>4978</v>
      </c>
      <c r="C317" s="74">
        <v>47162</v>
      </c>
      <c r="D317" s="13" t="s">
        <v>33</v>
      </c>
      <c r="E317" s="6" t="s">
        <v>9249</v>
      </c>
      <c r="F317" s="15" t="s">
        <v>9250</v>
      </c>
      <c r="G317" s="6" t="s">
        <v>958</v>
      </c>
      <c r="H317" s="6" t="s">
        <v>958</v>
      </c>
      <c r="I317" s="13" t="s">
        <v>25</v>
      </c>
      <c r="J317" s="13">
        <v>3</v>
      </c>
      <c r="K317" s="13" t="s">
        <v>1714</v>
      </c>
      <c r="L317" s="6" t="s">
        <v>9251</v>
      </c>
      <c r="M317" s="108" t="s">
        <v>9252</v>
      </c>
      <c r="N317" s="13" t="s">
        <v>2223</v>
      </c>
      <c r="O317" s="13" t="s">
        <v>21</v>
      </c>
      <c r="P317" s="13" t="s">
        <v>9</v>
      </c>
      <c r="Q317" s="6" t="s">
        <v>9253</v>
      </c>
      <c r="R317" s="69" t="s">
        <v>5296</v>
      </c>
      <c r="T317" s="13">
        <v>32</v>
      </c>
      <c r="U317" s="13">
        <v>30</v>
      </c>
      <c r="V317" s="13" t="s">
        <v>9254</v>
      </c>
      <c r="X317" s="132">
        <v>314</v>
      </c>
      <c r="Y317" s="6"/>
    </row>
    <row r="318" spans="1:25" ht="15" customHeight="1" x14ac:dyDescent="0.2">
      <c r="A318" s="12" t="s">
        <v>959</v>
      </c>
      <c r="B318" s="13" t="s">
        <v>4977</v>
      </c>
      <c r="C318" s="14">
        <v>46949</v>
      </c>
      <c r="D318" s="13" t="s">
        <v>1533</v>
      </c>
      <c r="E318" s="6" t="s">
        <v>960</v>
      </c>
      <c r="F318" s="15" t="s">
        <v>12111</v>
      </c>
      <c r="G318" s="6" t="s">
        <v>961</v>
      </c>
      <c r="H318" s="6" t="s">
        <v>961</v>
      </c>
      <c r="I318" s="13" t="s">
        <v>39</v>
      </c>
      <c r="J318" s="13">
        <v>12</v>
      </c>
      <c r="K318" s="13" t="s">
        <v>1714</v>
      </c>
      <c r="L318" s="6" t="s">
        <v>7564</v>
      </c>
      <c r="M318" s="108" t="s">
        <v>7565</v>
      </c>
      <c r="N318" s="13" t="s">
        <v>8</v>
      </c>
      <c r="O318" s="13" t="s">
        <v>8</v>
      </c>
      <c r="P318" s="13" t="s">
        <v>9</v>
      </c>
      <c r="Q318" s="6" t="s">
        <v>7566</v>
      </c>
      <c r="R318" s="25" t="s">
        <v>7567</v>
      </c>
      <c r="S318" s="17" t="s">
        <v>6648</v>
      </c>
      <c r="T318" s="27">
        <v>17000</v>
      </c>
      <c r="U318" s="27">
        <v>17000</v>
      </c>
      <c r="V318" s="13" t="s">
        <v>7568</v>
      </c>
      <c r="X318" s="132">
        <v>315</v>
      </c>
      <c r="Y318" s="6"/>
    </row>
    <row r="319" spans="1:25" ht="15" customHeight="1" x14ac:dyDescent="0.2">
      <c r="A319" s="12" t="s">
        <v>962</v>
      </c>
      <c r="B319" s="13" t="s">
        <v>4978</v>
      </c>
      <c r="C319" s="74">
        <v>47552</v>
      </c>
      <c r="D319" s="13" t="s">
        <v>33</v>
      </c>
      <c r="E319" s="6" t="s">
        <v>2957</v>
      </c>
      <c r="F319" s="15" t="s">
        <v>11741</v>
      </c>
      <c r="G319" s="6" t="s">
        <v>964</v>
      </c>
      <c r="H319" s="6" t="s">
        <v>964</v>
      </c>
      <c r="I319" s="13" t="s">
        <v>25</v>
      </c>
      <c r="J319" s="13">
        <v>3</v>
      </c>
      <c r="K319" s="13" t="s">
        <v>1714</v>
      </c>
      <c r="L319" s="6" t="s">
        <v>2840</v>
      </c>
      <c r="M319" s="108" t="s">
        <v>2841</v>
      </c>
      <c r="N319" s="13" t="s">
        <v>2450</v>
      </c>
      <c r="O319" s="13" t="s">
        <v>128</v>
      </c>
      <c r="P319" s="13" t="s">
        <v>16</v>
      </c>
      <c r="Q319" s="6" t="s">
        <v>11247</v>
      </c>
      <c r="R319" s="6" t="s">
        <v>965</v>
      </c>
      <c r="S319" s="17" t="s">
        <v>2842</v>
      </c>
      <c r="T319" s="13">
        <v>40</v>
      </c>
      <c r="U319" s="13">
        <v>34</v>
      </c>
      <c r="V319" s="13" t="s">
        <v>2843</v>
      </c>
      <c r="X319" s="132">
        <v>316</v>
      </c>
      <c r="Y319" s="6"/>
    </row>
    <row r="320" spans="1:25" ht="15" customHeight="1" x14ac:dyDescent="0.2">
      <c r="A320" s="12" t="s">
        <v>966</v>
      </c>
      <c r="B320" s="13" t="s">
        <v>4978</v>
      </c>
      <c r="C320" s="74">
        <v>46980</v>
      </c>
      <c r="D320" s="13" t="s">
        <v>1533</v>
      </c>
      <c r="E320" s="6" t="s">
        <v>967</v>
      </c>
      <c r="F320" s="15" t="s">
        <v>7863</v>
      </c>
      <c r="G320" s="6" t="s">
        <v>968</v>
      </c>
      <c r="H320" s="6" t="s">
        <v>968</v>
      </c>
      <c r="I320" s="13" t="s">
        <v>25</v>
      </c>
      <c r="J320" s="13">
        <v>6</v>
      </c>
      <c r="K320" s="13" t="s">
        <v>1714</v>
      </c>
      <c r="L320" s="6" t="s">
        <v>7618</v>
      </c>
      <c r="M320" s="108" t="s">
        <v>7864</v>
      </c>
      <c r="N320" s="13" t="s">
        <v>7619</v>
      </c>
      <c r="O320" s="13" t="s">
        <v>128</v>
      </c>
      <c r="P320" s="13" t="s">
        <v>16</v>
      </c>
      <c r="Q320" s="6" t="s">
        <v>7865</v>
      </c>
      <c r="R320" s="6" t="s">
        <v>969</v>
      </c>
      <c r="S320" s="17" t="s">
        <v>7620</v>
      </c>
      <c r="T320" s="13">
        <v>46</v>
      </c>
      <c r="U320" s="13">
        <v>42</v>
      </c>
      <c r="V320" s="13" t="s">
        <v>7621</v>
      </c>
      <c r="X320" s="132">
        <v>317</v>
      </c>
      <c r="Y320" s="6"/>
    </row>
    <row r="321" spans="1:25" ht="15" customHeight="1" x14ac:dyDescent="0.2">
      <c r="A321" s="12" t="s">
        <v>970</v>
      </c>
      <c r="B321" s="13" t="s">
        <v>4978</v>
      </c>
      <c r="C321" s="74">
        <v>47026</v>
      </c>
      <c r="D321" s="13" t="s">
        <v>33</v>
      </c>
      <c r="E321" s="6" t="s">
        <v>8182</v>
      </c>
      <c r="F321" s="15" t="s">
        <v>8183</v>
      </c>
      <c r="G321" s="6" t="s">
        <v>972</v>
      </c>
      <c r="H321" s="6" t="s">
        <v>972</v>
      </c>
      <c r="I321" s="13" t="s">
        <v>25</v>
      </c>
      <c r="J321" s="13">
        <v>3</v>
      </c>
      <c r="K321" s="13" t="s">
        <v>1714</v>
      </c>
      <c r="L321" s="6" t="s">
        <v>8087</v>
      </c>
      <c r="M321" s="108" t="s">
        <v>8088</v>
      </c>
      <c r="N321" s="13" t="s">
        <v>3338</v>
      </c>
      <c r="O321" s="13" t="s">
        <v>1055</v>
      </c>
      <c r="P321" s="13" t="s">
        <v>16</v>
      </c>
      <c r="Q321" s="6" t="s">
        <v>8089</v>
      </c>
      <c r="R321" s="25" t="s">
        <v>8092</v>
      </c>
      <c r="S321" s="25" t="s">
        <v>8090</v>
      </c>
      <c r="T321" s="13">
        <v>23</v>
      </c>
      <c r="U321" s="13">
        <v>20</v>
      </c>
      <c r="V321" s="13" t="s">
        <v>8091</v>
      </c>
      <c r="X321" s="132">
        <v>318</v>
      </c>
      <c r="Y321" s="6"/>
    </row>
    <row r="322" spans="1:25" ht="15" customHeight="1" x14ac:dyDescent="0.25">
      <c r="A322" s="12" t="s">
        <v>973</v>
      </c>
      <c r="B322" s="13" t="s">
        <v>4978</v>
      </c>
      <c r="C322" s="74">
        <v>47450</v>
      </c>
      <c r="D322" s="13" t="s">
        <v>33</v>
      </c>
      <c r="E322" s="6" t="s">
        <v>11006</v>
      </c>
      <c r="F322" s="15" t="s">
        <v>11007</v>
      </c>
      <c r="G322" s="6" t="s">
        <v>975</v>
      </c>
      <c r="H322" s="6" t="s">
        <v>975</v>
      </c>
      <c r="I322" s="13" t="s">
        <v>25</v>
      </c>
      <c r="J322" s="13">
        <v>3</v>
      </c>
      <c r="K322" s="13" t="s">
        <v>1714</v>
      </c>
      <c r="L322" s="6" t="s">
        <v>11008</v>
      </c>
      <c r="M322" s="108" t="s">
        <v>11009</v>
      </c>
      <c r="N322" s="13" t="s">
        <v>2601</v>
      </c>
      <c r="O322" s="13" t="s">
        <v>8</v>
      </c>
      <c r="P322" s="13" t="s">
        <v>9</v>
      </c>
      <c r="Q322" s="6" t="s">
        <v>11010</v>
      </c>
      <c r="R322" s="69" t="s">
        <v>11011</v>
      </c>
      <c r="S322" s="6" t="s">
        <v>11012</v>
      </c>
      <c r="T322" s="13">
        <v>19</v>
      </c>
      <c r="U322" s="13">
        <v>17</v>
      </c>
      <c r="V322" s="13" t="s">
        <v>11013</v>
      </c>
      <c r="X322" s="132">
        <v>319</v>
      </c>
      <c r="Y322" s="6"/>
    </row>
    <row r="323" spans="1:25" ht="15" customHeight="1" x14ac:dyDescent="0.2">
      <c r="A323" s="12" t="s">
        <v>976</v>
      </c>
      <c r="B323" s="13" t="s">
        <v>4978</v>
      </c>
      <c r="C323" s="74">
        <v>46320</v>
      </c>
      <c r="D323" s="13" t="s">
        <v>33</v>
      </c>
      <c r="E323" s="6" t="s">
        <v>4458</v>
      </c>
      <c r="F323" s="15" t="s">
        <v>8079</v>
      </c>
      <c r="G323" s="6" t="s">
        <v>978</v>
      </c>
      <c r="I323" s="13" t="s">
        <v>25</v>
      </c>
      <c r="J323" s="13">
        <v>3</v>
      </c>
      <c r="K323" s="13" t="s">
        <v>1714</v>
      </c>
      <c r="L323" s="6" t="s">
        <v>4460</v>
      </c>
      <c r="M323" s="108" t="s">
        <v>4459</v>
      </c>
      <c r="N323" s="13" t="s">
        <v>3443</v>
      </c>
      <c r="O323" s="13" t="s">
        <v>2146</v>
      </c>
      <c r="P323" s="13" t="s">
        <v>68</v>
      </c>
      <c r="Q323" s="6" t="s">
        <v>4461</v>
      </c>
      <c r="R323" s="6" t="s">
        <v>979</v>
      </c>
      <c r="S323" s="17" t="s">
        <v>4462</v>
      </c>
      <c r="T323" s="13">
        <v>18</v>
      </c>
      <c r="U323" s="13">
        <v>11</v>
      </c>
      <c r="V323" s="13" t="s">
        <v>4463</v>
      </c>
      <c r="X323" s="132">
        <v>320</v>
      </c>
      <c r="Y323" s="6"/>
    </row>
    <row r="324" spans="1:25" ht="15" customHeight="1" x14ac:dyDescent="0.2">
      <c r="A324" s="12" t="s">
        <v>980</v>
      </c>
      <c r="B324" s="13" t="s">
        <v>4978</v>
      </c>
      <c r="C324" s="74">
        <v>46372</v>
      </c>
      <c r="D324" s="13" t="s">
        <v>33</v>
      </c>
      <c r="E324" s="6" t="s">
        <v>4830</v>
      </c>
      <c r="F324" s="15" t="s">
        <v>10927</v>
      </c>
      <c r="G324" s="6" t="s">
        <v>982</v>
      </c>
      <c r="I324" s="13" t="s">
        <v>25</v>
      </c>
      <c r="J324" s="13">
        <v>3</v>
      </c>
      <c r="K324" s="13" t="s">
        <v>1714</v>
      </c>
      <c r="L324" s="6" t="s">
        <v>4627</v>
      </c>
      <c r="M324" s="108" t="s">
        <v>4628</v>
      </c>
      <c r="N324" s="13" t="s">
        <v>2478</v>
      </c>
      <c r="O324" s="13" t="s">
        <v>61</v>
      </c>
      <c r="P324" s="13" t="s">
        <v>9</v>
      </c>
      <c r="Q324" s="6" t="s">
        <v>4629</v>
      </c>
      <c r="R324" s="17" t="s">
        <v>231</v>
      </c>
      <c r="S324" s="17" t="s">
        <v>2739</v>
      </c>
      <c r="T324" s="13">
        <v>20</v>
      </c>
      <c r="U324" s="13">
        <v>16</v>
      </c>
      <c r="V324" s="13" t="s">
        <v>4630</v>
      </c>
      <c r="X324" s="132">
        <v>321</v>
      </c>
      <c r="Y324" s="6"/>
    </row>
    <row r="325" spans="1:25" ht="15" customHeight="1" x14ac:dyDescent="0.2">
      <c r="A325" s="12" t="s">
        <v>983</v>
      </c>
      <c r="B325" s="13" t="s">
        <v>4978</v>
      </c>
      <c r="C325" s="74">
        <v>46372</v>
      </c>
      <c r="D325" s="13" t="s">
        <v>33</v>
      </c>
      <c r="E325" s="6" t="s">
        <v>4674</v>
      </c>
      <c r="F325" s="15" t="s">
        <v>11742</v>
      </c>
      <c r="G325" s="6" t="s">
        <v>985</v>
      </c>
      <c r="I325" s="13" t="s">
        <v>25</v>
      </c>
      <c r="J325" s="13">
        <v>3</v>
      </c>
      <c r="K325" s="13" t="s">
        <v>1714</v>
      </c>
      <c r="L325" s="6" t="s">
        <v>4675</v>
      </c>
      <c r="M325" s="108" t="s">
        <v>4676</v>
      </c>
      <c r="N325" s="13" t="s">
        <v>15</v>
      </c>
      <c r="O325" s="13" t="s">
        <v>15</v>
      </c>
      <c r="P325" s="13" t="s">
        <v>16</v>
      </c>
      <c r="Q325" s="6" t="s">
        <v>4677</v>
      </c>
      <c r="R325" s="6" t="s">
        <v>986</v>
      </c>
      <c r="S325" s="17" t="s">
        <v>6649</v>
      </c>
      <c r="T325" s="13">
        <v>29</v>
      </c>
      <c r="U325" s="13">
        <v>21</v>
      </c>
      <c r="V325" s="13" t="s">
        <v>4678</v>
      </c>
      <c r="X325" s="132">
        <v>322</v>
      </c>
      <c r="Y325" s="6"/>
    </row>
    <row r="326" spans="1:25" ht="15" customHeight="1" x14ac:dyDescent="0.2">
      <c r="A326" s="20" t="s">
        <v>987</v>
      </c>
      <c r="B326" s="22" t="s">
        <v>2608</v>
      </c>
      <c r="C326" s="14">
        <v>44114</v>
      </c>
      <c r="D326" s="13" t="s">
        <v>33</v>
      </c>
      <c r="E326" s="6" t="s">
        <v>988</v>
      </c>
      <c r="F326" s="15" t="s">
        <v>11743</v>
      </c>
      <c r="G326" s="6" t="s">
        <v>989</v>
      </c>
      <c r="I326" s="13" t="s">
        <v>25</v>
      </c>
      <c r="J326" s="13">
        <v>3</v>
      </c>
      <c r="K326" s="13" t="s">
        <v>1714</v>
      </c>
      <c r="L326" s="6"/>
      <c r="M326" s="108"/>
      <c r="O326" s="13" t="s">
        <v>1055</v>
      </c>
      <c r="P326" s="13" t="s">
        <v>16</v>
      </c>
      <c r="Q326" s="6"/>
      <c r="R326" s="6" t="s">
        <v>990</v>
      </c>
      <c r="S326" s="17" t="s">
        <v>6634</v>
      </c>
      <c r="T326" s="13"/>
      <c r="U326" s="13"/>
      <c r="V326" s="13"/>
      <c r="X326" s="132">
        <v>323</v>
      </c>
      <c r="Y326" s="6"/>
    </row>
    <row r="327" spans="1:25" ht="15" customHeight="1" x14ac:dyDescent="0.2">
      <c r="A327" s="12" t="s">
        <v>991</v>
      </c>
      <c r="B327" s="13" t="s">
        <v>4978</v>
      </c>
      <c r="C327" s="74">
        <v>46799</v>
      </c>
      <c r="D327" s="13" t="s">
        <v>33</v>
      </c>
      <c r="E327" s="6" t="s">
        <v>6725</v>
      </c>
      <c r="F327" s="15" t="s">
        <v>6726</v>
      </c>
      <c r="G327" s="6" t="s">
        <v>993</v>
      </c>
      <c r="H327" s="6" t="s">
        <v>993</v>
      </c>
      <c r="I327" s="13" t="s">
        <v>25</v>
      </c>
      <c r="J327" s="13">
        <v>3</v>
      </c>
      <c r="K327" s="13" t="s">
        <v>1714</v>
      </c>
      <c r="L327" s="6" t="s">
        <v>6727</v>
      </c>
      <c r="M327" s="108" t="s">
        <v>6728</v>
      </c>
      <c r="N327" s="13" t="s">
        <v>15</v>
      </c>
      <c r="O327" s="13" t="s">
        <v>15</v>
      </c>
      <c r="P327" s="13" t="s">
        <v>16</v>
      </c>
      <c r="Q327" s="6" t="s">
        <v>6729</v>
      </c>
      <c r="R327" s="6" t="s">
        <v>994</v>
      </c>
      <c r="S327" s="17" t="s">
        <v>6730</v>
      </c>
      <c r="T327" s="13">
        <v>25</v>
      </c>
      <c r="U327" s="13">
        <v>19</v>
      </c>
      <c r="V327" s="13" t="s">
        <v>6731</v>
      </c>
      <c r="X327" s="132">
        <v>324</v>
      </c>
      <c r="Y327" s="6"/>
    </row>
    <row r="328" spans="1:25" ht="15" customHeight="1" x14ac:dyDescent="0.2">
      <c r="A328" s="20" t="s">
        <v>995</v>
      </c>
      <c r="B328" s="22" t="s">
        <v>2608</v>
      </c>
      <c r="C328" s="14">
        <v>46004</v>
      </c>
      <c r="D328" s="13" t="s">
        <v>33</v>
      </c>
      <c r="E328" s="6" t="s">
        <v>996</v>
      </c>
      <c r="F328" s="15" t="s">
        <v>11744</v>
      </c>
      <c r="G328" s="6" t="s">
        <v>997</v>
      </c>
      <c r="I328" s="13" t="s">
        <v>25</v>
      </c>
      <c r="J328" s="13">
        <v>3</v>
      </c>
      <c r="K328" s="13" t="s">
        <v>1714</v>
      </c>
      <c r="L328" s="6" t="s">
        <v>3227</v>
      </c>
      <c r="M328" s="108" t="s">
        <v>3228</v>
      </c>
      <c r="N328" s="13" t="s">
        <v>2558</v>
      </c>
      <c r="O328" s="13" t="s">
        <v>128</v>
      </c>
      <c r="P328" s="13" t="s">
        <v>16</v>
      </c>
      <c r="Q328" s="6" t="s">
        <v>3229</v>
      </c>
      <c r="R328" s="6" t="s">
        <v>998</v>
      </c>
      <c r="S328" s="17" t="s">
        <v>3230</v>
      </c>
      <c r="T328" s="13">
        <v>42</v>
      </c>
      <c r="U328" s="13">
        <v>33</v>
      </c>
      <c r="V328" s="13" t="s">
        <v>3231</v>
      </c>
      <c r="X328" s="132">
        <v>325</v>
      </c>
      <c r="Y328" s="6"/>
    </row>
    <row r="329" spans="1:25" ht="15" customHeight="1" x14ac:dyDescent="0.2">
      <c r="A329" s="20" t="s">
        <v>999</v>
      </c>
      <c r="B329" s="22" t="s">
        <v>2608</v>
      </c>
      <c r="C329" s="14">
        <v>44114</v>
      </c>
      <c r="D329" s="13" t="s">
        <v>33</v>
      </c>
      <c r="E329" s="6" t="s">
        <v>1000</v>
      </c>
      <c r="F329" s="15" t="s">
        <v>11745</v>
      </c>
      <c r="G329" s="6" t="s">
        <v>1001</v>
      </c>
      <c r="I329" s="13" t="s">
        <v>7931</v>
      </c>
      <c r="K329" s="13"/>
      <c r="L329" s="6"/>
      <c r="M329" s="108"/>
      <c r="O329" s="13" t="s">
        <v>1055</v>
      </c>
      <c r="P329" s="13" t="s">
        <v>16</v>
      </c>
      <c r="Q329" s="6"/>
      <c r="R329" s="6" t="s">
        <v>1002</v>
      </c>
      <c r="S329" s="17" t="s">
        <v>6634</v>
      </c>
      <c r="T329" s="13"/>
      <c r="U329" s="13"/>
      <c r="V329" s="13"/>
      <c r="X329" s="132">
        <v>326</v>
      </c>
      <c r="Y329" s="6"/>
    </row>
    <row r="330" spans="1:25" ht="15" customHeight="1" x14ac:dyDescent="0.2">
      <c r="A330" s="20" t="s">
        <v>1003</v>
      </c>
      <c r="B330" s="22" t="s">
        <v>2608</v>
      </c>
      <c r="C330" s="14">
        <v>44114</v>
      </c>
      <c r="D330" s="13" t="s">
        <v>33</v>
      </c>
      <c r="E330" s="6" t="s">
        <v>1004</v>
      </c>
      <c r="F330" s="15" t="s">
        <v>11746</v>
      </c>
      <c r="G330" s="6" t="s">
        <v>1005</v>
      </c>
      <c r="I330" s="13" t="s">
        <v>25</v>
      </c>
      <c r="J330" s="13">
        <v>3</v>
      </c>
      <c r="K330" s="13" t="s">
        <v>1714</v>
      </c>
      <c r="L330" s="6"/>
      <c r="M330" s="108"/>
      <c r="O330" s="13" t="s">
        <v>177</v>
      </c>
      <c r="P330" s="13" t="s">
        <v>9</v>
      </c>
      <c r="Q330" s="6"/>
      <c r="R330" s="6" t="s">
        <v>1006</v>
      </c>
      <c r="S330" s="17" t="s">
        <v>6639</v>
      </c>
      <c r="T330" s="13"/>
      <c r="U330" s="13"/>
      <c r="V330" s="13"/>
      <c r="X330" s="132">
        <v>327</v>
      </c>
      <c r="Y330" s="6"/>
    </row>
    <row r="331" spans="1:25" ht="15" customHeight="1" x14ac:dyDescent="0.2">
      <c r="A331" s="12" t="s">
        <v>1007</v>
      </c>
      <c r="B331" s="13" t="s">
        <v>4978</v>
      </c>
      <c r="C331" s="74">
        <v>47162</v>
      </c>
      <c r="D331" s="13" t="s">
        <v>33</v>
      </c>
      <c r="E331" s="6" t="s">
        <v>9255</v>
      </c>
      <c r="F331" s="15" t="s">
        <v>11747</v>
      </c>
      <c r="G331" s="6" t="s">
        <v>1009</v>
      </c>
      <c r="H331" s="6" t="s">
        <v>1009</v>
      </c>
      <c r="I331" s="13" t="s">
        <v>25</v>
      </c>
      <c r="J331" s="13">
        <v>3</v>
      </c>
      <c r="K331" s="13" t="s">
        <v>1714</v>
      </c>
      <c r="L331" s="6" t="s">
        <v>9256</v>
      </c>
      <c r="M331" s="108" t="s">
        <v>9257</v>
      </c>
      <c r="N331" s="13" t="s">
        <v>2255</v>
      </c>
      <c r="O331" s="13" t="s">
        <v>177</v>
      </c>
      <c r="P331" s="13" t="s">
        <v>9</v>
      </c>
      <c r="Q331" s="6" t="s">
        <v>9258</v>
      </c>
      <c r="R331" s="6" t="s">
        <v>1010</v>
      </c>
      <c r="S331" s="17"/>
      <c r="T331" s="13">
        <v>27</v>
      </c>
      <c r="U331" s="13">
        <v>25</v>
      </c>
      <c r="V331" s="13" t="s">
        <v>9259</v>
      </c>
      <c r="X331" s="132">
        <v>328</v>
      </c>
      <c r="Y331" s="6"/>
    </row>
    <row r="332" spans="1:25" ht="15" customHeight="1" x14ac:dyDescent="0.2">
      <c r="A332" s="20" t="s">
        <v>1011</v>
      </c>
      <c r="B332" s="22" t="s">
        <v>2608</v>
      </c>
      <c r="C332" s="14">
        <v>44114</v>
      </c>
      <c r="D332" s="13" t="s">
        <v>33</v>
      </c>
      <c r="E332" s="6" t="s">
        <v>1012</v>
      </c>
      <c r="F332" s="15" t="s">
        <v>11748</v>
      </c>
      <c r="G332" s="6" t="s">
        <v>1013</v>
      </c>
      <c r="I332" s="13" t="s">
        <v>25</v>
      </c>
      <c r="J332" s="13">
        <v>3</v>
      </c>
      <c r="K332" s="13" t="s">
        <v>1714</v>
      </c>
      <c r="L332" s="6"/>
      <c r="M332" s="108"/>
      <c r="O332" s="13" t="s">
        <v>177</v>
      </c>
      <c r="P332" s="13" t="s">
        <v>9</v>
      </c>
      <c r="Q332" s="6"/>
      <c r="R332" s="6" t="s">
        <v>1014</v>
      </c>
      <c r="S332" s="17" t="s">
        <v>6632</v>
      </c>
      <c r="T332" s="13"/>
      <c r="U332" s="13"/>
      <c r="V332" s="13"/>
      <c r="X332" s="132">
        <v>329</v>
      </c>
      <c r="Y332" s="6"/>
    </row>
    <row r="333" spans="1:25" ht="15" customHeight="1" x14ac:dyDescent="0.25">
      <c r="A333" s="12" t="s">
        <v>1015</v>
      </c>
      <c r="B333" s="13" t="s">
        <v>4978</v>
      </c>
      <c r="C333" s="74">
        <v>47090</v>
      </c>
      <c r="D333" s="13" t="s">
        <v>33</v>
      </c>
      <c r="E333" s="6" t="s">
        <v>1016</v>
      </c>
      <c r="F333" s="15" t="s">
        <v>11749</v>
      </c>
      <c r="G333" s="6" t="s">
        <v>1017</v>
      </c>
      <c r="H333" s="6" t="s">
        <v>1017</v>
      </c>
      <c r="I333" s="13" t="s">
        <v>25</v>
      </c>
      <c r="J333" s="13">
        <v>3</v>
      </c>
      <c r="K333" s="13" t="s">
        <v>1714</v>
      </c>
      <c r="L333" s="6" t="s">
        <v>8757</v>
      </c>
      <c r="M333" s="108" t="s">
        <v>8755</v>
      </c>
      <c r="N333" s="13" t="s">
        <v>8756</v>
      </c>
      <c r="O333" s="13" t="s">
        <v>445</v>
      </c>
      <c r="P333" s="13" t="s">
        <v>16</v>
      </c>
      <c r="Q333" s="6" t="s">
        <v>8758</v>
      </c>
      <c r="R333" s="6" t="s">
        <v>1018</v>
      </c>
      <c r="S333" s="69" t="s">
        <v>8759</v>
      </c>
      <c r="T333" s="13"/>
      <c r="U333" s="13">
        <v>18</v>
      </c>
      <c r="V333" s="13" t="s">
        <v>8760</v>
      </c>
      <c r="X333" s="132">
        <v>330</v>
      </c>
      <c r="Y333" s="6"/>
    </row>
    <row r="334" spans="1:25" ht="15" customHeight="1" x14ac:dyDescent="0.2">
      <c r="A334" s="12" t="s">
        <v>1832</v>
      </c>
      <c r="B334" s="13" t="s">
        <v>4978</v>
      </c>
      <c r="C334" s="74">
        <v>46320</v>
      </c>
      <c r="D334" s="13" t="s">
        <v>33</v>
      </c>
      <c r="E334" s="6" t="s">
        <v>1831</v>
      </c>
      <c r="F334" s="15" t="s">
        <v>11750</v>
      </c>
      <c r="G334" s="6" t="s">
        <v>1021</v>
      </c>
      <c r="I334" s="13" t="s">
        <v>25</v>
      </c>
      <c r="J334" s="13">
        <v>3</v>
      </c>
      <c r="K334" s="13" t="s">
        <v>1714</v>
      </c>
      <c r="L334" s="6" t="s">
        <v>2612</v>
      </c>
      <c r="M334" s="108" t="s">
        <v>2611</v>
      </c>
      <c r="N334" s="13" t="s">
        <v>2613</v>
      </c>
      <c r="O334" s="13" t="s">
        <v>15</v>
      </c>
      <c r="P334" s="13" t="s">
        <v>16</v>
      </c>
      <c r="Q334" s="6" t="s">
        <v>4367</v>
      </c>
      <c r="R334" s="17" t="s">
        <v>1022</v>
      </c>
      <c r="S334" s="17" t="s">
        <v>4368</v>
      </c>
      <c r="T334" s="18">
        <v>26</v>
      </c>
      <c r="U334" s="13">
        <v>23</v>
      </c>
      <c r="V334" s="13" t="s">
        <v>4369</v>
      </c>
      <c r="X334" s="132">
        <v>331</v>
      </c>
      <c r="Y334" s="6"/>
    </row>
    <row r="335" spans="1:25" ht="15" customHeight="1" x14ac:dyDescent="0.2">
      <c r="A335" s="12" t="s">
        <v>4631</v>
      </c>
      <c r="B335" s="13" t="s">
        <v>4978</v>
      </c>
      <c r="C335" s="74">
        <v>46372</v>
      </c>
      <c r="D335" s="13" t="s">
        <v>33</v>
      </c>
      <c r="E335" s="6" t="s">
        <v>1831</v>
      </c>
      <c r="F335" s="15" t="s">
        <v>11750</v>
      </c>
      <c r="G335" s="6" t="s">
        <v>4536</v>
      </c>
      <c r="I335" s="13" t="s">
        <v>25</v>
      </c>
      <c r="J335" s="13">
        <v>3</v>
      </c>
      <c r="K335" s="13" t="s">
        <v>1714</v>
      </c>
      <c r="L335" s="6" t="s">
        <v>4632</v>
      </c>
      <c r="M335" s="108" t="s">
        <v>4633</v>
      </c>
      <c r="N335" s="13" t="s">
        <v>15</v>
      </c>
      <c r="O335" s="13" t="s">
        <v>15</v>
      </c>
      <c r="P335" s="13" t="s">
        <v>16</v>
      </c>
      <c r="Q335" s="6" t="s">
        <v>4634</v>
      </c>
      <c r="R335" s="6" t="s">
        <v>1022</v>
      </c>
      <c r="S335" s="17" t="s">
        <v>4368</v>
      </c>
      <c r="T335" s="13">
        <v>32</v>
      </c>
      <c r="U335" s="13">
        <v>31</v>
      </c>
      <c r="V335" s="13" t="s">
        <v>4369</v>
      </c>
      <c r="X335" s="132">
        <v>332</v>
      </c>
      <c r="Y335" s="6"/>
    </row>
    <row r="336" spans="1:25" s="31" customFormat="1" ht="15" customHeight="1" x14ac:dyDescent="0.2">
      <c r="A336" s="12" t="s">
        <v>1023</v>
      </c>
      <c r="B336" s="13" t="s">
        <v>4978</v>
      </c>
      <c r="C336" s="74">
        <v>46238</v>
      </c>
      <c r="D336" s="13" t="s">
        <v>33</v>
      </c>
      <c r="E336" s="6" t="s">
        <v>4158</v>
      </c>
      <c r="F336" s="15" t="s">
        <v>11751</v>
      </c>
      <c r="G336" s="6" t="s">
        <v>1025</v>
      </c>
      <c r="H336" s="6"/>
      <c r="I336" s="13" t="s">
        <v>25</v>
      </c>
      <c r="J336" s="13">
        <v>3</v>
      </c>
      <c r="K336" s="13" t="s">
        <v>1714</v>
      </c>
      <c r="L336" s="6" t="s">
        <v>4159</v>
      </c>
      <c r="M336" s="108" t="s">
        <v>4160</v>
      </c>
      <c r="N336" s="13" t="s">
        <v>4161</v>
      </c>
      <c r="O336" s="13" t="s">
        <v>2085</v>
      </c>
      <c r="P336" s="13" t="s">
        <v>68</v>
      </c>
      <c r="Q336" s="6" t="s">
        <v>4162</v>
      </c>
      <c r="R336" s="6" t="s">
        <v>1026</v>
      </c>
      <c r="S336" s="17" t="s">
        <v>6650</v>
      </c>
      <c r="T336" s="13">
        <v>19</v>
      </c>
      <c r="U336" s="13">
        <v>12</v>
      </c>
      <c r="V336" s="13" t="s">
        <v>4157</v>
      </c>
      <c r="W336" s="6"/>
      <c r="X336" s="132">
        <v>333</v>
      </c>
    </row>
    <row r="337" spans="1:25" ht="15" customHeight="1" x14ac:dyDescent="0.2">
      <c r="A337" s="12" t="s">
        <v>1027</v>
      </c>
      <c r="B337" s="24" t="s">
        <v>4978</v>
      </c>
      <c r="C337" s="14">
        <v>47642</v>
      </c>
      <c r="D337" s="13" t="s">
        <v>33</v>
      </c>
      <c r="E337" s="6" t="s">
        <v>12047</v>
      </c>
      <c r="F337" s="15" t="s">
        <v>11752</v>
      </c>
      <c r="G337" s="6" t="s">
        <v>1029</v>
      </c>
      <c r="H337" s="6" t="s">
        <v>1029</v>
      </c>
      <c r="I337" s="13" t="s">
        <v>25</v>
      </c>
      <c r="J337" s="13">
        <v>3</v>
      </c>
      <c r="K337" s="13" t="s">
        <v>1714</v>
      </c>
      <c r="L337" s="6" t="s">
        <v>3185</v>
      </c>
      <c r="M337" s="108" t="s">
        <v>12048</v>
      </c>
      <c r="N337" s="13" t="s">
        <v>2776</v>
      </c>
      <c r="O337" s="13" t="s">
        <v>136</v>
      </c>
      <c r="P337" s="13" t="s">
        <v>4</v>
      </c>
      <c r="Q337" s="6" t="s">
        <v>3186</v>
      </c>
      <c r="R337" s="6" t="s">
        <v>1030</v>
      </c>
      <c r="S337" s="17"/>
      <c r="T337" s="13">
        <v>24</v>
      </c>
      <c r="U337" s="13">
        <v>22</v>
      </c>
      <c r="V337" s="13" t="s">
        <v>3184</v>
      </c>
      <c r="X337" s="132">
        <v>334</v>
      </c>
      <c r="Y337" s="6"/>
    </row>
    <row r="338" spans="1:25" ht="15" customHeight="1" x14ac:dyDescent="0.2">
      <c r="A338" s="12" t="s">
        <v>1031</v>
      </c>
      <c r="B338" s="13" t="s">
        <v>4978</v>
      </c>
      <c r="C338" s="100">
        <v>47315</v>
      </c>
      <c r="D338" s="13" t="s">
        <v>1533</v>
      </c>
      <c r="E338" s="6" t="s">
        <v>1032</v>
      </c>
      <c r="F338" s="15" t="s">
        <v>10357</v>
      </c>
      <c r="G338" s="6" t="s">
        <v>1033</v>
      </c>
      <c r="H338" s="6" t="s">
        <v>1033</v>
      </c>
      <c r="I338" s="13" t="s">
        <v>7931</v>
      </c>
      <c r="J338" s="13">
        <v>9</v>
      </c>
      <c r="K338" s="13" t="s">
        <v>6603</v>
      </c>
      <c r="L338" s="6" t="s">
        <v>2609</v>
      </c>
      <c r="M338" s="108" t="s">
        <v>2610</v>
      </c>
      <c r="N338" s="13" t="s">
        <v>2614</v>
      </c>
      <c r="O338" s="13" t="s">
        <v>53</v>
      </c>
      <c r="P338" s="13" t="s">
        <v>54</v>
      </c>
      <c r="Q338" s="6" t="s">
        <v>10358</v>
      </c>
      <c r="R338" s="6" t="s">
        <v>1034</v>
      </c>
      <c r="S338" s="17" t="s">
        <v>2615</v>
      </c>
      <c r="T338" s="13">
        <v>30</v>
      </c>
      <c r="U338" s="13">
        <v>30</v>
      </c>
      <c r="V338" s="13" t="s">
        <v>2616</v>
      </c>
      <c r="X338" s="132">
        <v>335</v>
      </c>
      <c r="Y338" s="6"/>
    </row>
    <row r="339" spans="1:25" ht="15" customHeight="1" x14ac:dyDescent="0.2">
      <c r="A339" s="20" t="s">
        <v>1035</v>
      </c>
      <c r="B339" s="22" t="s">
        <v>2608</v>
      </c>
      <c r="C339" s="23">
        <v>45824</v>
      </c>
      <c r="D339" s="13" t="s">
        <v>1533</v>
      </c>
      <c r="E339" s="6" t="s">
        <v>1032</v>
      </c>
      <c r="F339" s="15" t="s">
        <v>10173</v>
      </c>
      <c r="G339" s="6" t="s">
        <v>1033</v>
      </c>
      <c r="H339" s="6" t="s">
        <v>1033</v>
      </c>
      <c r="I339" s="13" t="s">
        <v>13</v>
      </c>
      <c r="J339" s="13">
        <v>8</v>
      </c>
      <c r="K339" s="13" t="s">
        <v>1714</v>
      </c>
      <c r="L339" s="6" t="s">
        <v>2609</v>
      </c>
      <c r="M339" s="108" t="s">
        <v>2610</v>
      </c>
      <c r="N339" s="13" t="s">
        <v>2614</v>
      </c>
      <c r="O339" s="13" t="s">
        <v>53</v>
      </c>
      <c r="P339" s="13" t="s">
        <v>54</v>
      </c>
      <c r="Q339" s="6" t="s">
        <v>5357</v>
      </c>
      <c r="R339" s="6" t="s">
        <v>1034</v>
      </c>
      <c r="S339" s="17" t="s">
        <v>2615</v>
      </c>
      <c r="T339" s="13">
        <v>52</v>
      </c>
      <c r="U339" s="13">
        <v>52</v>
      </c>
      <c r="V339" s="13" t="s">
        <v>2616</v>
      </c>
      <c r="X339" s="132">
        <v>336</v>
      </c>
      <c r="Y339" s="6"/>
    </row>
    <row r="340" spans="1:25" ht="15" customHeight="1" x14ac:dyDescent="0.2">
      <c r="A340" s="20" t="s">
        <v>1036</v>
      </c>
      <c r="B340" s="21" t="s">
        <v>2608</v>
      </c>
      <c r="D340" s="13" t="s">
        <v>1533</v>
      </c>
      <c r="E340" s="6" t="s">
        <v>1032</v>
      </c>
      <c r="F340" s="15" t="s">
        <v>11753</v>
      </c>
      <c r="G340" s="6" t="s">
        <v>1037</v>
      </c>
      <c r="I340" s="13" t="s">
        <v>25</v>
      </c>
      <c r="K340" s="13"/>
      <c r="L340" s="6"/>
      <c r="M340" s="108"/>
      <c r="O340" s="13" t="s">
        <v>8</v>
      </c>
      <c r="P340" s="13" t="s">
        <v>9</v>
      </c>
      <c r="Q340" s="6"/>
      <c r="R340" s="6" t="s">
        <v>1034</v>
      </c>
      <c r="S340" s="17" t="s">
        <v>2615</v>
      </c>
      <c r="T340" s="13"/>
      <c r="U340" s="13"/>
      <c r="V340" s="13"/>
      <c r="X340" s="132">
        <v>337</v>
      </c>
      <c r="Y340" s="6"/>
    </row>
    <row r="341" spans="1:25" ht="15" customHeight="1" x14ac:dyDescent="0.2">
      <c r="A341" s="20" t="s">
        <v>1038</v>
      </c>
      <c r="B341" s="21" t="s">
        <v>2608</v>
      </c>
      <c r="D341" s="13" t="s">
        <v>1533</v>
      </c>
      <c r="E341" s="6" t="s">
        <v>1032</v>
      </c>
      <c r="F341" s="15" t="s">
        <v>1039</v>
      </c>
      <c r="G341" s="6" t="s">
        <v>1040</v>
      </c>
      <c r="I341" s="13" t="s">
        <v>25</v>
      </c>
      <c r="K341" s="13"/>
      <c r="L341" s="6"/>
      <c r="M341" s="108"/>
      <c r="O341" s="13" t="s">
        <v>36</v>
      </c>
      <c r="P341" s="13" t="s">
        <v>4</v>
      </c>
      <c r="Q341" s="6"/>
      <c r="R341" s="6" t="s">
        <v>1034</v>
      </c>
      <c r="S341" s="17" t="s">
        <v>2615</v>
      </c>
      <c r="T341" s="13"/>
      <c r="U341" s="13"/>
      <c r="V341" s="13"/>
      <c r="X341" s="132">
        <v>338</v>
      </c>
      <c r="Y341" s="6"/>
    </row>
    <row r="342" spans="1:25" ht="15" customHeight="1" x14ac:dyDescent="0.25">
      <c r="A342" s="12" t="s">
        <v>8528</v>
      </c>
      <c r="B342" s="14" t="s">
        <v>4977</v>
      </c>
      <c r="C342" s="14">
        <v>46359</v>
      </c>
      <c r="D342" s="13" t="s">
        <v>1533</v>
      </c>
      <c r="E342" s="6" t="s">
        <v>1032</v>
      </c>
      <c r="F342" s="15" t="s">
        <v>8529</v>
      </c>
      <c r="G342" s="6" t="s">
        <v>1033</v>
      </c>
      <c r="H342" s="6" t="s">
        <v>1033</v>
      </c>
      <c r="I342" s="13" t="s">
        <v>39</v>
      </c>
      <c r="J342" s="13">
        <v>12</v>
      </c>
      <c r="K342" s="13" t="s">
        <v>7032</v>
      </c>
      <c r="L342" s="6" t="s">
        <v>8532</v>
      </c>
      <c r="M342" s="108" t="s">
        <v>2610</v>
      </c>
      <c r="N342" s="13" t="s">
        <v>2614</v>
      </c>
      <c r="O342" s="13" t="s">
        <v>53</v>
      </c>
      <c r="P342" s="13" t="s">
        <v>54</v>
      </c>
      <c r="Q342" s="6" t="s">
        <v>8530</v>
      </c>
      <c r="R342" s="69" t="s">
        <v>1034</v>
      </c>
      <c r="S342" s="69" t="s">
        <v>2615</v>
      </c>
      <c r="T342" s="18">
        <v>2880</v>
      </c>
      <c r="U342" s="18">
        <v>2880</v>
      </c>
      <c r="V342" s="13" t="s">
        <v>8531</v>
      </c>
      <c r="X342" s="132">
        <v>339</v>
      </c>
      <c r="Y342" s="6"/>
    </row>
    <row r="343" spans="1:25" ht="15" customHeight="1" x14ac:dyDescent="0.25">
      <c r="A343" s="12" t="s">
        <v>9345</v>
      </c>
      <c r="B343" s="14" t="s">
        <v>4977</v>
      </c>
      <c r="C343" s="14">
        <v>46431</v>
      </c>
      <c r="D343" s="13" t="s">
        <v>1533</v>
      </c>
      <c r="E343" s="6" t="s">
        <v>1032</v>
      </c>
      <c r="F343" s="15" t="s">
        <v>9346</v>
      </c>
      <c r="G343" s="6" t="s">
        <v>1033</v>
      </c>
      <c r="H343" s="6" t="s">
        <v>1033</v>
      </c>
      <c r="I343" s="13" t="s">
        <v>39</v>
      </c>
      <c r="J343" s="13">
        <v>12</v>
      </c>
      <c r="K343" s="13" t="s">
        <v>6574</v>
      </c>
      <c r="L343" s="6" t="s">
        <v>8532</v>
      </c>
      <c r="M343" s="108" t="s">
        <v>2610</v>
      </c>
      <c r="N343" s="13" t="s">
        <v>2614</v>
      </c>
      <c r="O343" s="13" t="s">
        <v>53</v>
      </c>
      <c r="P343" s="13" t="s">
        <v>54</v>
      </c>
      <c r="Q343" s="6" t="s">
        <v>9347</v>
      </c>
      <c r="R343" s="69" t="s">
        <v>1034</v>
      </c>
      <c r="S343" s="69" t="s">
        <v>2615</v>
      </c>
      <c r="T343" s="18">
        <v>480</v>
      </c>
      <c r="U343" s="18">
        <v>480</v>
      </c>
      <c r="V343" s="13" t="s">
        <v>9348</v>
      </c>
      <c r="X343" s="132">
        <v>340</v>
      </c>
      <c r="Y343" s="6"/>
    </row>
    <row r="344" spans="1:25" ht="15" customHeight="1" x14ac:dyDescent="0.25">
      <c r="A344" s="19" t="s">
        <v>9888</v>
      </c>
      <c r="B344" s="14" t="s">
        <v>4977</v>
      </c>
      <c r="C344" s="14">
        <v>46522</v>
      </c>
      <c r="D344" s="13" t="s">
        <v>1533</v>
      </c>
      <c r="E344" s="6" t="s">
        <v>1032</v>
      </c>
      <c r="F344" s="15" t="s">
        <v>9889</v>
      </c>
      <c r="G344" s="6" t="s">
        <v>1033</v>
      </c>
      <c r="H344" s="6" t="s">
        <v>1033</v>
      </c>
      <c r="I344" s="13" t="s">
        <v>39</v>
      </c>
      <c r="J344" s="13">
        <v>12</v>
      </c>
      <c r="K344" s="13" t="s">
        <v>6574</v>
      </c>
      <c r="L344" s="6" t="s">
        <v>9890</v>
      </c>
      <c r="M344" s="108" t="s">
        <v>2610</v>
      </c>
      <c r="N344" s="13" t="s">
        <v>2614</v>
      </c>
      <c r="O344" s="13" t="s">
        <v>53</v>
      </c>
      <c r="P344" s="13" t="s">
        <v>54</v>
      </c>
      <c r="Q344" s="6" t="s">
        <v>9347</v>
      </c>
      <c r="R344" s="69" t="s">
        <v>1034</v>
      </c>
      <c r="S344" s="69" t="s">
        <v>2615</v>
      </c>
      <c r="T344" s="18">
        <v>360</v>
      </c>
      <c r="U344" s="18">
        <v>180</v>
      </c>
      <c r="V344" s="13" t="s">
        <v>9891</v>
      </c>
      <c r="X344" s="132">
        <v>341</v>
      </c>
      <c r="Y344" s="6"/>
    </row>
    <row r="345" spans="1:25" ht="15" customHeight="1" x14ac:dyDescent="0.2">
      <c r="A345" s="20" t="s">
        <v>1041</v>
      </c>
      <c r="B345" s="22" t="s">
        <v>2608</v>
      </c>
      <c r="C345" s="23">
        <v>45970</v>
      </c>
      <c r="D345" s="24" t="s">
        <v>1533</v>
      </c>
      <c r="E345" s="31" t="s">
        <v>1042</v>
      </c>
      <c r="F345" s="32" t="s">
        <v>11754</v>
      </c>
      <c r="G345" s="31" t="s">
        <v>1043</v>
      </c>
      <c r="H345" s="31"/>
      <c r="I345" s="24" t="s">
        <v>25</v>
      </c>
      <c r="J345" s="24">
        <v>3</v>
      </c>
      <c r="K345" s="24" t="s">
        <v>1714</v>
      </c>
      <c r="L345" s="31" t="s">
        <v>3056</v>
      </c>
      <c r="M345" s="112" t="s">
        <v>2746</v>
      </c>
      <c r="N345" s="24" t="s">
        <v>2747</v>
      </c>
      <c r="O345" s="13" t="s">
        <v>2146</v>
      </c>
      <c r="P345" s="13" t="s">
        <v>68</v>
      </c>
      <c r="Q345" s="31" t="s">
        <v>2748</v>
      </c>
      <c r="R345" s="33" t="s">
        <v>2749</v>
      </c>
      <c r="S345" s="17" t="s">
        <v>6634</v>
      </c>
      <c r="T345" s="24">
        <v>40</v>
      </c>
      <c r="U345" s="24">
        <v>30</v>
      </c>
      <c r="V345" s="24"/>
      <c r="X345" s="132">
        <v>342</v>
      </c>
      <c r="Y345" s="6"/>
    </row>
    <row r="346" spans="1:25" ht="15" customHeight="1" x14ac:dyDescent="0.2">
      <c r="A346" s="12" t="s">
        <v>1044</v>
      </c>
      <c r="B346" s="13" t="s">
        <v>4978</v>
      </c>
      <c r="C346" s="74">
        <v>47552</v>
      </c>
      <c r="D346" s="13" t="s">
        <v>33</v>
      </c>
      <c r="E346" s="6" t="s">
        <v>6776</v>
      </c>
      <c r="F346" s="15" t="s">
        <v>6620</v>
      </c>
      <c r="G346" s="6" t="s">
        <v>1046</v>
      </c>
      <c r="H346" s="6" t="s">
        <v>1046</v>
      </c>
      <c r="I346" s="13" t="s">
        <v>25</v>
      </c>
      <c r="J346" s="13">
        <v>3</v>
      </c>
      <c r="K346" s="13" t="s">
        <v>1714</v>
      </c>
      <c r="L346" s="6" t="s">
        <v>3160</v>
      </c>
      <c r="M346" s="108" t="s">
        <v>6777</v>
      </c>
      <c r="N346" s="13" t="s">
        <v>3161</v>
      </c>
      <c r="O346" s="13" t="s">
        <v>2146</v>
      </c>
      <c r="P346" s="13" t="s">
        <v>68</v>
      </c>
      <c r="Q346" s="6" t="s">
        <v>3162</v>
      </c>
      <c r="R346" s="17" t="s">
        <v>1047</v>
      </c>
      <c r="S346" s="17" t="s">
        <v>3163</v>
      </c>
      <c r="T346" s="13">
        <v>37</v>
      </c>
      <c r="U346" s="13">
        <v>35</v>
      </c>
      <c r="V346" s="13" t="s">
        <v>3159</v>
      </c>
      <c r="W346" s="13"/>
      <c r="X346" s="132">
        <v>343</v>
      </c>
      <c r="Y346" s="6"/>
    </row>
    <row r="347" spans="1:25" ht="15" customHeight="1" x14ac:dyDescent="0.2">
      <c r="A347" s="12" t="s">
        <v>1048</v>
      </c>
      <c r="B347" s="13" t="s">
        <v>4978</v>
      </c>
      <c r="C347" s="74">
        <v>46505</v>
      </c>
      <c r="D347" s="13" t="s">
        <v>33</v>
      </c>
      <c r="E347" s="6" t="s">
        <v>1049</v>
      </c>
      <c r="F347" s="15" t="s">
        <v>11755</v>
      </c>
      <c r="G347" s="6" t="s">
        <v>1050</v>
      </c>
      <c r="H347" s="6" t="s">
        <v>1050</v>
      </c>
      <c r="I347" s="13" t="s">
        <v>25</v>
      </c>
      <c r="J347" s="13">
        <v>3</v>
      </c>
      <c r="K347" s="13" t="s">
        <v>1714</v>
      </c>
      <c r="L347" s="6" t="s">
        <v>5240</v>
      </c>
      <c r="M347" s="108" t="s">
        <v>5241</v>
      </c>
      <c r="N347" s="13" t="s">
        <v>2145</v>
      </c>
      <c r="O347" s="13" t="s">
        <v>2146</v>
      </c>
      <c r="P347" s="13" t="s">
        <v>68</v>
      </c>
      <c r="Q347" s="6" t="s">
        <v>5242</v>
      </c>
      <c r="R347" s="6" t="s">
        <v>1051</v>
      </c>
      <c r="S347" s="17" t="s">
        <v>6639</v>
      </c>
      <c r="T347" s="13">
        <v>28</v>
      </c>
      <c r="U347" s="13">
        <v>22</v>
      </c>
      <c r="V347" s="13" t="s">
        <v>5243</v>
      </c>
      <c r="X347" s="132">
        <v>344</v>
      </c>
      <c r="Y347" s="6"/>
    </row>
    <row r="348" spans="1:25" ht="15" customHeight="1" x14ac:dyDescent="0.2">
      <c r="A348" s="12" t="s">
        <v>1052</v>
      </c>
      <c r="B348" s="13" t="s">
        <v>4978</v>
      </c>
      <c r="C348" s="74">
        <v>46372</v>
      </c>
      <c r="D348" s="13" t="s">
        <v>33</v>
      </c>
      <c r="E348" s="6" t="s">
        <v>4679</v>
      </c>
      <c r="F348" s="15" t="s">
        <v>11756</v>
      </c>
      <c r="G348" s="6" t="s">
        <v>1054</v>
      </c>
      <c r="I348" s="13" t="s">
        <v>25</v>
      </c>
      <c r="J348" s="13">
        <v>3</v>
      </c>
      <c r="K348" s="13" t="s">
        <v>1714</v>
      </c>
      <c r="L348" s="6" t="s">
        <v>4680</v>
      </c>
      <c r="M348" s="108" t="s">
        <v>4681</v>
      </c>
      <c r="N348" s="13" t="s">
        <v>3338</v>
      </c>
      <c r="O348" s="13" t="s">
        <v>1055</v>
      </c>
      <c r="P348" s="13" t="s">
        <v>16</v>
      </c>
      <c r="Q348" s="6" t="s">
        <v>1958</v>
      </c>
      <c r="R348" s="17" t="s">
        <v>4682</v>
      </c>
      <c r="S348" s="17" t="s">
        <v>6631</v>
      </c>
      <c r="T348" s="13">
        <v>34</v>
      </c>
      <c r="U348" s="13">
        <v>27</v>
      </c>
      <c r="V348" s="13" t="s">
        <v>4683</v>
      </c>
      <c r="X348" s="132">
        <v>345</v>
      </c>
      <c r="Y348" s="6"/>
    </row>
    <row r="349" spans="1:25" ht="15" customHeight="1" x14ac:dyDescent="0.2">
      <c r="A349" s="12" t="s">
        <v>1056</v>
      </c>
      <c r="B349" s="13" t="s">
        <v>4978</v>
      </c>
      <c r="C349" s="74">
        <v>46505</v>
      </c>
      <c r="D349" s="13" t="s">
        <v>33</v>
      </c>
      <c r="E349" s="6" t="s">
        <v>5174</v>
      </c>
      <c r="F349" s="15" t="s">
        <v>1058</v>
      </c>
      <c r="G349" s="6" t="s">
        <v>1059</v>
      </c>
      <c r="H349" s="6" t="s">
        <v>1059</v>
      </c>
      <c r="I349" s="13" t="s">
        <v>25</v>
      </c>
      <c r="J349" s="13">
        <v>3</v>
      </c>
      <c r="K349" s="13" t="s">
        <v>1714</v>
      </c>
      <c r="L349" s="6" t="s">
        <v>5175</v>
      </c>
      <c r="M349" s="108" t="s">
        <v>5176</v>
      </c>
      <c r="N349" s="13" t="s">
        <v>2719</v>
      </c>
      <c r="O349" s="13" t="s">
        <v>15</v>
      </c>
      <c r="P349" s="13" t="s">
        <v>16</v>
      </c>
      <c r="Q349" s="6" t="s">
        <v>5177</v>
      </c>
      <c r="R349" s="6" t="s">
        <v>1060</v>
      </c>
      <c r="S349" s="17" t="s">
        <v>5178</v>
      </c>
      <c r="T349" s="13">
        <v>22</v>
      </c>
      <c r="U349" s="13">
        <v>20</v>
      </c>
      <c r="V349" s="13" t="s">
        <v>5179</v>
      </c>
      <c r="X349" s="132">
        <v>346</v>
      </c>
      <c r="Y349" s="6"/>
    </row>
    <row r="350" spans="1:25" ht="15" customHeight="1" x14ac:dyDescent="0.2">
      <c r="A350" s="20" t="s">
        <v>1061</v>
      </c>
      <c r="B350" s="22" t="s">
        <v>2608</v>
      </c>
      <c r="C350" s="14">
        <v>44916</v>
      </c>
      <c r="D350" s="13" t="s">
        <v>33</v>
      </c>
      <c r="E350" s="6" t="s">
        <v>1062</v>
      </c>
      <c r="F350" s="15" t="s">
        <v>1063</v>
      </c>
      <c r="G350" s="6" t="s">
        <v>1064</v>
      </c>
      <c r="I350" s="13" t="s">
        <v>25</v>
      </c>
      <c r="J350" s="13">
        <v>3</v>
      </c>
      <c r="K350" s="13" t="s">
        <v>1714</v>
      </c>
      <c r="L350" s="6"/>
      <c r="M350" s="108"/>
      <c r="O350" s="13" t="s">
        <v>1055</v>
      </c>
      <c r="P350" s="13" t="s">
        <v>16</v>
      </c>
      <c r="Q350" s="6"/>
      <c r="R350" s="6" t="s">
        <v>1065</v>
      </c>
      <c r="S350" s="17" t="s">
        <v>6634</v>
      </c>
      <c r="T350" s="13"/>
      <c r="U350" s="13"/>
      <c r="V350" s="13"/>
      <c r="X350" s="132">
        <v>347</v>
      </c>
      <c r="Y350" s="6"/>
    </row>
    <row r="351" spans="1:25" ht="15" customHeight="1" x14ac:dyDescent="0.2">
      <c r="A351" s="12" t="s">
        <v>1066</v>
      </c>
      <c r="B351" s="13" t="s">
        <v>4978</v>
      </c>
      <c r="C351" s="100">
        <v>47436</v>
      </c>
      <c r="D351" s="13" t="s">
        <v>1533</v>
      </c>
      <c r="E351" s="6" t="s">
        <v>1067</v>
      </c>
      <c r="F351" s="15" t="s">
        <v>1068</v>
      </c>
      <c r="G351" s="6" t="s">
        <v>1069</v>
      </c>
      <c r="H351" s="6" t="s">
        <v>1069</v>
      </c>
      <c r="I351" s="13" t="s">
        <v>13</v>
      </c>
      <c r="J351" s="13">
        <v>7</v>
      </c>
      <c r="K351" s="13" t="s">
        <v>6603</v>
      </c>
      <c r="L351" s="6" t="s">
        <v>2684</v>
      </c>
      <c r="M351" s="108" t="s">
        <v>2685</v>
      </c>
      <c r="N351" s="13" t="s">
        <v>48</v>
      </c>
      <c r="O351" s="13" t="s">
        <v>48</v>
      </c>
      <c r="P351" s="13" t="s">
        <v>16</v>
      </c>
      <c r="Q351" s="6" t="s">
        <v>10897</v>
      </c>
      <c r="R351" s="6" t="s">
        <v>1070</v>
      </c>
      <c r="S351" s="17"/>
      <c r="T351" s="13">
        <v>200</v>
      </c>
      <c r="U351" s="13">
        <v>235</v>
      </c>
      <c r="V351" s="13" t="s">
        <v>10898</v>
      </c>
      <c r="X351" s="132">
        <v>348</v>
      </c>
      <c r="Y351" s="6"/>
    </row>
    <row r="352" spans="1:25" ht="15" customHeight="1" x14ac:dyDescent="0.2">
      <c r="A352" s="12" t="s">
        <v>1071</v>
      </c>
      <c r="B352" s="13" t="s">
        <v>4978</v>
      </c>
      <c r="C352" s="100">
        <v>47552</v>
      </c>
      <c r="D352" s="13" t="s">
        <v>1533</v>
      </c>
      <c r="E352" s="6" t="s">
        <v>1072</v>
      </c>
      <c r="F352" s="15" t="s">
        <v>1073</v>
      </c>
      <c r="G352" s="6" t="s">
        <v>1074</v>
      </c>
      <c r="H352" s="6" t="s">
        <v>1074</v>
      </c>
      <c r="I352" s="13" t="s">
        <v>13</v>
      </c>
      <c r="J352" s="13">
        <v>7</v>
      </c>
      <c r="K352" s="13" t="s">
        <v>6603</v>
      </c>
      <c r="L352" s="6" t="s">
        <v>2672</v>
      </c>
      <c r="M352" s="108" t="s">
        <v>2674</v>
      </c>
      <c r="N352" s="13" t="s">
        <v>2673</v>
      </c>
      <c r="O352" s="13" t="s">
        <v>48</v>
      </c>
      <c r="P352" s="13" t="s">
        <v>16</v>
      </c>
      <c r="Q352" s="6" t="s">
        <v>11275</v>
      </c>
      <c r="R352" s="6" t="s">
        <v>1075</v>
      </c>
      <c r="S352" s="17"/>
      <c r="T352" s="13">
        <v>100</v>
      </c>
      <c r="U352" s="13">
        <v>139</v>
      </c>
      <c r="V352" s="13" t="s">
        <v>11276</v>
      </c>
      <c r="X352" s="132">
        <v>349</v>
      </c>
      <c r="Y352" s="6"/>
    </row>
    <row r="353" spans="1:25" ht="15" customHeight="1" x14ac:dyDescent="0.2">
      <c r="A353" s="19" t="s">
        <v>1076</v>
      </c>
      <c r="B353" s="13" t="s">
        <v>4978</v>
      </c>
      <c r="C353" s="100">
        <v>47422</v>
      </c>
      <c r="D353" s="13" t="s">
        <v>33</v>
      </c>
      <c r="E353" s="6" t="s">
        <v>2750</v>
      </c>
      <c r="F353" s="15" t="s">
        <v>1078</v>
      </c>
      <c r="G353" s="6" t="s">
        <v>1079</v>
      </c>
      <c r="H353" s="6" t="s">
        <v>1079</v>
      </c>
      <c r="I353" s="13" t="s">
        <v>25</v>
      </c>
      <c r="J353" s="13">
        <v>3</v>
      </c>
      <c r="K353" s="13" t="s">
        <v>1714</v>
      </c>
      <c r="L353" s="6" t="s">
        <v>2751</v>
      </c>
      <c r="M353" s="108" t="s">
        <v>2752</v>
      </c>
      <c r="N353" s="13" t="s">
        <v>2187</v>
      </c>
      <c r="O353" s="13" t="s">
        <v>53</v>
      </c>
      <c r="P353" s="13" t="s">
        <v>54</v>
      </c>
      <c r="Q353" s="6" t="s">
        <v>10810</v>
      </c>
      <c r="R353" s="6" t="s">
        <v>1080</v>
      </c>
      <c r="S353" s="17" t="s">
        <v>2753</v>
      </c>
      <c r="T353" s="13">
        <v>43</v>
      </c>
      <c r="U353" s="13">
        <v>40</v>
      </c>
      <c r="V353" s="13" t="s">
        <v>10811</v>
      </c>
      <c r="X353" s="132">
        <v>350</v>
      </c>
      <c r="Y353" s="6"/>
    </row>
    <row r="354" spans="1:25" ht="15" customHeight="1" x14ac:dyDescent="0.2">
      <c r="A354" s="12" t="s">
        <v>1081</v>
      </c>
      <c r="B354" s="13" t="s">
        <v>4978</v>
      </c>
      <c r="C354" s="74">
        <v>46372</v>
      </c>
      <c r="D354" s="13" t="s">
        <v>1533</v>
      </c>
      <c r="E354" s="6" t="s">
        <v>1082</v>
      </c>
      <c r="G354" s="6" t="s">
        <v>1083</v>
      </c>
      <c r="I354" s="13" t="s">
        <v>25</v>
      </c>
      <c r="J354" s="13">
        <v>6</v>
      </c>
      <c r="K354" s="13" t="s">
        <v>1714</v>
      </c>
      <c r="L354" s="6" t="s">
        <v>4686</v>
      </c>
      <c r="M354" s="108" t="s">
        <v>4687</v>
      </c>
      <c r="N354" s="13" t="s">
        <v>2614</v>
      </c>
      <c r="O354" s="13" t="s">
        <v>53</v>
      </c>
      <c r="P354" s="13" t="s">
        <v>54</v>
      </c>
      <c r="Q354" s="6" t="s">
        <v>4685</v>
      </c>
      <c r="R354" s="6" t="s">
        <v>1084</v>
      </c>
      <c r="S354" s="17" t="s">
        <v>6634</v>
      </c>
      <c r="T354" s="13">
        <v>18</v>
      </c>
      <c r="U354" s="13">
        <v>9</v>
      </c>
      <c r="V354" s="13" t="s">
        <v>4684</v>
      </c>
      <c r="X354" s="132">
        <v>351</v>
      </c>
      <c r="Y354" s="6"/>
    </row>
    <row r="355" spans="1:25" ht="15" customHeight="1" x14ac:dyDescent="0.2">
      <c r="A355" s="12" t="s">
        <v>1085</v>
      </c>
      <c r="B355" s="13" t="s">
        <v>4978</v>
      </c>
      <c r="C355" s="74">
        <v>46582</v>
      </c>
      <c r="D355" s="13" t="s">
        <v>33</v>
      </c>
      <c r="E355" s="6" t="s">
        <v>1086</v>
      </c>
      <c r="F355" s="15" t="s">
        <v>1087</v>
      </c>
      <c r="G355" s="6" t="s">
        <v>1088</v>
      </c>
      <c r="H355" s="6" t="s">
        <v>1088</v>
      </c>
      <c r="I355" s="13" t="s">
        <v>25</v>
      </c>
      <c r="J355" s="13">
        <v>3</v>
      </c>
      <c r="K355" s="13" t="s">
        <v>1714</v>
      </c>
      <c r="L355" s="6" t="s">
        <v>5601</v>
      </c>
      <c r="M355" s="108" t="s">
        <v>5602</v>
      </c>
      <c r="N355" s="13" t="s">
        <v>4496</v>
      </c>
      <c r="O355" s="13" t="s">
        <v>204</v>
      </c>
      <c r="P355" s="13" t="s">
        <v>9</v>
      </c>
      <c r="Q355" s="6" t="s">
        <v>5603</v>
      </c>
      <c r="R355" s="6" t="s">
        <v>1089</v>
      </c>
      <c r="S355" s="17" t="s">
        <v>5604</v>
      </c>
      <c r="T355" s="13">
        <v>37</v>
      </c>
      <c r="U355" s="13">
        <v>33</v>
      </c>
      <c r="V355" s="13" t="s">
        <v>5605</v>
      </c>
      <c r="X355" s="132">
        <v>352</v>
      </c>
      <c r="Y355" s="6"/>
    </row>
    <row r="356" spans="1:25" ht="15" customHeight="1" x14ac:dyDescent="0.2">
      <c r="A356" s="20" t="s">
        <v>1090</v>
      </c>
      <c r="B356" s="22" t="s">
        <v>2608</v>
      </c>
      <c r="C356" s="14">
        <v>44970</v>
      </c>
      <c r="D356" s="13" t="s">
        <v>33</v>
      </c>
      <c r="E356" s="6" t="s">
        <v>1091</v>
      </c>
      <c r="G356" s="6" t="s">
        <v>1092</v>
      </c>
      <c r="I356" s="13" t="s">
        <v>25</v>
      </c>
      <c r="J356" s="13">
        <v>3</v>
      </c>
      <c r="K356" s="13" t="s">
        <v>1714</v>
      </c>
      <c r="L356" s="6"/>
      <c r="M356" s="108"/>
      <c r="O356" s="13" t="s">
        <v>97</v>
      </c>
      <c r="P356" s="13" t="s">
        <v>4</v>
      </c>
      <c r="Q356" s="6"/>
      <c r="R356" s="6" t="s">
        <v>1093</v>
      </c>
      <c r="S356" s="17" t="s">
        <v>6651</v>
      </c>
      <c r="T356" s="13"/>
      <c r="U356" s="13"/>
      <c r="V356" s="13"/>
      <c r="X356" s="132">
        <v>353</v>
      </c>
      <c r="Y356" s="6"/>
    </row>
    <row r="357" spans="1:25" ht="15" customHeight="1" x14ac:dyDescent="0.2">
      <c r="A357" s="12" t="s">
        <v>1094</v>
      </c>
      <c r="B357" s="13" t="s">
        <v>4978</v>
      </c>
      <c r="C357" s="74">
        <v>46705</v>
      </c>
      <c r="D357" s="13" t="s">
        <v>33</v>
      </c>
      <c r="E357" s="6" t="s">
        <v>5071</v>
      </c>
      <c r="F357" s="15" t="s">
        <v>730</v>
      </c>
      <c r="G357" s="6" t="s">
        <v>1096</v>
      </c>
      <c r="H357" s="6" t="s">
        <v>1096</v>
      </c>
      <c r="I357" s="13" t="s">
        <v>25</v>
      </c>
      <c r="J357" s="13">
        <v>3</v>
      </c>
      <c r="K357" s="13" t="s">
        <v>1714</v>
      </c>
      <c r="L357" s="6" t="s">
        <v>6112</v>
      </c>
      <c r="M357" s="108" t="s">
        <v>6113</v>
      </c>
      <c r="N357" s="13" t="s">
        <v>2711</v>
      </c>
      <c r="O357" s="13" t="s">
        <v>8</v>
      </c>
      <c r="P357" s="13" t="s">
        <v>9</v>
      </c>
      <c r="Q357" s="6" t="s">
        <v>6114</v>
      </c>
      <c r="R357" s="6" t="s">
        <v>1097</v>
      </c>
      <c r="S357" s="17" t="s">
        <v>6115</v>
      </c>
      <c r="T357" s="13">
        <v>35</v>
      </c>
      <c r="U357" s="13">
        <v>34</v>
      </c>
      <c r="V357" s="13" t="s">
        <v>6116</v>
      </c>
      <c r="X357" s="132">
        <v>354</v>
      </c>
      <c r="Y357" s="6"/>
    </row>
    <row r="358" spans="1:25" ht="15" customHeight="1" x14ac:dyDescent="0.2">
      <c r="A358" s="12" t="s">
        <v>5070</v>
      </c>
      <c r="B358" s="13" t="s">
        <v>4978</v>
      </c>
      <c r="C358" s="74">
        <v>46477</v>
      </c>
      <c r="D358" s="13" t="s">
        <v>33</v>
      </c>
      <c r="E358" s="6" t="s">
        <v>5071</v>
      </c>
      <c r="F358" s="15" t="s">
        <v>733</v>
      </c>
      <c r="G358" s="6" t="s">
        <v>1096</v>
      </c>
      <c r="H358" s="6" t="s">
        <v>5099</v>
      </c>
      <c r="I358" s="13" t="s">
        <v>25</v>
      </c>
      <c r="J358" s="13">
        <v>3</v>
      </c>
      <c r="K358" s="13" t="s">
        <v>1714</v>
      </c>
      <c r="L358" s="6" t="s">
        <v>5100</v>
      </c>
      <c r="M358" s="108" t="s">
        <v>5101</v>
      </c>
      <c r="N358" s="13" t="s">
        <v>2825</v>
      </c>
      <c r="O358" s="13" t="s">
        <v>8</v>
      </c>
      <c r="P358" s="13" t="s">
        <v>9</v>
      </c>
      <c r="Q358" s="6" t="s">
        <v>5102</v>
      </c>
      <c r="R358" s="30" t="s">
        <v>1097</v>
      </c>
      <c r="S358" s="17" t="s">
        <v>6115</v>
      </c>
      <c r="T358" s="18">
        <v>23</v>
      </c>
      <c r="U358" s="18">
        <v>23</v>
      </c>
      <c r="V358" s="13" t="s">
        <v>5103</v>
      </c>
      <c r="X358" s="132">
        <v>355</v>
      </c>
      <c r="Y358" s="6"/>
    </row>
    <row r="359" spans="1:25" ht="15" customHeight="1" x14ac:dyDescent="0.2">
      <c r="A359" s="12" t="s">
        <v>5755</v>
      </c>
      <c r="B359" s="13" t="s">
        <v>4978</v>
      </c>
      <c r="C359" s="74">
        <v>46596</v>
      </c>
      <c r="D359" s="13" t="s">
        <v>33</v>
      </c>
      <c r="E359" s="6" t="s">
        <v>5071</v>
      </c>
      <c r="F359" s="15" t="s">
        <v>11757</v>
      </c>
      <c r="G359" s="6" t="s">
        <v>1096</v>
      </c>
      <c r="H359" s="6" t="s">
        <v>5756</v>
      </c>
      <c r="I359" s="13" t="s">
        <v>25</v>
      </c>
      <c r="J359" s="13">
        <v>3</v>
      </c>
      <c r="K359" s="13" t="s">
        <v>1714</v>
      </c>
      <c r="L359" s="6" t="s">
        <v>5757</v>
      </c>
      <c r="M359" s="108" t="s">
        <v>5101</v>
      </c>
      <c r="N359" s="13" t="s">
        <v>2169</v>
      </c>
      <c r="O359" s="13" t="s">
        <v>8</v>
      </c>
      <c r="P359" s="13" t="s">
        <v>9</v>
      </c>
      <c r="Q359" s="6" t="s">
        <v>5758</v>
      </c>
      <c r="R359" s="30" t="s">
        <v>1097</v>
      </c>
      <c r="S359" s="17" t="s">
        <v>6115</v>
      </c>
      <c r="T359" s="18">
        <v>23</v>
      </c>
      <c r="U359" s="18">
        <v>23</v>
      </c>
      <c r="V359" s="13" t="s">
        <v>5759</v>
      </c>
      <c r="X359" s="132">
        <v>356</v>
      </c>
      <c r="Y359" s="6"/>
    </row>
    <row r="360" spans="1:25" ht="15" customHeight="1" x14ac:dyDescent="0.2">
      <c r="A360" s="12" t="s">
        <v>1098</v>
      </c>
      <c r="B360" s="13" t="s">
        <v>4978</v>
      </c>
      <c r="C360" s="74">
        <v>46889</v>
      </c>
      <c r="D360" s="13" t="s">
        <v>33</v>
      </c>
      <c r="E360" s="6" t="s">
        <v>7261</v>
      </c>
      <c r="F360" s="15" t="s">
        <v>1100</v>
      </c>
      <c r="G360" s="6" t="s">
        <v>1101</v>
      </c>
      <c r="H360" s="6" t="s">
        <v>1101</v>
      </c>
      <c r="I360" s="13" t="s">
        <v>25</v>
      </c>
      <c r="J360" s="13">
        <v>3</v>
      </c>
      <c r="K360" s="13" t="s">
        <v>1714</v>
      </c>
      <c r="L360" s="6" t="s">
        <v>7262</v>
      </c>
      <c r="M360" s="108" t="s">
        <v>7263</v>
      </c>
      <c r="N360" s="13" t="s">
        <v>7264</v>
      </c>
      <c r="O360" s="13" t="s">
        <v>445</v>
      </c>
      <c r="P360" s="13" t="s">
        <v>16</v>
      </c>
      <c r="Q360" s="6" t="s">
        <v>7265</v>
      </c>
      <c r="R360" s="121" t="s">
        <v>7266</v>
      </c>
      <c r="S360" s="17" t="s">
        <v>7267</v>
      </c>
      <c r="T360" s="13">
        <v>25</v>
      </c>
      <c r="U360" s="13">
        <v>24</v>
      </c>
      <c r="V360" s="13" t="s">
        <v>7268</v>
      </c>
      <c r="X360" s="132">
        <v>357</v>
      </c>
      <c r="Y360" s="6"/>
    </row>
    <row r="361" spans="1:25" ht="15" customHeight="1" x14ac:dyDescent="0.2">
      <c r="A361" s="12" t="s">
        <v>1102</v>
      </c>
      <c r="B361" s="13" t="s">
        <v>4978</v>
      </c>
      <c r="C361" s="74">
        <v>46742</v>
      </c>
      <c r="D361" s="13" t="s">
        <v>33</v>
      </c>
      <c r="E361" s="6" t="s">
        <v>1103</v>
      </c>
      <c r="F361" s="15" t="s">
        <v>1104</v>
      </c>
      <c r="G361" s="6" t="s">
        <v>1105</v>
      </c>
      <c r="H361" s="6" t="s">
        <v>1105</v>
      </c>
      <c r="I361" s="13" t="s">
        <v>25</v>
      </c>
      <c r="J361" s="13">
        <v>3</v>
      </c>
      <c r="K361" s="13" t="s">
        <v>1714</v>
      </c>
      <c r="L361" s="6" t="s">
        <v>6486</v>
      </c>
      <c r="M361" s="108" t="s">
        <v>6487</v>
      </c>
      <c r="N361" s="13" t="s">
        <v>2145</v>
      </c>
      <c r="O361" s="13" t="s">
        <v>2146</v>
      </c>
      <c r="P361" s="13" t="s">
        <v>68</v>
      </c>
      <c r="Q361" s="6" t="s">
        <v>6488</v>
      </c>
      <c r="R361" s="6" t="s">
        <v>1106</v>
      </c>
      <c r="S361" s="17" t="s">
        <v>6489</v>
      </c>
      <c r="T361" s="13">
        <v>24</v>
      </c>
      <c r="U361" s="13">
        <v>22</v>
      </c>
      <c r="V361" s="13" t="s">
        <v>6490</v>
      </c>
      <c r="X361" s="132">
        <v>358</v>
      </c>
      <c r="Y361" s="6"/>
    </row>
    <row r="362" spans="1:25" ht="15" customHeight="1" x14ac:dyDescent="0.2">
      <c r="A362" s="20" t="s">
        <v>1107</v>
      </c>
      <c r="B362" s="22" t="s">
        <v>2608</v>
      </c>
      <c r="C362" s="14">
        <v>44970</v>
      </c>
      <c r="D362" s="13" t="s">
        <v>33</v>
      </c>
      <c r="E362" s="6" t="s">
        <v>1108</v>
      </c>
      <c r="F362" s="15" t="s">
        <v>1109</v>
      </c>
      <c r="G362" s="6" t="s">
        <v>1110</v>
      </c>
      <c r="I362" s="13" t="s">
        <v>25</v>
      </c>
      <c r="J362" s="13">
        <v>3</v>
      </c>
      <c r="K362" s="13" t="s">
        <v>1714</v>
      </c>
      <c r="L362" s="6"/>
      <c r="M362" s="108"/>
      <c r="O362" s="13" t="s">
        <v>15</v>
      </c>
      <c r="P362" s="13" t="s">
        <v>16</v>
      </c>
      <c r="Q362" s="6"/>
      <c r="R362" s="6" t="s">
        <v>1111</v>
      </c>
      <c r="S362" s="17" t="s">
        <v>6634</v>
      </c>
      <c r="T362" s="13"/>
      <c r="U362" s="13"/>
      <c r="V362" s="13"/>
      <c r="X362" s="132">
        <v>359</v>
      </c>
      <c r="Y362" s="6"/>
    </row>
    <row r="363" spans="1:25" ht="15" customHeight="1" x14ac:dyDescent="0.2">
      <c r="A363" s="12" t="s">
        <v>1112</v>
      </c>
      <c r="B363" s="13" t="s">
        <v>4978</v>
      </c>
      <c r="C363" s="74">
        <v>46645</v>
      </c>
      <c r="D363" s="13" t="s">
        <v>33</v>
      </c>
      <c r="E363" s="6" t="s">
        <v>1113</v>
      </c>
      <c r="F363" s="15" t="s">
        <v>6024</v>
      </c>
      <c r="G363" s="6" t="s">
        <v>1114</v>
      </c>
      <c r="H363" s="6" t="s">
        <v>1114</v>
      </c>
      <c r="I363" s="13" t="s">
        <v>25</v>
      </c>
      <c r="J363" s="13">
        <v>3</v>
      </c>
      <c r="K363" s="13" t="s">
        <v>1714</v>
      </c>
      <c r="L363" s="6" t="s">
        <v>6025</v>
      </c>
      <c r="M363" s="108" t="s">
        <v>6026</v>
      </c>
      <c r="N363" s="13" t="s">
        <v>6027</v>
      </c>
      <c r="O363" s="13" t="s">
        <v>1055</v>
      </c>
      <c r="P363" s="13" t="s">
        <v>16</v>
      </c>
      <c r="Q363" s="6" t="s">
        <v>6028</v>
      </c>
      <c r="R363" s="17" t="s">
        <v>6029</v>
      </c>
      <c r="S363" s="17" t="s">
        <v>6030</v>
      </c>
      <c r="T363" s="13">
        <v>40</v>
      </c>
      <c r="U363" s="13">
        <v>40</v>
      </c>
      <c r="V363" s="13" t="s">
        <v>6031</v>
      </c>
      <c r="X363" s="132">
        <v>360</v>
      </c>
      <c r="Y363" s="6"/>
    </row>
    <row r="364" spans="1:25" ht="15" customHeight="1" x14ac:dyDescent="0.2">
      <c r="A364" s="12" t="s">
        <v>1115</v>
      </c>
      <c r="B364" s="13" t="s">
        <v>4978</v>
      </c>
      <c r="C364" s="74">
        <v>46477</v>
      </c>
      <c r="D364" s="13" t="s">
        <v>33</v>
      </c>
      <c r="E364" s="6" t="s">
        <v>5067</v>
      </c>
      <c r="G364" s="6" t="s">
        <v>1117</v>
      </c>
      <c r="H364" s="6" t="s">
        <v>1117</v>
      </c>
      <c r="I364" s="13" t="s">
        <v>25</v>
      </c>
      <c r="J364" s="13">
        <v>3</v>
      </c>
      <c r="K364" s="13" t="s">
        <v>1714</v>
      </c>
      <c r="L364" s="6" t="s">
        <v>5105</v>
      </c>
      <c r="M364" s="108" t="s">
        <v>5104</v>
      </c>
      <c r="N364" s="13" t="s">
        <v>8</v>
      </c>
      <c r="O364" s="13" t="s">
        <v>8</v>
      </c>
      <c r="P364" s="13" t="s">
        <v>9</v>
      </c>
      <c r="Q364" s="6" t="s">
        <v>5106</v>
      </c>
      <c r="R364" s="6" t="s">
        <v>1118</v>
      </c>
      <c r="S364" s="17" t="s">
        <v>6639</v>
      </c>
      <c r="T364" s="13">
        <v>15</v>
      </c>
      <c r="U364" s="13">
        <v>8</v>
      </c>
      <c r="V364" s="13" t="s">
        <v>5107</v>
      </c>
      <c r="X364" s="132">
        <v>361</v>
      </c>
      <c r="Y364" s="6"/>
    </row>
    <row r="365" spans="1:25" ht="15" customHeight="1" x14ac:dyDescent="0.2">
      <c r="A365" s="12" t="s">
        <v>1119</v>
      </c>
      <c r="B365" s="13" t="s">
        <v>4977</v>
      </c>
      <c r="C365" s="14">
        <v>46733</v>
      </c>
      <c r="D365" s="13" t="s">
        <v>33</v>
      </c>
      <c r="E365" s="6" t="s">
        <v>3408</v>
      </c>
      <c r="F365" s="15" t="s">
        <v>1121</v>
      </c>
      <c r="G365" s="6" t="s">
        <v>3381</v>
      </c>
      <c r="H365" s="6" t="s">
        <v>3381</v>
      </c>
      <c r="I365" s="13" t="s">
        <v>25</v>
      </c>
      <c r="J365" s="13">
        <v>6</v>
      </c>
      <c r="K365" s="13" t="s">
        <v>1714</v>
      </c>
      <c r="L365" s="6" t="s">
        <v>3202</v>
      </c>
      <c r="M365" s="108" t="s">
        <v>11077</v>
      </c>
      <c r="N365" s="13" t="s">
        <v>8</v>
      </c>
      <c r="O365" s="13" t="s">
        <v>8</v>
      </c>
      <c r="P365" s="13" t="s">
        <v>9</v>
      </c>
      <c r="Q365" s="6" t="s">
        <v>3203</v>
      </c>
      <c r="R365" s="17" t="s">
        <v>3204</v>
      </c>
      <c r="S365" s="17" t="s">
        <v>6652</v>
      </c>
      <c r="T365" s="13">
        <v>170</v>
      </c>
      <c r="U365" s="13">
        <v>115</v>
      </c>
      <c r="V365" s="13" t="s">
        <v>3201</v>
      </c>
      <c r="X365" s="132">
        <v>362</v>
      </c>
      <c r="Y365" s="6"/>
    </row>
    <row r="366" spans="1:25" ht="15" customHeight="1" x14ac:dyDescent="0.2">
      <c r="A366" s="20" t="s">
        <v>1123</v>
      </c>
      <c r="B366" s="22" t="s">
        <v>2608</v>
      </c>
      <c r="C366" s="14">
        <v>44970</v>
      </c>
      <c r="D366" s="13" t="s">
        <v>33</v>
      </c>
      <c r="E366" s="6" t="s">
        <v>1124</v>
      </c>
      <c r="F366" s="15" t="s">
        <v>1125</v>
      </c>
      <c r="G366" s="6" t="s">
        <v>1126</v>
      </c>
      <c r="I366" s="13" t="s">
        <v>25</v>
      </c>
      <c r="J366" s="13">
        <v>3</v>
      </c>
      <c r="K366" s="13" t="s">
        <v>1714</v>
      </c>
      <c r="L366" s="6"/>
      <c r="M366" s="108"/>
      <c r="O366" s="13" t="s">
        <v>8</v>
      </c>
      <c r="P366" s="13" t="s">
        <v>9</v>
      </c>
      <c r="Q366" s="6"/>
      <c r="R366" s="6" t="s">
        <v>1127</v>
      </c>
      <c r="S366" s="17" t="s">
        <v>6653</v>
      </c>
      <c r="T366" s="13"/>
      <c r="U366" s="13"/>
      <c r="V366" s="13"/>
      <c r="X366" s="132">
        <v>363</v>
      </c>
      <c r="Y366" s="6"/>
    </row>
    <row r="367" spans="1:25" ht="15" customHeight="1" x14ac:dyDescent="0.2">
      <c r="A367" s="12" t="s">
        <v>1128</v>
      </c>
      <c r="B367" s="13" t="s">
        <v>4978</v>
      </c>
      <c r="C367" s="74">
        <v>46799</v>
      </c>
      <c r="D367" s="13" t="s">
        <v>33</v>
      </c>
      <c r="E367" s="6" t="s">
        <v>6817</v>
      </c>
      <c r="F367" s="15" t="s">
        <v>1130</v>
      </c>
      <c r="G367" s="6" t="s">
        <v>1131</v>
      </c>
      <c r="H367" s="6" t="s">
        <v>1131</v>
      </c>
      <c r="I367" s="13" t="s">
        <v>25</v>
      </c>
      <c r="J367" s="13">
        <v>3</v>
      </c>
      <c r="K367" s="13" t="s">
        <v>1714</v>
      </c>
      <c r="L367" s="6" t="s">
        <v>6818</v>
      </c>
      <c r="M367" s="108" t="s">
        <v>6819</v>
      </c>
      <c r="N367" s="13" t="s">
        <v>128</v>
      </c>
      <c r="O367" s="13" t="s">
        <v>128</v>
      </c>
      <c r="P367" s="13" t="s">
        <v>16</v>
      </c>
      <c r="Q367" s="6" t="s">
        <v>6820</v>
      </c>
      <c r="R367" s="6" t="s">
        <v>1132</v>
      </c>
      <c r="S367" s="17" t="s">
        <v>6821</v>
      </c>
      <c r="T367" s="13">
        <v>32</v>
      </c>
      <c r="U367" s="13">
        <v>32</v>
      </c>
      <c r="V367" s="13" t="s">
        <v>6822</v>
      </c>
      <c r="X367" s="132">
        <v>364</v>
      </c>
      <c r="Y367" s="6"/>
    </row>
    <row r="368" spans="1:25" ht="15" customHeight="1" x14ac:dyDescent="0.2">
      <c r="A368" s="12" t="s">
        <v>1133</v>
      </c>
      <c r="B368" s="13" t="s">
        <v>4978</v>
      </c>
      <c r="C368" s="74">
        <v>46889</v>
      </c>
      <c r="D368" s="13" t="s">
        <v>33</v>
      </c>
      <c r="E368" s="6" t="s">
        <v>7146</v>
      </c>
      <c r="F368" s="15" t="s">
        <v>7147</v>
      </c>
      <c r="G368" s="6" t="s">
        <v>1135</v>
      </c>
      <c r="H368" s="6" t="s">
        <v>1135</v>
      </c>
      <c r="I368" s="13" t="s">
        <v>25</v>
      </c>
      <c r="J368" s="13">
        <v>3</v>
      </c>
      <c r="K368" s="13" t="s">
        <v>1714</v>
      </c>
      <c r="L368" s="6" t="s">
        <v>7269</v>
      </c>
      <c r="M368" s="108" t="s">
        <v>7270</v>
      </c>
      <c r="N368" s="13" t="s">
        <v>7271</v>
      </c>
      <c r="O368" s="13" t="s">
        <v>1055</v>
      </c>
      <c r="P368" s="13" t="s">
        <v>16</v>
      </c>
      <c r="Q368" s="6" t="s">
        <v>3786</v>
      </c>
      <c r="R368" s="17" t="s">
        <v>4682</v>
      </c>
      <c r="S368" s="17"/>
      <c r="T368" s="13">
        <v>29</v>
      </c>
      <c r="U368" s="13">
        <v>26</v>
      </c>
      <c r="V368" s="13" t="s">
        <v>7272</v>
      </c>
      <c r="X368" s="132">
        <v>365</v>
      </c>
      <c r="Y368" s="6"/>
    </row>
    <row r="369" spans="1:25" ht="15" customHeight="1" x14ac:dyDescent="0.2">
      <c r="A369" s="12" t="s">
        <v>1136</v>
      </c>
      <c r="B369" s="13" t="s">
        <v>4978</v>
      </c>
      <c r="C369" s="74">
        <v>46582</v>
      </c>
      <c r="D369" s="13" t="s">
        <v>33</v>
      </c>
      <c r="E369" s="6" t="s">
        <v>1137</v>
      </c>
      <c r="F369" s="15" t="s">
        <v>5662</v>
      </c>
      <c r="G369" s="6" t="s">
        <v>5598</v>
      </c>
      <c r="H369" s="6" t="s">
        <v>5598</v>
      </c>
      <c r="I369" s="13" t="s">
        <v>25</v>
      </c>
      <c r="J369" s="13">
        <v>3</v>
      </c>
      <c r="K369" s="13" t="s">
        <v>1714</v>
      </c>
      <c r="L369" s="6" t="s">
        <v>5664</v>
      </c>
      <c r="M369" s="108" t="s">
        <v>5663</v>
      </c>
      <c r="N369" s="13" t="s">
        <v>2667</v>
      </c>
      <c r="O369" s="13" t="s">
        <v>177</v>
      </c>
      <c r="P369" s="13" t="s">
        <v>9</v>
      </c>
      <c r="Q369" s="6" t="s">
        <v>5668</v>
      </c>
      <c r="R369" s="17" t="s">
        <v>5667</v>
      </c>
      <c r="S369" s="17" t="s">
        <v>5666</v>
      </c>
      <c r="T369" s="13">
        <v>23</v>
      </c>
      <c r="U369" s="13">
        <v>17</v>
      </c>
      <c r="V369" s="13" t="s">
        <v>5665</v>
      </c>
      <c r="X369" s="132">
        <v>366</v>
      </c>
      <c r="Y369" s="6"/>
    </row>
    <row r="370" spans="1:25" ht="15" customHeight="1" x14ac:dyDescent="0.2">
      <c r="A370" s="20" t="s">
        <v>1139</v>
      </c>
      <c r="B370" s="22" t="s">
        <v>2608</v>
      </c>
      <c r="C370" s="14">
        <v>44970</v>
      </c>
      <c r="D370" s="13" t="s">
        <v>33</v>
      </c>
      <c r="E370" s="6" t="s">
        <v>1140</v>
      </c>
      <c r="F370" s="15" t="s">
        <v>1141</v>
      </c>
      <c r="G370" s="6" t="s">
        <v>1142</v>
      </c>
      <c r="I370" s="13" t="s">
        <v>25</v>
      </c>
      <c r="J370" s="13">
        <v>3</v>
      </c>
      <c r="K370" s="13" t="s">
        <v>1714</v>
      </c>
      <c r="L370" s="6"/>
      <c r="M370" s="108"/>
      <c r="O370" s="13" t="s">
        <v>177</v>
      </c>
      <c r="P370" s="13" t="s">
        <v>9</v>
      </c>
      <c r="Q370" s="6"/>
      <c r="R370" s="6" t="s">
        <v>1143</v>
      </c>
      <c r="S370" s="17" t="s">
        <v>6654</v>
      </c>
      <c r="T370" s="13"/>
      <c r="U370" s="13"/>
      <c r="V370" s="13"/>
      <c r="X370" s="132">
        <v>367</v>
      </c>
      <c r="Y370" s="6"/>
    </row>
    <row r="371" spans="1:25" ht="15" customHeight="1" x14ac:dyDescent="0.2">
      <c r="A371" s="12" t="s">
        <v>1144</v>
      </c>
      <c r="B371" s="13" t="s">
        <v>4978</v>
      </c>
      <c r="C371" s="74">
        <v>46889</v>
      </c>
      <c r="D371" s="13" t="s">
        <v>33</v>
      </c>
      <c r="E371" s="6" t="s">
        <v>1145</v>
      </c>
      <c r="F371" s="15" t="s">
        <v>1146</v>
      </c>
      <c r="G371" s="6" t="s">
        <v>1147</v>
      </c>
      <c r="H371" s="6" t="s">
        <v>1147</v>
      </c>
      <c r="I371" s="13" t="s">
        <v>25</v>
      </c>
      <c r="J371" s="13">
        <v>3</v>
      </c>
      <c r="K371" s="13" t="s">
        <v>1714</v>
      </c>
      <c r="L371" s="6" t="s">
        <v>7225</v>
      </c>
      <c r="M371" s="108" t="s">
        <v>7226</v>
      </c>
      <c r="N371" s="13" t="s">
        <v>7229</v>
      </c>
      <c r="O371" s="13" t="s">
        <v>177</v>
      </c>
      <c r="P371" s="13" t="s">
        <v>9</v>
      </c>
      <c r="Q371" s="6" t="s">
        <v>7227</v>
      </c>
      <c r="R371" s="121" t="s">
        <v>7228</v>
      </c>
      <c r="S371" s="17" t="s">
        <v>7230</v>
      </c>
      <c r="T371" s="13">
        <v>25</v>
      </c>
      <c r="U371" s="13">
        <v>25</v>
      </c>
      <c r="V371" s="13" t="s">
        <v>7231</v>
      </c>
      <c r="X371" s="132">
        <v>368</v>
      </c>
      <c r="Y371" s="6"/>
    </row>
    <row r="372" spans="1:25" ht="15" customHeight="1" x14ac:dyDescent="0.2">
      <c r="A372" s="12" t="s">
        <v>1148</v>
      </c>
      <c r="B372" s="13" t="s">
        <v>4978</v>
      </c>
      <c r="C372" s="74">
        <v>46320</v>
      </c>
      <c r="D372" s="13" t="s">
        <v>33</v>
      </c>
      <c r="E372" s="6" t="s">
        <v>4472</v>
      </c>
      <c r="F372" s="15" t="s">
        <v>773</v>
      </c>
      <c r="G372" s="6" t="s">
        <v>4471</v>
      </c>
      <c r="I372" s="13" t="s">
        <v>25</v>
      </c>
      <c r="J372" s="13">
        <v>3</v>
      </c>
      <c r="K372" s="13" t="s">
        <v>1714</v>
      </c>
      <c r="L372" s="6" t="s">
        <v>4473</v>
      </c>
      <c r="M372" s="108" t="s">
        <v>3819</v>
      </c>
      <c r="N372" s="13" t="s">
        <v>2229</v>
      </c>
      <c r="O372" s="13" t="s">
        <v>36</v>
      </c>
      <c r="P372" s="13" t="s">
        <v>4</v>
      </c>
      <c r="Q372" s="6" t="s">
        <v>4474</v>
      </c>
      <c r="R372" s="6" t="s">
        <v>775</v>
      </c>
      <c r="S372" s="17" t="s">
        <v>2268</v>
      </c>
      <c r="T372" s="13">
        <v>31</v>
      </c>
      <c r="U372" s="13">
        <v>21</v>
      </c>
      <c r="V372" s="13" t="s">
        <v>4475</v>
      </c>
      <c r="X372" s="132">
        <v>369</v>
      </c>
      <c r="Y372" s="6"/>
    </row>
    <row r="373" spans="1:25" ht="15" customHeight="1" x14ac:dyDescent="0.25">
      <c r="A373" s="12" t="s">
        <v>2831</v>
      </c>
      <c r="B373" s="13" t="s">
        <v>4978</v>
      </c>
      <c r="C373" s="74">
        <v>47148</v>
      </c>
      <c r="D373" s="13" t="s">
        <v>33</v>
      </c>
      <c r="E373" s="6" t="s">
        <v>1152</v>
      </c>
      <c r="F373" s="15" t="s">
        <v>9150</v>
      </c>
      <c r="G373" s="6" t="s">
        <v>1153</v>
      </c>
      <c r="H373" s="6" t="s">
        <v>1153</v>
      </c>
      <c r="I373" s="13" t="s">
        <v>25</v>
      </c>
      <c r="J373" s="13">
        <v>3</v>
      </c>
      <c r="K373" s="13" t="s">
        <v>1714</v>
      </c>
      <c r="L373" s="6" t="s">
        <v>2671</v>
      </c>
      <c r="M373" s="108" t="s">
        <v>2469</v>
      </c>
      <c r="N373" s="13" t="s">
        <v>136</v>
      </c>
      <c r="O373" s="13" t="s">
        <v>136</v>
      </c>
      <c r="P373" s="13" t="s">
        <v>4</v>
      </c>
      <c r="Q373" s="6" t="s">
        <v>9084</v>
      </c>
      <c r="R373" s="6" t="s">
        <v>1154</v>
      </c>
      <c r="S373" s="69" t="s">
        <v>9085</v>
      </c>
      <c r="T373" s="13">
        <v>34</v>
      </c>
      <c r="U373" s="13">
        <v>32</v>
      </c>
      <c r="V373" s="13" t="s">
        <v>9086</v>
      </c>
      <c r="X373" s="132">
        <v>370</v>
      </c>
      <c r="Y373" s="6"/>
    </row>
    <row r="374" spans="1:25" ht="15" customHeight="1" x14ac:dyDescent="0.2">
      <c r="A374" s="12" t="s">
        <v>2958</v>
      </c>
      <c r="B374" s="13" t="s">
        <v>4978</v>
      </c>
      <c r="C374" s="74">
        <v>47450</v>
      </c>
      <c r="D374" s="13" t="s">
        <v>33</v>
      </c>
      <c r="E374" s="6" t="s">
        <v>1152</v>
      </c>
      <c r="F374" s="15" t="s">
        <v>9149</v>
      </c>
      <c r="G374" s="6" t="s">
        <v>2832</v>
      </c>
      <c r="H374" s="6" t="s">
        <v>2832</v>
      </c>
      <c r="I374" s="13" t="s">
        <v>25</v>
      </c>
      <c r="J374" s="13">
        <v>3</v>
      </c>
      <c r="K374" s="13" t="s">
        <v>1714</v>
      </c>
      <c r="L374" s="6" t="s">
        <v>2833</v>
      </c>
      <c r="M374" s="108" t="s">
        <v>2834</v>
      </c>
      <c r="N374" s="13" t="s">
        <v>2470</v>
      </c>
      <c r="O374" s="13" t="s">
        <v>136</v>
      </c>
      <c r="P374" s="13" t="s">
        <v>4</v>
      </c>
      <c r="Q374" s="6" t="s">
        <v>10964</v>
      </c>
      <c r="R374" s="17" t="s">
        <v>1154</v>
      </c>
      <c r="S374" s="17" t="s">
        <v>10965</v>
      </c>
      <c r="T374" s="18">
        <v>29</v>
      </c>
      <c r="U374" s="18">
        <v>24</v>
      </c>
      <c r="V374" s="13" t="s">
        <v>2835</v>
      </c>
      <c r="X374" s="132">
        <v>371</v>
      </c>
      <c r="Y374" s="6"/>
    </row>
    <row r="375" spans="1:25" ht="15" customHeight="1" x14ac:dyDescent="0.2">
      <c r="A375" s="12" t="s">
        <v>1155</v>
      </c>
      <c r="B375" s="13" t="s">
        <v>4978</v>
      </c>
      <c r="C375" s="74">
        <v>46446</v>
      </c>
      <c r="D375" s="13" t="s">
        <v>33</v>
      </c>
      <c r="E375" s="6" t="s">
        <v>1156</v>
      </c>
      <c r="F375" s="15" t="s">
        <v>1157</v>
      </c>
      <c r="G375" s="6" t="s">
        <v>1158</v>
      </c>
      <c r="H375" s="6" t="s">
        <v>1158</v>
      </c>
      <c r="I375" s="13" t="s">
        <v>7931</v>
      </c>
      <c r="J375" s="13">
        <v>4</v>
      </c>
      <c r="K375" s="13" t="s">
        <v>1714</v>
      </c>
      <c r="L375" s="6" t="s">
        <v>4994</v>
      </c>
      <c r="M375" s="108" t="s">
        <v>4995</v>
      </c>
      <c r="N375" s="13" t="s">
        <v>36</v>
      </c>
      <c r="O375" s="13" t="s">
        <v>36</v>
      </c>
      <c r="P375" s="13" t="s">
        <v>4</v>
      </c>
      <c r="Q375" s="6" t="s">
        <v>4996</v>
      </c>
      <c r="R375" s="6" t="s">
        <v>1159</v>
      </c>
      <c r="S375" s="17" t="s">
        <v>4997</v>
      </c>
      <c r="T375" s="13">
        <v>16</v>
      </c>
      <c r="U375" s="13">
        <v>12</v>
      </c>
      <c r="V375" s="13" t="s">
        <v>4999</v>
      </c>
      <c r="X375" s="132">
        <v>372</v>
      </c>
      <c r="Y375" s="6"/>
    </row>
    <row r="376" spans="1:25" ht="15" customHeight="1" x14ac:dyDescent="0.2">
      <c r="A376" s="20" t="s">
        <v>1160</v>
      </c>
      <c r="B376" s="22" t="s">
        <v>2608</v>
      </c>
      <c r="C376" s="14">
        <v>44275</v>
      </c>
      <c r="D376" s="13" t="s">
        <v>33</v>
      </c>
      <c r="E376" s="6" t="s">
        <v>1161</v>
      </c>
      <c r="F376" s="15" t="s">
        <v>1162</v>
      </c>
      <c r="G376" s="6" t="s">
        <v>1163</v>
      </c>
      <c r="I376" s="13" t="s">
        <v>25</v>
      </c>
      <c r="J376" s="13">
        <v>3</v>
      </c>
      <c r="K376" s="13" t="s">
        <v>1714</v>
      </c>
      <c r="L376" s="6"/>
      <c r="M376" s="108"/>
      <c r="O376" s="13" t="s">
        <v>128</v>
      </c>
      <c r="P376" s="13" t="s">
        <v>16</v>
      </c>
      <c r="Q376" s="6"/>
      <c r="R376" s="6" t="s">
        <v>1164</v>
      </c>
      <c r="S376" s="17" t="s">
        <v>6655</v>
      </c>
      <c r="T376" s="13"/>
      <c r="U376" s="13"/>
      <c r="V376" s="13"/>
      <c r="X376" s="132">
        <v>373</v>
      </c>
      <c r="Y376" s="6"/>
    </row>
    <row r="377" spans="1:25" ht="15" customHeight="1" x14ac:dyDescent="0.2">
      <c r="A377" s="12" t="s">
        <v>1165</v>
      </c>
      <c r="B377" s="13" t="s">
        <v>4978</v>
      </c>
      <c r="C377" s="74">
        <v>46446</v>
      </c>
      <c r="D377" s="13" t="s">
        <v>1533</v>
      </c>
      <c r="E377" s="6" t="s">
        <v>1166</v>
      </c>
      <c r="F377" s="15" t="s">
        <v>11758</v>
      </c>
      <c r="G377" s="6" t="s">
        <v>1167</v>
      </c>
      <c r="H377" s="6" t="s">
        <v>1167</v>
      </c>
      <c r="I377" s="13" t="s">
        <v>13</v>
      </c>
      <c r="J377" s="13">
        <v>7</v>
      </c>
      <c r="K377" s="13" t="s">
        <v>6603</v>
      </c>
      <c r="L377" s="6" t="s">
        <v>5063</v>
      </c>
      <c r="M377" s="108" t="s">
        <v>5064</v>
      </c>
      <c r="N377" s="13" t="s">
        <v>5065</v>
      </c>
      <c r="O377" s="13" t="s">
        <v>5556</v>
      </c>
      <c r="P377" s="13" t="s">
        <v>9</v>
      </c>
      <c r="Q377" s="6" t="s">
        <v>5000</v>
      </c>
      <c r="R377" s="6" t="s">
        <v>5001</v>
      </c>
      <c r="S377" s="17" t="s">
        <v>6656</v>
      </c>
      <c r="T377" s="13">
        <v>100</v>
      </c>
      <c r="U377" s="13">
        <v>128</v>
      </c>
      <c r="V377" s="13" t="s">
        <v>5002</v>
      </c>
      <c r="X377" s="132">
        <v>374</v>
      </c>
      <c r="Y377" s="6"/>
    </row>
    <row r="378" spans="1:25" ht="15" customHeight="1" x14ac:dyDescent="0.2">
      <c r="A378" s="12" t="s">
        <v>1168</v>
      </c>
      <c r="B378" s="13" t="s">
        <v>4978</v>
      </c>
      <c r="C378" s="74">
        <v>46284</v>
      </c>
      <c r="D378" s="13" t="s">
        <v>33</v>
      </c>
      <c r="E378" s="6" t="s">
        <v>1169</v>
      </c>
      <c r="F378" s="15" t="s">
        <v>11759</v>
      </c>
      <c r="G378" s="6" t="s">
        <v>1170</v>
      </c>
      <c r="I378" s="13" t="s">
        <v>25</v>
      </c>
      <c r="J378" s="13">
        <v>3</v>
      </c>
      <c r="K378" s="13" t="s">
        <v>1714</v>
      </c>
      <c r="L378" s="6" t="s">
        <v>4327</v>
      </c>
      <c r="M378" s="108" t="s">
        <v>4328</v>
      </c>
      <c r="N378" s="13" t="s">
        <v>4329</v>
      </c>
      <c r="O378" s="13" t="s">
        <v>21</v>
      </c>
      <c r="P378" s="13" t="s">
        <v>9</v>
      </c>
      <c r="Q378" s="6" t="s">
        <v>4330</v>
      </c>
      <c r="R378" s="6" t="s">
        <v>1171</v>
      </c>
      <c r="S378" s="17" t="s">
        <v>6634</v>
      </c>
      <c r="T378" s="13">
        <v>21</v>
      </c>
      <c r="U378" s="13">
        <v>16</v>
      </c>
      <c r="V378" s="13" t="s">
        <v>4326</v>
      </c>
      <c r="X378" s="132">
        <v>375</v>
      </c>
      <c r="Y378" s="6"/>
    </row>
    <row r="379" spans="1:25" ht="15" customHeight="1" x14ac:dyDescent="0.25">
      <c r="A379" s="19" t="s">
        <v>10194</v>
      </c>
      <c r="B379" s="13" t="s">
        <v>4978</v>
      </c>
      <c r="C379" s="74">
        <v>47299</v>
      </c>
      <c r="D379" s="13" t="s">
        <v>33</v>
      </c>
      <c r="E379" s="6" t="s">
        <v>1169</v>
      </c>
      <c r="F379" s="15" t="s">
        <v>10195</v>
      </c>
      <c r="G379" s="6" t="s">
        <v>10196</v>
      </c>
      <c r="H379" s="6" t="s">
        <v>10196</v>
      </c>
      <c r="I379" s="13" t="s">
        <v>25</v>
      </c>
      <c r="J379" s="13">
        <v>3</v>
      </c>
      <c r="K379" s="13" t="s">
        <v>1714</v>
      </c>
      <c r="L379" s="6" t="s">
        <v>10197</v>
      </c>
      <c r="M379" s="108" t="s">
        <v>6172</v>
      </c>
      <c r="N379" s="13" t="s">
        <v>4329</v>
      </c>
      <c r="O379" s="13" t="s">
        <v>21</v>
      </c>
      <c r="P379" s="13" t="s">
        <v>9</v>
      </c>
      <c r="Q379" s="6" t="s">
        <v>4330</v>
      </c>
      <c r="R379" s="69" t="s">
        <v>1171</v>
      </c>
      <c r="S379" s="30"/>
      <c r="T379" s="18">
        <v>16</v>
      </c>
      <c r="U379" s="18">
        <v>13</v>
      </c>
      <c r="V379" s="13" t="s">
        <v>10198</v>
      </c>
      <c r="X379" s="132">
        <v>376</v>
      </c>
      <c r="Y379" s="6"/>
    </row>
    <row r="380" spans="1:25" ht="15" customHeight="1" x14ac:dyDescent="0.2">
      <c r="A380" s="20" t="s">
        <v>1172</v>
      </c>
      <c r="B380" s="22" t="s">
        <v>2608</v>
      </c>
      <c r="C380" s="14">
        <v>44275</v>
      </c>
      <c r="D380" s="13" t="s">
        <v>33</v>
      </c>
      <c r="E380" s="6" t="s">
        <v>1173</v>
      </c>
      <c r="F380" s="15" t="s">
        <v>1174</v>
      </c>
      <c r="G380" s="6" t="s">
        <v>1175</v>
      </c>
      <c r="I380" s="13" t="s">
        <v>25</v>
      </c>
      <c r="J380" s="13">
        <v>3</v>
      </c>
      <c r="K380" s="13" t="s">
        <v>1714</v>
      </c>
      <c r="L380" s="6"/>
      <c r="M380" s="108"/>
      <c r="O380" s="13" t="s">
        <v>21</v>
      </c>
      <c r="P380" s="13" t="s">
        <v>9</v>
      </c>
      <c r="Q380" s="6"/>
      <c r="R380" s="6" t="s">
        <v>1176</v>
      </c>
      <c r="S380" s="17" t="s">
        <v>6645</v>
      </c>
      <c r="T380" s="13"/>
      <c r="U380" s="13"/>
      <c r="V380" s="13"/>
      <c r="X380" s="132">
        <v>377</v>
      </c>
      <c r="Y380" s="6"/>
    </row>
    <row r="381" spans="1:25" ht="15" customHeight="1" x14ac:dyDescent="0.2">
      <c r="A381" s="12" t="s">
        <v>1177</v>
      </c>
      <c r="B381" s="13" t="s">
        <v>4978</v>
      </c>
      <c r="C381" s="100">
        <v>46173</v>
      </c>
      <c r="D381" s="13" t="s">
        <v>1533</v>
      </c>
      <c r="E381" s="6" t="s">
        <v>1178</v>
      </c>
      <c r="F381" s="15" t="s">
        <v>1179</v>
      </c>
      <c r="G381" s="6" t="s">
        <v>1180</v>
      </c>
      <c r="I381" s="13" t="s">
        <v>25</v>
      </c>
      <c r="J381" s="13">
        <v>6</v>
      </c>
      <c r="K381" s="13" t="s">
        <v>1714</v>
      </c>
      <c r="L381" s="6"/>
      <c r="M381" s="108"/>
      <c r="O381" s="13" t="s">
        <v>11949</v>
      </c>
      <c r="P381" s="13" t="s">
        <v>68</v>
      </c>
      <c r="Q381" s="6"/>
      <c r="R381" s="6" t="s">
        <v>1181</v>
      </c>
      <c r="S381" s="17" t="s">
        <v>6627</v>
      </c>
      <c r="T381" s="13"/>
      <c r="U381" s="13"/>
      <c r="V381" s="13"/>
      <c r="X381" s="132">
        <v>378</v>
      </c>
      <c r="Y381" s="6"/>
    </row>
    <row r="382" spans="1:25" ht="15" customHeight="1" x14ac:dyDescent="0.2">
      <c r="A382" s="12" t="s">
        <v>1182</v>
      </c>
      <c r="B382" s="13" t="s">
        <v>4978</v>
      </c>
      <c r="C382" s="74">
        <v>46742</v>
      </c>
      <c r="D382" s="13" t="s">
        <v>33</v>
      </c>
      <c r="E382" s="6" t="s">
        <v>1183</v>
      </c>
      <c r="G382" s="6" t="s">
        <v>1184</v>
      </c>
      <c r="H382" s="6" t="s">
        <v>1184</v>
      </c>
      <c r="I382" s="13" t="s">
        <v>25</v>
      </c>
      <c r="J382" s="13">
        <v>3</v>
      </c>
      <c r="K382" s="13" t="s">
        <v>1714</v>
      </c>
      <c r="L382" s="6" t="s">
        <v>6496</v>
      </c>
      <c r="M382" s="108" t="s">
        <v>6491</v>
      </c>
      <c r="N382" s="13" t="s">
        <v>6492</v>
      </c>
      <c r="O382" s="13" t="s">
        <v>1847</v>
      </c>
      <c r="P382" s="13" t="s">
        <v>68</v>
      </c>
      <c r="Q382" s="6" t="s">
        <v>6493</v>
      </c>
      <c r="R382" s="17" t="s">
        <v>6494</v>
      </c>
      <c r="S382" s="17" t="s">
        <v>6634</v>
      </c>
      <c r="T382" s="13">
        <v>24</v>
      </c>
      <c r="U382" s="13">
        <v>21</v>
      </c>
      <c r="V382" s="13" t="s">
        <v>6495</v>
      </c>
      <c r="X382" s="132">
        <v>379</v>
      </c>
      <c r="Y382" s="6"/>
    </row>
    <row r="383" spans="1:25" ht="15" customHeight="1" x14ac:dyDescent="0.25">
      <c r="A383" s="12" t="s">
        <v>1185</v>
      </c>
      <c r="B383" s="24" t="s">
        <v>4978</v>
      </c>
      <c r="C383" s="14">
        <v>47642</v>
      </c>
      <c r="D383" s="13" t="s">
        <v>1533</v>
      </c>
      <c r="E383" s="6" t="s">
        <v>1186</v>
      </c>
      <c r="F383" s="15" t="s">
        <v>11760</v>
      </c>
      <c r="G383" s="6" t="s">
        <v>1187</v>
      </c>
      <c r="H383" s="6" t="s">
        <v>1187</v>
      </c>
      <c r="I383" s="13" t="s">
        <v>25</v>
      </c>
      <c r="J383" s="13">
        <v>5</v>
      </c>
      <c r="K383" s="13" t="s">
        <v>6603</v>
      </c>
      <c r="L383" s="6" t="s">
        <v>2878</v>
      </c>
      <c r="M383" s="108" t="s">
        <v>2879</v>
      </c>
      <c r="N383" s="13" t="s">
        <v>2880</v>
      </c>
      <c r="O383" s="13" t="s">
        <v>21</v>
      </c>
      <c r="P383" s="13" t="s">
        <v>9</v>
      </c>
      <c r="Q383" s="6" t="s">
        <v>12092</v>
      </c>
      <c r="R383" s="69" t="s">
        <v>12093</v>
      </c>
      <c r="S383" s="17" t="s">
        <v>2881</v>
      </c>
      <c r="T383" s="13">
        <v>30</v>
      </c>
      <c r="U383" s="13">
        <v>30</v>
      </c>
      <c r="V383" s="13" t="s">
        <v>2882</v>
      </c>
      <c r="X383" s="132">
        <v>380</v>
      </c>
      <c r="Y383" s="6"/>
    </row>
    <row r="384" spans="1:25" ht="15" customHeight="1" x14ac:dyDescent="0.2">
      <c r="A384" s="20" t="s">
        <v>1188</v>
      </c>
      <c r="B384" s="22" t="s">
        <v>2608</v>
      </c>
      <c r="C384" s="14">
        <v>45005</v>
      </c>
      <c r="D384" s="13" t="s">
        <v>33</v>
      </c>
      <c r="E384" s="6" t="s">
        <v>5742</v>
      </c>
      <c r="G384" s="6" t="s">
        <v>1190</v>
      </c>
      <c r="H384" s="6" t="s">
        <v>1190</v>
      </c>
      <c r="I384" s="13" t="s">
        <v>25</v>
      </c>
      <c r="J384" s="13">
        <v>3</v>
      </c>
      <c r="K384" s="13" t="s">
        <v>1714</v>
      </c>
      <c r="L384" s="6" t="s">
        <v>5743</v>
      </c>
      <c r="M384" s="108" t="s">
        <v>5744</v>
      </c>
      <c r="N384" s="13" t="s">
        <v>5745</v>
      </c>
      <c r="O384" s="13" t="s">
        <v>1847</v>
      </c>
      <c r="P384" s="13" t="s">
        <v>68</v>
      </c>
      <c r="Q384" s="6" t="s">
        <v>5746</v>
      </c>
      <c r="R384" s="6" t="s">
        <v>1191</v>
      </c>
      <c r="S384" s="17" t="s">
        <v>6634</v>
      </c>
      <c r="T384" s="13">
        <v>24</v>
      </c>
      <c r="U384" s="13">
        <v>19</v>
      </c>
      <c r="V384" s="13" t="s">
        <v>5747</v>
      </c>
      <c r="X384" s="132">
        <v>381</v>
      </c>
      <c r="Y384" s="6"/>
    </row>
    <row r="385" spans="1:25" ht="15" customHeight="1" x14ac:dyDescent="0.2">
      <c r="A385" s="12" t="s">
        <v>1192</v>
      </c>
      <c r="B385" s="13" t="s">
        <v>4978</v>
      </c>
      <c r="C385" s="74">
        <v>46917</v>
      </c>
      <c r="D385" s="13" t="s">
        <v>33</v>
      </c>
      <c r="E385" s="6" t="s">
        <v>1193</v>
      </c>
      <c r="F385" s="15" t="s">
        <v>7420</v>
      </c>
      <c r="G385" s="6" t="s">
        <v>1194</v>
      </c>
      <c r="H385" s="6" t="s">
        <v>1194</v>
      </c>
      <c r="I385" s="13" t="s">
        <v>25</v>
      </c>
      <c r="J385" s="13">
        <v>3</v>
      </c>
      <c r="K385" s="13" t="s">
        <v>1714</v>
      </c>
      <c r="L385" s="6" t="s">
        <v>7421</v>
      </c>
      <c r="M385" s="108" t="s">
        <v>7422</v>
      </c>
      <c r="N385" s="13" t="s">
        <v>2945</v>
      </c>
      <c r="O385" s="13" t="s">
        <v>136</v>
      </c>
      <c r="P385" s="13" t="s">
        <v>4</v>
      </c>
      <c r="Q385" s="6" t="s">
        <v>7423</v>
      </c>
      <c r="R385" s="6" t="s">
        <v>1195</v>
      </c>
      <c r="S385" s="17"/>
      <c r="T385" s="13">
        <v>12</v>
      </c>
      <c r="U385" s="13">
        <v>6</v>
      </c>
      <c r="V385" s="13" t="s">
        <v>7424</v>
      </c>
      <c r="X385" s="132">
        <v>382</v>
      </c>
      <c r="Y385" s="6"/>
    </row>
    <row r="386" spans="1:25" ht="15" customHeight="1" x14ac:dyDescent="0.2">
      <c r="A386" s="12" t="s">
        <v>1196</v>
      </c>
      <c r="B386" s="13" t="s">
        <v>1197</v>
      </c>
      <c r="D386" s="13" t="s">
        <v>1197</v>
      </c>
      <c r="E386" s="6" t="s">
        <v>1197</v>
      </c>
      <c r="F386" s="15" t="s">
        <v>1197</v>
      </c>
      <c r="G386" s="6" t="s">
        <v>1197</v>
      </c>
      <c r="I386" s="13" t="s">
        <v>1197</v>
      </c>
      <c r="K386" s="13"/>
      <c r="L386" s="6"/>
      <c r="M386" s="108"/>
      <c r="O386" s="13" t="s">
        <v>1197</v>
      </c>
      <c r="P386" s="13" t="s">
        <v>1197</v>
      </c>
      <c r="Q386" s="6"/>
      <c r="R386" s="6" t="s">
        <v>1197</v>
      </c>
      <c r="S386" s="17" t="s">
        <v>6657</v>
      </c>
      <c r="T386" s="13"/>
      <c r="U386" s="13"/>
      <c r="V386" s="13"/>
      <c r="X386" s="132">
        <v>383</v>
      </c>
      <c r="Y386" s="6"/>
    </row>
    <row r="387" spans="1:25" ht="15" customHeight="1" x14ac:dyDescent="0.2">
      <c r="A387" s="20" t="s">
        <v>1198</v>
      </c>
      <c r="B387" s="22" t="s">
        <v>2608</v>
      </c>
      <c r="C387" s="14">
        <v>44275</v>
      </c>
      <c r="D387" s="13" t="s">
        <v>33</v>
      </c>
      <c r="E387" s="6" t="s">
        <v>1199</v>
      </c>
      <c r="G387" s="6" t="s">
        <v>1200</v>
      </c>
      <c r="I387" s="13" t="s">
        <v>25</v>
      </c>
      <c r="J387" s="13">
        <v>3</v>
      </c>
      <c r="K387" s="13" t="s">
        <v>1714</v>
      </c>
      <c r="L387" s="6"/>
      <c r="M387" s="108"/>
      <c r="O387" s="13" t="s">
        <v>97</v>
      </c>
      <c r="P387" s="13" t="s">
        <v>4</v>
      </c>
      <c r="Q387" s="6"/>
      <c r="R387" s="6" t="s">
        <v>1201</v>
      </c>
      <c r="S387" s="17" t="s">
        <v>6658</v>
      </c>
      <c r="T387" s="13"/>
      <c r="U387" s="13"/>
      <c r="V387" s="13"/>
      <c r="X387" s="132">
        <v>384</v>
      </c>
      <c r="Y387" s="6"/>
    </row>
    <row r="388" spans="1:25" ht="15" customHeight="1" x14ac:dyDescent="0.2">
      <c r="A388" s="20" t="s">
        <v>1202</v>
      </c>
      <c r="B388" s="22" t="s">
        <v>2608</v>
      </c>
      <c r="C388" s="14">
        <v>44275</v>
      </c>
      <c r="D388" s="13" t="s">
        <v>33</v>
      </c>
      <c r="E388" s="6" t="s">
        <v>1203</v>
      </c>
      <c r="F388" s="15" t="s">
        <v>1204</v>
      </c>
      <c r="G388" s="6" t="s">
        <v>1205</v>
      </c>
      <c r="I388" s="13" t="s">
        <v>25</v>
      </c>
      <c r="J388" s="13">
        <v>3</v>
      </c>
      <c r="K388" s="13" t="s">
        <v>1714</v>
      </c>
      <c r="L388" s="6"/>
      <c r="M388" s="108"/>
      <c r="O388" s="13" t="s">
        <v>15</v>
      </c>
      <c r="P388" s="13" t="s">
        <v>16</v>
      </c>
      <c r="Q388" s="6"/>
      <c r="R388" s="6" t="s">
        <v>1206</v>
      </c>
      <c r="S388" s="17" t="s">
        <v>6659</v>
      </c>
      <c r="T388" s="13"/>
      <c r="U388" s="13"/>
      <c r="V388" s="13"/>
      <c r="X388" s="132">
        <v>385</v>
      </c>
      <c r="Y388" s="6"/>
    </row>
    <row r="389" spans="1:25" ht="15" customHeight="1" x14ac:dyDescent="0.2">
      <c r="A389" s="20" t="s">
        <v>1207</v>
      </c>
      <c r="B389" s="22" t="s">
        <v>2608</v>
      </c>
      <c r="C389" s="14">
        <v>46091</v>
      </c>
      <c r="D389" s="13" t="s">
        <v>33</v>
      </c>
      <c r="E389" s="6" t="s">
        <v>3742</v>
      </c>
      <c r="F389" s="15" t="s">
        <v>11761</v>
      </c>
      <c r="G389" s="6" t="s">
        <v>1209</v>
      </c>
      <c r="I389" s="13" t="s">
        <v>25</v>
      </c>
      <c r="J389" s="13">
        <v>3</v>
      </c>
      <c r="K389" s="13" t="s">
        <v>1714</v>
      </c>
      <c r="L389" s="6" t="s">
        <v>3743</v>
      </c>
      <c r="M389" s="108" t="s">
        <v>3744</v>
      </c>
      <c r="N389" s="13" t="s">
        <v>2536</v>
      </c>
      <c r="O389" s="13" t="s">
        <v>128</v>
      </c>
      <c r="P389" s="13" t="s">
        <v>16</v>
      </c>
      <c r="Q389" s="6" t="s">
        <v>3745</v>
      </c>
      <c r="R389" s="6" t="s">
        <v>1210</v>
      </c>
      <c r="S389" s="17" t="s">
        <v>3746</v>
      </c>
      <c r="T389" s="13">
        <v>23</v>
      </c>
      <c r="U389" s="13">
        <v>17</v>
      </c>
      <c r="V389" s="13" t="s">
        <v>3747</v>
      </c>
      <c r="X389" s="132">
        <v>386</v>
      </c>
      <c r="Y389" s="6"/>
    </row>
    <row r="390" spans="1:25" ht="15" customHeight="1" x14ac:dyDescent="0.2">
      <c r="A390" s="12" t="s">
        <v>1211</v>
      </c>
      <c r="B390" s="24" t="s">
        <v>4977</v>
      </c>
      <c r="C390" s="14">
        <v>46295</v>
      </c>
      <c r="D390" s="13" t="s">
        <v>33</v>
      </c>
      <c r="E390" s="6" t="s">
        <v>4286</v>
      </c>
      <c r="F390" s="15" t="s">
        <v>9222</v>
      </c>
      <c r="G390" s="6" t="s">
        <v>1213</v>
      </c>
      <c r="H390" s="6" t="s">
        <v>1213</v>
      </c>
      <c r="I390" s="13" t="s">
        <v>25</v>
      </c>
      <c r="J390" s="13">
        <v>3</v>
      </c>
      <c r="K390" s="13" t="s">
        <v>1714</v>
      </c>
      <c r="L390" s="6" t="s">
        <v>4287</v>
      </c>
      <c r="M390" s="108" t="s">
        <v>4288</v>
      </c>
      <c r="N390" s="13" t="s">
        <v>2647</v>
      </c>
      <c r="O390" s="13" t="s">
        <v>2146</v>
      </c>
      <c r="P390" s="13" t="s">
        <v>68</v>
      </c>
      <c r="Q390" s="6" t="s">
        <v>4289</v>
      </c>
      <c r="R390" s="6" t="s">
        <v>1214</v>
      </c>
      <c r="S390" s="17" t="s">
        <v>6634</v>
      </c>
      <c r="T390" s="13">
        <v>21</v>
      </c>
      <c r="U390" s="13">
        <v>21</v>
      </c>
      <c r="V390" s="13" t="s">
        <v>4290</v>
      </c>
      <c r="X390" s="132">
        <v>387</v>
      </c>
      <c r="Y390" s="6"/>
    </row>
    <row r="391" spans="1:25" ht="15" customHeight="1" x14ac:dyDescent="0.2">
      <c r="A391" s="12" t="s">
        <v>1215</v>
      </c>
      <c r="B391" s="13" t="s">
        <v>4978</v>
      </c>
      <c r="C391" s="74">
        <v>47026</v>
      </c>
      <c r="D391" s="13" t="s">
        <v>1533</v>
      </c>
      <c r="E391" s="6" t="s">
        <v>1216</v>
      </c>
      <c r="F391" s="15" t="s">
        <v>11762</v>
      </c>
      <c r="G391" s="6" t="s">
        <v>1217</v>
      </c>
      <c r="H391" s="6" t="s">
        <v>8149</v>
      </c>
      <c r="I391" s="13" t="s">
        <v>25</v>
      </c>
      <c r="J391" s="13">
        <v>6</v>
      </c>
      <c r="K391" s="13" t="s">
        <v>1714</v>
      </c>
      <c r="L391" s="6" t="s">
        <v>4174</v>
      </c>
      <c r="M391" s="108" t="s">
        <v>8150</v>
      </c>
      <c r="N391" s="13" t="s">
        <v>4175</v>
      </c>
      <c r="O391" s="13" t="s">
        <v>2146</v>
      </c>
      <c r="P391" s="13" t="s">
        <v>68</v>
      </c>
      <c r="Q391" s="6" t="s">
        <v>4176</v>
      </c>
      <c r="R391" s="17" t="s">
        <v>4177</v>
      </c>
      <c r="S391" s="17" t="s">
        <v>6646</v>
      </c>
      <c r="T391" s="13">
        <v>24</v>
      </c>
      <c r="U391" s="13">
        <v>19</v>
      </c>
      <c r="V391" s="13" t="s">
        <v>4178</v>
      </c>
      <c r="X391" s="132">
        <v>388</v>
      </c>
      <c r="Y391" s="6"/>
    </row>
    <row r="392" spans="1:25" ht="15" customHeight="1" x14ac:dyDescent="0.2">
      <c r="A392" s="12" t="s">
        <v>1218</v>
      </c>
      <c r="B392" s="13" t="s">
        <v>4978</v>
      </c>
      <c r="C392" s="74">
        <v>46917</v>
      </c>
      <c r="D392" s="13" t="s">
        <v>33</v>
      </c>
      <c r="E392" s="6" t="s">
        <v>7425</v>
      </c>
      <c r="F392" s="15" t="s">
        <v>7426</v>
      </c>
      <c r="G392" s="6" t="s">
        <v>1220</v>
      </c>
      <c r="H392" s="6" t="s">
        <v>1220</v>
      </c>
      <c r="I392" s="13" t="s">
        <v>25</v>
      </c>
      <c r="J392" s="13">
        <v>3</v>
      </c>
      <c r="K392" s="13" t="s">
        <v>1714</v>
      </c>
      <c r="L392" s="6" t="s">
        <v>7427</v>
      </c>
      <c r="M392" s="108" t="s">
        <v>7428</v>
      </c>
      <c r="N392" s="13" t="s">
        <v>7429</v>
      </c>
      <c r="O392" s="13" t="s">
        <v>15</v>
      </c>
      <c r="P392" s="13" t="s">
        <v>16</v>
      </c>
      <c r="Q392" s="6" t="s">
        <v>7430</v>
      </c>
      <c r="R392" s="17" t="s">
        <v>7431</v>
      </c>
      <c r="S392" s="17" t="s">
        <v>6660</v>
      </c>
      <c r="T392" s="13">
        <v>22</v>
      </c>
      <c r="U392" s="13">
        <v>19</v>
      </c>
      <c r="V392" s="13" t="s">
        <v>7432</v>
      </c>
      <c r="X392" s="132">
        <v>389</v>
      </c>
      <c r="Y392" s="6"/>
    </row>
    <row r="393" spans="1:25" ht="15" customHeight="1" x14ac:dyDescent="0.2">
      <c r="A393" s="12" t="s">
        <v>1221</v>
      </c>
      <c r="B393" s="13" t="s">
        <v>4978</v>
      </c>
      <c r="C393" s="100">
        <v>46173</v>
      </c>
      <c r="D393" s="13" t="s">
        <v>1533</v>
      </c>
      <c r="E393" s="6" t="s">
        <v>1222</v>
      </c>
      <c r="F393" s="15" t="s">
        <v>11763</v>
      </c>
      <c r="G393" s="6" t="s">
        <v>1223</v>
      </c>
      <c r="I393" s="13" t="s">
        <v>13</v>
      </c>
      <c r="J393" s="13">
        <v>7</v>
      </c>
      <c r="K393" s="13" t="s">
        <v>6603</v>
      </c>
      <c r="L393" s="6" t="s">
        <v>4034</v>
      </c>
      <c r="M393" s="108" t="s">
        <v>4035</v>
      </c>
      <c r="N393" s="13" t="s">
        <v>4036</v>
      </c>
      <c r="O393" s="13" t="s">
        <v>177</v>
      </c>
      <c r="P393" s="13" t="s">
        <v>9</v>
      </c>
      <c r="Q393" s="6" t="s">
        <v>4037</v>
      </c>
      <c r="R393" s="6" t="s">
        <v>1225</v>
      </c>
      <c r="S393" s="17" t="s">
        <v>6634</v>
      </c>
      <c r="T393" s="13">
        <v>100</v>
      </c>
      <c r="U393" s="13">
        <v>108</v>
      </c>
      <c r="V393" s="13" t="s">
        <v>4038</v>
      </c>
      <c r="X393" s="132">
        <v>390</v>
      </c>
      <c r="Y393" s="6"/>
    </row>
    <row r="394" spans="1:25" ht="15" customHeight="1" x14ac:dyDescent="0.2">
      <c r="A394" s="20" t="s">
        <v>1226</v>
      </c>
      <c r="B394" s="22" t="s">
        <v>2608</v>
      </c>
      <c r="C394" s="14">
        <v>44289</v>
      </c>
      <c r="D394" s="13" t="s">
        <v>33</v>
      </c>
      <c r="E394" s="6" t="s">
        <v>1227</v>
      </c>
      <c r="F394" s="15" t="s">
        <v>11764</v>
      </c>
      <c r="G394" s="6" t="s">
        <v>1229</v>
      </c>
      <c r="I394" s="13" t="s">
        <v>1228</v>
      </c>
      <c r="J394" s="13">
        <v>3</v>
      </c>
      <c r="K394" s="13" t="s">
        <v>1714</v>
      </c>
      <c r="L394" s="6"/>
      <c r="M394" s="108"/>
      <c r="O394" s="13" t="s">
        <v>8</v>
      </c>
      <c r="P394" s="13" t="s">
        <v>9</v>
      </c>
      <c r="Q394" s="6"/>
      <c r="R394" s="6" t="s">
        <v>1230</v>
      </c>
      <c r="S394" s="17" t="s">
        <v>6634</v>
      </c>
      <c r="T394" s="13"/>
      <c r="U394" s="13"/>
      <c r="V394" s="13"/>
      <c r="X394" s="132">
        <v>391</v>
      </c>
      <c r="Y394" s="6"/>
    </row>
    <row r="395" spans="1:25" ht="15" customHeight="1" x14ac:dyDescent="0.2">
      <c r="A395" s="20" t="s">
        <v>1231</v>
      </c>
      <c r="B395" s="22" t="s">
        <v>2608</v>
      </c>
      <c r="C395" s="14">
        <v>44289</v>
      </c>
      <c r="D395" s="13" t="s">
        <v>1533</v>
      </c>
      <c r="E395" s="6" t="s">
        <v>1232</v>
      </c>
      <c r="F395" s="15" t="s">
        <v>11765</v>
      </c>
      <c r="G395" s="6" t="s">
        <v>1233</v>
      </c>
      <c r="I395" s="13" t="s">
        <v>13</v>
      </c>
      <c r="K395" s="13"/>
      <c r="L395" s="6"/>
      <c r="M395" s="108"/>
      <c r="O395" s="13" t="s">
        <v>704</v>
      </c>
      <c r="P395" s="13" t="s">
        <v>16</v>
      </c>
      <c r="Q395" s="6"/>
      <c r="R395" s="6" t="s">
        <v>1234</v>
      </c>
      <c r="S395" s="17" t="s">
        <v>6639</v>
      </c>
      <c r="T395" s="13"/>
      <c r="U395" s="13"/>
      <c r="V395" s="13"/>
      <c r="X395" s="132">
        <v>392</v>
      </c>
      <c r="Y395" s="6"/>
    </row>
    <row r="396" spans="1:25" ht="15" customHeight="1" x14ac:dyDescent="0.2">
      <c r="A396" s="12" t="s">
        <v>1235</v>
      </c>
      <c r="B396" s="13" t="s">
        <v>4978</v>
      </c>
      <c r="C396" s="74">
        <v>46385</v>
      </c>
      <c r="D396" s="13" t="s">
        <v>33</v>
      </c>
      <c r="E396" s="6" t="s">
        <v>1236</v>
      </c>
      <c r="F396" s="15" t="s">
        <v>11766</v>
      </c>
      <c r="G396" s="6" t="s">
        <v>1237</v>
      </c>
      <c r="I396" s="13" t="s">
        <v>25</v>
      </c>
      <c r="J396" s="13">
        <v>3</v>
      </c>
      <c r="K396" s="13" t="s">
        <v>1714</v>
      </c>
      <c r="L396" s="6" t="s">
        <v>4837</v>
      </c>
      <c r="M396" s="108" t="s">
        <v>4838</v>
      </c>
      <c r="N396" s="13" t="s">
        <v>4839</v>
      </c>
      <c r="O396" s="13" t="s">
        <v>704</v>
      </c>
      <c r="P396" s="13" t="s">
        <v>16</v>
      </c>
      <c r="Q396" s="6" t="s">
        <v>4840</v>
      </c>
      <c r="R396" s="6" t="s">
        <v>1239</v>
      </c>
      <c r="S396" s="17" t="s">
        <v>6639</v>
      </c>
      <c r="T396" s="13">
        <v>23</v>
      </c>
      <c r="U396" s="13">
        <v>21</v>
      </c>
      <c r="V396" s="13" t="s">
        <v>4841</v>
      </c>
      <c r="X396" s="132">
        <v>393</v>
      </c>
      <c r="Y396" s="6"/>
    </row>
    <row r="397" spans="1:25" ht="15" customHeight="1" x14ac:dyDescent="0.2">
      <c r="A397" s="12" t="s">
        <v>1240</v>
      </c>
      <c r="B397" s="13" t="s">
        <v>4978</v>
      </c>
      <c r="C397" s="100">
        <v>47615</v>
      </c>
      <c r="D397" s="13" t="s">
        <v>1533</v>
      </c>
      <c r="E397" s="6" t="s">
        <v>1241</v>
      </c>
      <c r="F397" s="15" t="s">
        <v>11592</v>
      </c>
      <c r="G397" s="6" t="s">
        <v>1242</v>
      </c>
      <c r="H397" s="6" t="s">
        <v>1242</v>
      </c>
      <c r="I397" s="13" t="s">
        <v>13</v>
      </c>
      <c r="J397" s="13">
        <v>7</v>
      </c>
      <c r="K397" s="13" t="s">
        <v>6603</v>
      </c>
      <c r="L397" s="6" t="s">
        <v>4040</v>
      </c>
      <c r="M397" s="108" t="s">
        <v>11593</v>
      </c>
      <c r="N397" s="13" t="s">
        <v>2223</v>
      </c>
      <c r="O397" s="13" t="s">
        <v>21</v>
      </c>
      <c r="P397" s="13" t="s">
        <v>9</v>
      </c>
      <c r="Q397" s="6" t="s">
        <v>11594</v>
      </c>
      <c r="R397" s="17" t="s">
        <v>1243</v>
      </c>
      <c r="S397" s="17"/>
      <c r="T397" s="13">
        <v>100</v>
      </c>
      <c r="U397" s="13">
        <v>100</v>
      </c>
      <c r="V397" s="13" t="s">
        <v>4039</v>
      </c>
      <c r="X397" s="132">
        <v>394</v>
      </c>
      <c r="Y397" s="6"/>
    </row>
    <row r="398" spans="1:25" ht="15" customHeight="1" x14ac:dyDescent="0.2">
      <c r="A398" s="12" t="s">
        <v>1244</v>
      </c>
      <c r="B398" s="13" t="s">
        <v>4978</v>
      </c>
      <c r="C398" s="74">
        <v>46799</v>
      </c>
      <c r="D398" s="13" t="s">
        <v>33</v>
      </c>
      <c r="E398" s="6" t="s">
        <v>1245</v>
      </c>
      <c r="F398" s="15" t="s">
        <v>11767</v>
      </c>
      <c r="G398" s="6" t="s">
        <v>1246</v>
      </c>
      <c r="H398" s="6" t="s">
        <v>1246</v>
      </c>
      <c r="I398" s="13" t="s">
        <v>25</v>
      </c>
      <c r="J398" s="13">
        <v>3</v>
      </c>
      <c r="K398" s="13" t="s">
        <v>1714</v>
      </c>
      <c r="L398" s="6" t="s">
        <v>6823</v>
      </c>
      <c r="M398" s="108" t="s">
        <v>6824</v>
      </c>
      <c r="N398" s="13" t="s">
        <v>3633</v>
      </c>
      <c r="O398" s="13" t="s">
        <v>11949</v>
      </c>
      <c r="P398" s="13" t="s">
        <v>68</v>
      </c>
      <c r="Q398" s="6" t="s">
        <v>6825</v>
      </c>
      <c r="R398" s="6" t="s">
        <v>1247</v>
      </c>
      <c r="S398" s="17"/>
      <c r="T398" s="13">
        <v>47</v>
      </c>
      <c r="U398" s="13">
        <v>46</v>
      </c>
      <c r="V398" s="6" t="s">
        <v>6826</v>
      </c>
      <c r="W398" s="13" t="s">
        <v>3634</v>
      </c>
      <c r="X398" s="132">
        <v>395</v>
      </c>
      <c r="Y398" s="6"/>
    </row>
    <row r="399" spans="1:25" ht="15" customHeight="1" x14ac:dyDescent="0.25">
      <c r="A399" s="12" t="s">
        <v>1248</v>
      </c>
      <c r="B399" s="13" t="s">
        <v>4978</v>
      </c>
      <c r="C399" s="74">
        <v>47436</v>
      </c>
      <c r="D399" s="13" t="s">
        <v>1533</v>
      </c>
      <c r="E399" s="6" t="s">
        <v>1249</v>
      </c>
      <c r="F399" s="15" t="s">
        <v>10921</v>
      </c>
      <c r="G399" s="6" t="s">
        <v>1250</v>
      </c>
      <c r="H399" s="6" t="s">
        <v>1250</v>
      </c>
      <c r="I399" s="13" t="s">
        <v>13</v>
      </c>
      <c r="J399" s="13">
        <v>7</v>
      </c>
      <c r="K399" s="13" t="s">
        <v>6603</v>
      </c>
      <c r="L399" s="6" t="s">
        <v>3236</v>
      </c>
      <c r="M399" s="108" t="s">
        <v>10922</v>
      </c>
      <c r="N399" s="13" t="s">
        <v>3237</v>
      </c>
      <c r="O399" s="13" t="s">
        <v>11948</v>
      </c>
      <c r="P399" s="13" t="s">
        <v>68</v>
      </c>
      <c r="Q399" s="6" t="s">
        <v>10923</v>
      </c>
      <c r="R399" s="69" t="s">
        <v>10924</v>
      </c>
      <c r="S399" s="17"/>
      <c r="T399" s="13">
        <v>100</v>
      </c>
      <c r="U399" s="13">
        <v>126</v>
      </c>
      <c r="V399" s="13" t="s">
        <v>3238</v>
      </c>
      <c r="X399" s="132">
        <v>396</v>
      </c>
      <c r="Y399" s="6"/>
    </row>
    <row r="400" spans="1:25" ht="15" customHeight="1" x14ac:dyDescent="0.2">
      <c r="A400" s="20" t="s">
        <v>1251</v>
      </c>
      <c r="B400" s="22" t="s">
        <v>2608</v>
      </c>
      <c r="C400" s="14">
        <v>44357</v>
      </c>
      <c r="D400" s="13" t="s">
        <v>33</v>
      </c>
      <c r="E400" s="6" t="s">
        <v>1252</v>
      </c>
      <c r="F400" s="15" t="s">
        <v>11768</v>
      </c>
      <c r="G400" s="6" t="s">
        <v>1253</v>
      </c>
      <c r="I400" s="13" t="s">
        <v>25</v>
      </c>
      <c r="J400" s="13">
        <v>3</v>
      </c>
      <c r="K400" s="13" t="s">
        <v>1714</v>
      </c>
      <c r="L400" s="6"/>
      <c r="M400" s="108"/>
      <c r="O400" s="13" t="s">
        <v>128</v>
      </c>
      <c r="P400" s="13" t="s">
        <v>16</v>
      </c>
      <c r="Q400" s="6"/>
      <c r="R400" s="6" t="s">
        <v>1254</v>
      </c>
      <c r="S400" s="17" t="s">
        <v>6634</v>
      </c>
      <c r="T400" s="13"/>
      <c r="U400" s="13"/>
      <c r="V400" s="13"/>
      <c r="X400" s="132">
        <v>397</v>
      </c>
      <c r="Y400" s="6"/>
    </row>
    <row r="401" spans="1:25" ht="15" customHeight="1" x14ac:dyDescent="0.25">
      <c r="A401" s="12" t="s">
        <v>1255</v>
      </c>
      <c r="B401" s="13" t="s">
        <v>4978</v>
      </c>
      <c r="C401" s="74">
        <v>47090</v>
      </c>
      <c r="D401" s="13" t="s">
        <v>33</v>
      </c>
      <c r="E401" s="6" t="s">
        <v>8533</v>
      </c>
      <c r="F401" s="15" t="s">
        <v>11769</v>
      </c>
      <c r="G401" s="6" t="s">
        <v>1257</v>
      </c>
      <c r="H401" s="6" t="s">
        <v>1257</v>
      </c>
      <c r="I401" s="13" t="s">
        <v>25</v>
      </c>
      <c r="J401" s="13">
        <v>3</v>
      </c>
      <c r="K401" s="13" t="s">
        <v>1714</v>
      </c>
      <c r="L401" s="6" t="s">
        <v>8534</v>
      </c>
      <c r="M401" s="108" t="s">
        <v>4681</v>
      </c>
      <c r="N401" s="13" t="s">
        <v>3338</v>
      </c>
      <c r="O401" s="13" t="s">
        <v>1055</v>
      </c>
      <c r="P401" s="13" t="s">
        <v>16</v>
      </c>
      <c r="Q401" s="6" t="s">
        <v>5637</v>
      </c>
      <c r="R401" s="69" t="s">
        <v>8535</v>
      </c>
      <c r="S401" s="17"/>
      <c r="T401" s="13">
        <v>28</v>
      </c>
      <c r="U401" s="13">
        <v>20</v>
      </c>
      <c r="V401" s="13" t="s">
        <v>8536</v>
      </c>
      <c r="X401" s="132">
        <v>398</v>
      </c>
      <c r="Y401" s="6"/>
    </row>
    <row r="402" spans="1:25" ht="15" customHeight="1" x14ac:dyDescent="0.2">
      <c r="A402" s="20" t="s">
        <v>1258</v>
      </c>
      <c r="B402" s="22" t="s">
        <v>2608</v>
      </c>
      <c r="C402" s="14">
        <v>45273</v>
      </c>
      <c r="D402" s="13" t="s">
        <v>33</v>
      </c>
      <c r="E402" s="6" t="s">
        <v>1259</v>
      </c>
      <c r="F402" s="15" t="s">
        <v>11770</v>
      </c>
      <c r="G402" s="6" t="s">
        <v>1260</v>
      </c>
      <c r="I402" s="13" t="s">
        <v>25</v>
      </c>
      <c r="J402" s="13">
        <v>3</v>
      </c>
      <c r="K402" s="13" t="s">
        <v>1714</v>
      </c>
      <c r="L402" s="6" t="s">
        <v>3216</v>
      </c>
      <c r="M402" s="108" t="s">
        <v>3217</v>
      </c>
      <c r="N402" s="13" t="s">
        <v>2161</v>
      </c>
      <c r="O402" s="13" t="s">
        <v>2146</v>
      </c>
      <c r="P402" s="13" t="s">
        <v>68</v>
      </c>
      <c r="Q402" s="6" t="s">
        <v>3218</v>
      </c>
      <c r="R402" s="6" t="s">
        <v>1261</v>
      </c>
      <c r="S402" s="17" t="s">
        <v>3219</v>
      </c>
      <c r="T402" s="13">
        <v>15</v>
      </c>
      <c r="U402" s="13">
        <v>13</v>
      </c>
      <c r="V402" s="13" t="s">
        <v>3215</v>
      </c>
      <c r="X402" s="132">
        <v>399</v>
      </c>
      <c r="Y402" s="6"/>
    </row>
    <row r="403" spans="1:25" ht="15" customHeight="1" x14ac:dyDescent="0.2">
      <c r="A403" s="12" t="s">
        <v>1262</v>
      </c>
      <c r="B403" s="13" t="s">
        <v>4978</v>
      </c>
      <c r="C403" s="74">
        <v>46477</v>
      </c>
      <c r="D403" s="13" t="s">
        <v>33</v>
      </c>
      <c r="E403" s="6" t="s">
        <v>1263</v>
      </c>
      <c r="F403" s="15" t="s">
        <v>11771</v>
      </c>
      <c r="G403" s="6" t="s">
        <v>1264</v>
      </c>
      <c r="H403" s="6" t="s">
        <v>1264</v>
      </c>
      <c r="I403" s="13" t="s">
        <v>25</v>
      </c>
      <c r="J403" s="13">
        <v>3</v>
      </c>
      <c r="K403" s="13" t="s">
        <v>1714</v>
      </c>
      <c r="L403" s="6" t="s">
        <v>5108</v>
      </c>
      <c r="M403" s="108" t="s">
        <v>2362</v>
      </c>
      <c r="N403" s="13" t="s">
        <v>2363</v>
      </c>
      <c r="O403" s="13" t="s">
        <v>2146</v>
      </c>
      <c r="P403" s="13" t="s">
        <v>68</v>
      </c>
      <c r="Q403" s="6" t="s">
        <v>5109</v>
      </c>
      <c r="R403" s="17" t="s">
        <v>5110</v>
      </c>
      <c r="S403" s="17" t="s">
        <v>5111</v>
      </c>
      <c r="T403" s="13">
        <v>50</v>
      </c>
      <c r="U403" s="13">
        <v>50</v>
      </c>
      <c r="V403" s="13" t="s">
        <v>5112</v>
      </c>
      <c r="X403" s="132">
        <v>400</v>
      </c>
      <c r="Y403" s="6"/>
    </row>
    <row r="404" spans="1:25" ht="15" customHeight="1" x14ac:dyDescent="0.25">
      <c r="A404" s="12" t="s">
        <v>1265</v>
      </c>
      <c r="B404" s="13" t="s">
        <v>4978</v>
      </c>
      <c r="C404" s="100">
        <v>47615</v>
      </c>
      <c r="D404" s="13" t="s">
        <v>33</v>
      </c>
      <c r="E404" s="6" t="s">
        <v>1266</v>
      </c>
      <c r="F404" s="15" t="s">
        <v>11772</v>
      </c>
      <c r="G404" s="6" t="s">
        <v>1267</v>
      </c>
      <c r="I404" s="13" t="s">
        <v>25</v>
      </c>
      <c r="J404" s="13">
        <v>3</v>
      </c>
      <c r="K404" s="13" t="s">
        <v>1714</v>
      </c>
      <c r="L404" s="6" t="s">
        <v>3861</v>
      </c>
      <c r="M404" s="108" t="s">
        <v>3862</v>
      </c>
      <c r="N404" s="13" t="s">
        <v>15</v>
      </c>
      <c r="O404" s="13" t="s">
        <v>15</v>
      </c>
      <c r="P404" s="13" t="s">
        <v>16</v>
      </c>
      <c r="Q404" s="6" t="s">
        <v>3863</v>
      </c>
      <c r="R404" s="69" t="s">
        <v>11964</v>
      </c>
      <c r="S404" s="17" t="s">
        <v>11965</v>
      </c>
      <c r="T404" s="13">
        <v>72</v>
      </c>
      <c r="U404" s="13">
        <v>66</v>
      </c>
      <c r="V404" s="13" t="s">
        <v>3865</v>
      </c>
      <c r="X404" s="132">
        <v>401</v>
      </c>
      <c r="Y404" s="6"/>
    </row>
    <row r="405" spans="1:25" ht="15" customHeight="1" x14ac:dyDescent="0.2">
      <c r="A405" s="20" t="s">
        <v>1268</v>
      </c>
      <c r="B405" s="22" t="s">
        <v>2608</v>
      </c>
      <c r="C405" s="14">
        <v>44357</v>
      </c>
      <c r="D405" s="13" t="s">
        <v>1533</v>
      </c>
      <c r="E405" s="6" t="s">
        <v>1269</v>
      </c>
      <c r="F405" s="15" t="s">
        <v>11773</v>
      </c>
      <c r="G405" s="6" t="s">
        <v>1270</v>
      </c>
      <c r="I405" s="13" t="s">
        <v>13</v>
      </c>
      <c r="K405" s="13"/>
      <c r="L405" s="6"/>
      <c r="M405" s="108"/>
      <c r="O405" s="13" t="s">
        <v>15</v>
      </c>
      <c r="P405" s="13" t="s">
        <v>16</v>
      </c>
      <c r="Q405" s="6"/>
      <c r="R405" s="6" t="s">
        <v>1271</v>
      </c>
      <c r="S405" s="17" t="s">
        <v>6661</v>
      </c>
      <c r="T405" s="13"/>
      <c r="U405" s="13"/>
      <c r="V405" s="13"/>
      <c r="X405" s="132">
        <v>402</v>
      </c>
      <c r="Y405" s="6"/>
    </row>
    <row r="406" spans="1:25" ht="15" customHeight="1" x14ac:dyDescent="0.2">
      <c r="A406" s="12" t="s">
        <v>1272</v>
      </c>
      <c r="B406" s="13" t="s">
        <v>4978</v>
      </c>
      <c r="C406" s="74">
        <v>46582</v>
      </c>
      <c r="D406" s="13" t="s">
        <v>33</v>
      </c>
      <c r="E406" s="6" t="s">
        <v>5669</v>
      </c>
      <c r="G406" s="6" t="s">
        <v>1274</v>
      </c>
      <c r="H406" s="6" t="s">
        <v>1274</v>
      </c>
      <c r="I406" s="13" t="s">
        <v>25</v>
      </c>
      <c r="J406" s="13">
        <v>3</v>
      </c>
      <c r="K406" s="13" t="s">
        <v>1714</v>
      </c>
      <c r="L406" s="6" t="s">
        <v>5670</v>
      </c>
      <c r="M406" s="108" t="s">
        <v>5671</v>
      </c>
      <c r="N406" s="13" t="s">
        <v>5672</v>
      </c>
      <c r="O406" s="13" t="s">
        <v>172</v>
      </c>
      <c r="P406" s="13" t="s">
        <v>9</v>
      </c>
      <c r="Q406" s="6" t="s">
        <v>5673</v>
      </c>
      <c r="R406" s="6" t="s">
        <v>1275</v>
      </c>
      <c r="S406" s="17" t="s">
        <v>6662</v>
      </c>
      <c r="T406" s="13">
        <v>67</v>
      </c>
      <c r="U406" s="13">
        <v>46</v>
      </c>
      <c r="V406" s="13" t="s">
        <v>5674</v>
      </c>
      <c r="X406" s="132">
        <v>403</v>
      </c>
      <c r="Y406" s="6"/>
    </row>
    <row r="407" spans="1:25" ht="15" customHeight="1" x14ac:dyDescent="0.2">
      <c r="A407" s="12" t="s">
        <v>1276</v>
      </c>
      <c r="B407" s="13" t="s">
        <v>4978</v>
      </c>
      <c r="C407" s="100">
        <v>46564</v>
      </c>
      <c r="D407" s="13" t="s">
        <v>33</v>
      </c>
      <c r="E407" s="6" t="s">
        <v>1277</v>
      </c>
      <c r="F407" s="15" t="s">
        <v>5449</v>
      </c>
      <c r="G407" s="6" t="s">
        <v>1278</v>
      </c>
      <c r="H407" s="6" t="s">
        <v>1278</v>
      </c>
      <c r="I407" s="13" t="s">
        <v>25</v>
      </c>
      <c r="J407" s="13">
        <v>3</v>
      </c>
      <c r="K407" s="13" t="s">
        <v>1714</v>
      </c>
      <c r="L407" s="6" t="s">
        <v>5450</v>
      </c>
      <c r="M407" s="108" t="s">
        <v>5451</v>
      </c>
      <c r="N407" s="13" t="s">
        <v>8</v>
      </c>
      <c r="O407" s="13" t="s">
        <v>8</v>
      </c>
      <c r="P407" s="13" t="s">
        <v>9</v>
      </c>
      <c r="Q407" s="6" t="s">
        <v>5452</v>
      </c>
      <c r="R407" s="6" t="s">
        <v>1279</v>
      </c>
      <c r="S407" s="17" t="s">
        <v>5453</v>
      </c>
      <c r="T407" s="13">
        <v>22</v>
      </c>
      <c r="U407" s="13">
        <v>21</v>
      </c>
      <c r="V407" s="13" t="s">
        <v>5454</v>
      </c>
      <c r="X407" s="132">
        <v>404</v>
      </c>
      <c r="Y407" s="6"/>
    </row>
    <row r="408" spans="1:25" ht="15" customHeight="1" x14ac:dyDescent="0.2">
      <c r="A408" s="20" t="s">
        <v>1280</v>
      </c>
      <c r="B408" s="22" t="s">
        <v>2608</v>
      </c>
      <c r="C408" s="14">
        <v>44395</v>
      </c>
      <c r="D408" s="13" t="s">
        <v>33</v>
      </c>
      <c r="E408" s="6" t="s">
        <v>1281</v>
      </c>
      <c r="G408" s="6" t="s">
        <v>1282</v>
      </c>
      <c r="I408" s="13" t="s">
        <v>25</v>
      </c>
      <c r="J408" s="13">
        <v>3</v>
      </c>
      <c r="K408" s="13" t="s">
        <v>1714</v>
      </c>
      <c r="L408" s="6"/>
      <c r="M408" s="108"/>
      <c r="O408" s="13" t="s">
        <v>1889</v>
      </c>
      <c r="P408" s="13" t="s">
        <v>68</v>
      </c>
      <c r="Q408" s="6"/>
      <c r="R408" s="6" t="s">
        <v>1283</v>
      </c>
      <c r="S408" s="17" t="s">
        <v>6634</v>
      </c>
      <c r="T408" s="13"/>
      <c r="U408" s="13"/>
      <c r="V408" s="13"/>
      <c r="X408" s="132">
        <v>405</v>
      </c>
      <c r="Y408" s="6"/>
    </row>
    <row r="409" spans="1:25" ht="15" customHeight="1" x14ac:dyDescent="0.2">
      <c r="A409" s="20" t="s">
        <v>1284</v>
      </c>
      <c r="B409" s="22" t="s">
        <v>2608</v>
      </c>
      <c r="C409" s="14">
        <v>44395</v>
      </c>
      <c r="D409" s="13" t="s">
        <v>33</v>
      </c>
      <c r="E409" s="6" t="s">
        <v>1285</v>
      </c>
      <c r="F409" s="15" t="s">
        <v>11774</v>
      </c>
      <c r="G409" s="6" t="s">
        <v>1286</v>
      </c>
      <c r="I409" s="13" t="s">
        <v>25</v>
      </c>
      <c r="J409" s="13">
        <v>3</v>
      </c>
      <c r="K409" s="13" t="s">
        <v>1714</v>
      </c>
      <c r="L409" s="6"/>
      <c r="M409" s="108"/>
      <c r="O409" s="13" t="s">
        <v>2146</v>
      </c>
      <c r="P409" s="13" t="s">
        <v>68</v>
      </c>
      <c r="Q409" s="6"/>
      <c r="R409" s="6" t="s">
        <v>1287</v>
      </c>
      <c r="S409" s="17" t="s">
        <v>6639</v>
      </c>
      <c r="T409" s="13"/>
      <c r="U409" s="13"/>
      <c r="V409" s="13"/>
      <c r="X409" s="132">
        <v>406</v>
      </c>
      <c r="Y409" s="6"/>
    </row>
    <row r="410" spans="1:25" ht="15" customHeight="1" x14ac:dyDescent="0.2">
      <c r="A410" s="12" t="s">
        <v>1288</v>
      </c>
      <c r="B410" s="13" t="s">
        <v>4978</v>
      </c>
      <c r="C410" s="74">
        <v>46742</v>
      </c>
      <c r="D410" s="13" t="s">
        <v>33</v>
      </c>
      <c r="E410" s="6" t="s">
        <v>1289</v>
      </c>
      <c r="F410" s="15" t="s">
        <v>6562</v>
      </c>
      <c r="G410" s="6" t="s">
        <v>1290</v>
      </c>
      <c r="H410" s="6" t="s">
        <v>1290</v>
      </c>
      <c r="I410" s="13" t="s">
        <v>25</v>
      </c>
      <c r="J410" s="13">
        <v>3</v>
      </c>
      <c r="K410" s="13" t="s">
        <v>1714</v>
      </c>
      <c r="L410" s="6" t="s">
        <v>6497</v>
      </c>
      <c r="M410" s="108" t="s">
        <v>6498</v>
      </c>
      <c r="N410" s="13" t="s">
        <v>2340</v>
      </c>
      <c r="O410" s="13" t="s">
        <v>1055</v>
      </c>
      <c r="P410" s="13" t="s">
        <v>16</v>
      </c>
      <c r="Q410" s="6" t="s">
        <v>6499</v>
      </c>
      <c r="R410" s="6" t="s">
        <v>1291</v>
      </c>
      <c r="S410" s="17" t="s">
        <v>6500</v>
      </c>
      <c r="T410" s="13">
        <v>38</v>
      </c>
      <c r="U410" s="13">
        <v>34</v>
      </c>
      <c r="V410" s="13" t="s">
        <v>6501</v>
      </c>
      <c r="X410" s="132">
        <v>407</v>
      </c>
      <c r="Y410" s="6"/>
    </row>
    <row r="411" spans="1:25" ht="15" customHeight="1" x14ac:dyDescent="0.2">
      <c r="A411" s="12" t="s">
        <v>6545</v>
      </c>
      <c r="B411" s="13" t="s">
        <v>4978</v>
      </c>
      <c r="C411" s="74">
        <v>46742</v>
      </c>
      <c r="D411" s="13" t="s">
        <v>1533</v>
      </c>
      <c r="E411" s="6" t="s">
        <v>1293</v>
      </c>
      <c r="F411" s="15" t="s">
        <v>6546</v>
      </c>
      <c r="G411" s="6" t="s">
        <v>1294</v>
      </c>
      <c r="H411" s="6" t="s">
        <v>1294</v>
      </c>
      <c r="I411" s="13" t="s">
        <v>105</v>
      </c>
      <c r="J411" s="13">
        <v>10</v>
      </c>
      <c r="K411" s="13" t="s">
        <v>6603</v>
      </c>
      <c r="L411" s="6" t="s">
        <v>6547</v>
      </c>
      <c r="M411" s="108" t="s">
        <v>6548</v>
      </c>
      <c r="N411" s="13" t="s">
        <v>2384</v>
      </c>
      <c r="O411" s="13" t="s">
        <v>15</v>
      </c>
      <c r="P411" s="13" t="s">
        <v>16</v>
      </c>
      <c r="Q411" s="6" t="s">
        <v>6549</v>
      </c>
      <c r="R411" s="6" t="s">
        <v>1295</v>
      </c>
      <c r="S411" s="17" t="s">
        <v>3289</v>
      </c>
      <c r="T411" s="18">
        <v>120</v>
      </c>
      <c r="U411" s="18">
        <v>120</v>
      </c>
      <c r="V411" s="13" t="s">
        <v>3290</v>
      </c>
      <c r="X411" s="132">
        <v>408</v>
      </c>
      <c r="Y411" s="6"/>
    </row>
    <row r="412" spans="1:25" ht="15" customHeight="1" x14ac:dyDescent="0.25">
      <c r="A412" s="12" t="s">
        <v>9574</v>
      </c>
      <c r="B412" s="13" t="s">
        <v>4978</v>
      </c>
      <c r="C412" s="74">
        <v>47194</v>
      </c>
      <c r="D412" s="13" t="s">
        <v>1533</v>
      </c>
      <c r="E412" s="6" t="s">
        <v>1293</v>
      </c>
      <c r="F412" s="15" t="s">
        <v>9579</v>
      </c>
      <c r="G412" s="6" t="s">
        <v>1294</v>
      </c>
      <c r="H412" s="6" t="s">
        <v>1294</v>
      </c>
      <c r="I412" s="13" t="s">
        <v>105</v>
      </c>
      <c r="J412" s="13">
        <v>10</v>
      </c>
      <c r="K412" s="13" t="s">
        <v>6603</v>
      </c>
      <c r="L412" s="6" t="s">
        <v>9597</v>
      </c>
      <c r="M412" s="108" t="s">
        <v>9575</v>
      </c>
      <c r="N412" s="13" t="s">
        <v>9576</v>
      </c>
      <c r="O412" s="13" t="s">
        <v>53</v>
      </c>
      <c r="P412" s="13" t="s">
        <v>54</v>
      </c>
      <c r="Q412" s="6" t="s">
        <v>9577</v>
      </c>
      <c r="R412" s="69" t="s">
        <v>1295</v>
      </c>
      <c r="S412" s="69" t="s">
        <v>3289</v>
      </c>
      <c r="T412" s="18">
        <v>60</v>
      </c>
      <c r="U412" s="18">
        <v>60</v>
      </c>
      <c r="V412" s="13" t="s">
        <v>9578</v>
      </c>
      <c r="X412" s="132">
        <v>409</v>
      </c>
      <c r="Y412" s="6"/>
    </row>
    <row r="413" spans="1:25" ht="15" customHeight="1" x14ac:dyDescent="0.2">
      <c r="A413" s="12" t="s">
        <v>1292</v>
      </c>
      <c r="B413" s="24" t="s">
        <v>4978</v>
      </c>
      <c r="C413" s="14">
        <v>47615</v>
      </c>
      <c r="D413" s="13" t="s">
        <v>1533</v>
      </c>
      <c r="E413" s="6" t="s">
        <v>1293</v>
      </c>
      <c r="F413" s="15" t="s">
        <v>11966</v>
      </c>
      <c r="G413" s="6" t="s">
        <v>1294</v>
      </c>
      <c r="H413" s="6" t="s">
        <v>1294</v>
      </c>
      <c r="I413" s="13" t="s">
        <v>7931</v>
      </c>
      <c r="J413" s="13">
        <v>9</v>
      </c>
      <c r="K413" s="13" t="s">
        <v>6603</v>
      </c>
      <c r="L413" s="6" t="s">
        <v>3285</v>
      </c>
      <c r="M413" s="108" t="s">
        <v>3286</v>
      </c>
      <c r="N413" s="13" t="s">
        <v>3287</v>
      </c>
      <c r="O413" s="13" t="s">
        <v>204</v>
      </c>
      <c r="P413" s="13" t="s">
        <v>9</v>
      </c>
      <c r="Q413" s="6" t="s">
        <v>3288</v>
      </c>
      <c r="R413" s="6" t="s">
        <v>1295</v>
      </c>
      <c r="S413" s="17" t="s">
        <v>3289</v>
      </c>
      <c r="T413" s="13">
        <v>30</v>
      </c>
      <c r="U413" s="13">
        <v>33</v>
      </c>
      <c r="V413" s="13" t="s">
        <v>3290</v>
      </c>
      <c r="X413" s="132">
        <v>410</v>
      </c>
      <c r="Y413" s="6"/>
    </row>
    <row r="414" spans="1:25" ht="15" customHeight="1" x14ac:dyDescent="0.2">
      <c r="A414" s="12" t="s">
        <v>1296</v>
      </c>
      <c r="B414" s="13" t="s">
        <v>4978</v>
      </c>
      <c r="C414" s="74">
        <v>46284</v>
      </c>
      <c r="D414" s="13" t="s">
        <v>33</v>
      </c>
      <c r="E414" s="6" t="s">
        <v>4319</v>
      </c>
      <c r="F414" s="15" t="s">
        <v>11775</v>
      </c>
      <c r="G414" s="6" t="s">
        <v>1298</v>
      </c>
      <c r="I414" s="13" t="s">
        <v>25</v>
      </c>
      <c r="J414" s="13">
        <v>3</v>
      </c>
      <c r="K414" s="13" t="s">
        <v>1714</v>
      </c>
      <c r="L414" s="6" t="s">
        <v>4320</v>
      </c>
      <c r="M414" s="108" t="s">
        <v>4321</v>
      </c>
      <c r="N414" s="13" t="s">
        <v>4322</v>
      </c>
      <c r="O414" s="13" t="s">
        <v>172</v>
      </c>
      <c r="P414" s="13" t="s">
        <v>9</v>
      </c>
      <c r="Q414" s="6" t="s">
        <v>4323</v>
      </c>
      <c r="R414" s="6" t="s">
        <v>1299</v>
      </c>
      <c r="S414" s="17" t="s">
        <v>4324</v>
      </c>
      <c r="T414" s="13">
        <v>32</v>
      </c>
      <c r="U414" s="13">
        <v>27</v>
      </c>
      <c r="V414" s="13" t="s">
        <v>4325</v>
      </c>
      <c r="X414" s="132">
        <v>411</v>
      </c>
      <c r="Y414" s="6"/>
    </row>
    <row r="415" spans="1:25" ht="15" customHeight="1" x14ac:dyDescent="0.2">
      <c r="A415" s="12" t="s">
        <v>1300</v>
      </c>
      <c r="B415" s="13" t="s">
        <v>4978</v>
      </c>
      <c r="C415" s="74">
        <v>46511</v>
      </c>
      <c r="D415" s="13" t="s">
        <v>33</v>
      </c>
      <c r="E415" s="6" t="s">
        <v>1301</v>
      </c>
      <c r="F415" s="15" t="s">
        <v>11776</v>
      </c>
      <c r="G415" s="6" t="s">
        <v>1302</v>
      </c>
      <c r="H415" s="6" t="s">
        <v>1302</v>
      </c>
      <c r="I415" s="13" t="s">
        <v>25</v>
      </c>
      <c r="J415" s="13">
        <v>3</v>
      </c>
      <c r="K415" s="13" t="s">
        <v>1714</v>
      </c>
      <c r="L415" s="6" t="s">
        <v>5247</v>
      </c>
      <c r="M415" s="108" t="s">
        <v>5248</v>
      </c>
      <c r="N415" s="13" t="s">
        <v>5246</v>
      </c>
      <c r="O415" s="13" t="s">
        <v>519</v>
      </c>
      <c r="P415" s="13" t="s">
        <v>16</v>
      </c>
      <c r="Q415" s="6" t="s">
        <v>5245</v>
      </c>
      <c r="R415" s="6" t="s">
        <v>1303</v>
      </c>
      <c r="S415" s="17" t="s">
        <v>6634</v>
      </c>
      <c r="T415" s="13">
        <v>33</v>
      </c>
      <c r="U415" s="13">
        <v>31</v>
      </c>
      <c r="V415" s="13" t="s">
        <v>5244</v>
      </c>
      <c r="X415" s="132">
        <v>412</v>
      </c>
      <c r="Y415" s="6"/>
    </row>
    <row r="416" spans="1:25" ht="15" customHeight="1" x14ac:dyDescent="0.2">
      <c r="A416" s="20" t="s">
        <v>1304</v>
      </c>
      <c r="B416" s="22" t="s">
        <v>2608</v>
      </c>
      <c r="C416" s="14">
        <v>44438</v>
      </c>
      <c r="D416" s="13" t="s">
        <v>33</v>
      </c>
      <c r="E416" s="6" t="s">
        <v>6048</v>
      </c>
      <c r="G416" s="6" t="s">
        <v>1306</v>
      </c>
      <c r="I416" s="13" t="s">
        <v>25</v>
      </c>
      <c r="J416" s="13">
        <v>3</v>
      </c>
      <c r="K416" s="13" t="s">
        <v>1714</v>
      </c>
      <c r="L416" s="6"/>
      <c r="M416" s="108"/>
      <c r="O416" s="13" t="s">
        <v>240</v>
      </c>
      <c r="P416" s="13" t="s">
        <v>16</v>
      </c>
      <c r="Q416" s="6"/>
      <c r="R416" s="6" t="s">
        <v>1307</v>
      </c>
      <c r="S416" s="17" t="s">
        <v>6639</v>
      </c>
      <c r="T416" s="13"/>
      <c r="U416" s="13"/>
      <c r="V416" s="13"/>
      <c r="X416" s="132">
        <v>413</v>
      </c>
      <c r="Y416" s="6"/>
    </row>
    <row r="417" spans="1:25" ht="15" customHeight="1" x14ac:dyDescent="0.2">
      <c r="A417" s="12" t="s">
        <v>1308</v>
      </c>
      <c r="B417" s="13" t="s">
        <v>4978</v>
      </c>
      <c r="C417" s="74">
        <v>46629</v>
      </c>
      <c r="D417" s="13" t="s">
        <v>33</v>
      </c>
      <c r="E417" s="6" t="s">
        <v>1309</v>
      </c>
      <c r="F417" s="15" t="s">
        <v>11777</v>
      </c>
      <c r="G417" s="6" t="s">
        <v>1310</v>
      </c>
      <c r="H417" s="6" t="s">
        <v>1310</v>
      </c>
      <c r="I417" s="13" t="s">
        <v>25</v>
      </c>
      <c r="J417" s="13">
        <v>3</v>
      </c>
      <c r="K417" s="13" t="s">
        <v>1714</v>
      </c>
      <c r="L417" s="6" t="s">
        <v>5963</v>
      </c>
      <c r="M417" s="108" t="s">
        <v>5964</v>
      </c>
      <c r="N417" s="13" t="s">
        <v>4558</v>
      </c>
      <c r="O417" s="13" t="s">
        <v>2146</v>
      </c>
      <c r="P417" s="13" t="s">
        <v>68</v>
      </c>
      <c r="Q417" s="6" t="s">
        <v>5965</v>
      </c>
      <c r="R417" s="6" t="s">
        <v>1311</v>
      </c>
      <c r="S417" s="17" t="s">
        <v>5966</v>
      </c>
      <c r="T417" s="13">
        <v>17</v>
      </c>
      <c r="U417" s="13">
        <v>16</v>
      </c>
      <c r="V417" s="13" t="s">
        <v>5977</v>
      </c>
      <c r="X417" s="132">
        <v>414</v>
      </c>
      <c r="Y417" s="6"/>
    </row>
    <row r="418" spans="1:25" ht="15" customHeight="1" x14ac:dyDescent="0.2">
      <c r="A418" s="12" t="s">
        <v>1312</v>
      </c>
      <c r="B418" s="13" t="s">
        <v>4978</v>
      </c>
      <c r="C418" s="74">
        <v>46629</v>
      </c>
      <c r="D418" s="13" t="s">
        <v>33</v>
      </c>
      <c r="E418" s="6" t="s">
        <v>1309</v>
      </c>
      <c r="F418" s="15" t="s">
        <v>11778</v>
      </c>
      <c r="G418" s="6" t="s">
        <v>1310</v>
      </c>
      <c r="H418" s="6" t="s">
        <v>1313</v>
      </c>
      <c r="I418" s="13" t="s">
        <v>25</v>
      </c>
      <c r="J418" s="13">
        <v>3</v>
      </c>
      <c r="K418" s="13" t="s">
        <v>1714</v>
      </c>
      <c r="L418" s="6" t="s">
        <v>5975</v>
      </c>
      <c r="M418" s="108" t="s">
        <v>5976</v>
      </c>
      <c r="N418" s="13" t="s">
        <v>2161</v>
      </c>
      <c r="O418" s="13" t="s">
        <v>2146</v>
      </c>
      <c r="P418" s="13" t="s">
        <v>68</v>
      </c>
      <c r="Q418" s="6" t="s">
        <v>5965</v>
      </c>
      <c r="R418" s="6" t="s">
        <v>1311</v>
      </c>
      <c r="S418" s="17" t="s">
        <v>5966</v>
      </c>
      <c r="T418" s="13">
        <v>19</v>
      </c>
      <c r="U418" s="13">
        <v>19</v>
      </c>
      <c r="V418" s="13" t="s">
        <v>5977</v>
      </c>
      <c r="X418" s="132">
        <v>415</v>
      </c>
      <c r="Y418" s="6"/>
    </row>
    <row r="419" spans="1:25" ht="15" customHeight="1" x14ac:dyDescent="0.2">
      <c r="A419" s="20" t="s">
        <v>5901</v>
      </c>
      <c r="B419" s="22" t="s">
        <v>2608</v>
      </c>
      <c r="C419" s="14">
        <v>45899</v>
      </c>
      <c r="D419" s="13" t="s">
        <v>1533</v>
      </c>
      <c r="E419" s="6" t="s">
        <v>1315</v>
      </c>
      <c r="F419" s="15" t="s">
        <v>5969</v>
      </c>
      <c r="G419" s="6" t="s">
        <v>1316</v>
      </c>
      <c r="H419" s="6" t="s">
        <v>5972</v>
      </c>
      <c r="I419" s="13" t="s">
        <v>39</v>
      </c>
      <c r="J419" s="13">
        <v>12</v>
      </c>
      <c r="K419" s="13" t="s">
        <v>1714</v>
      </c>
      <c r="L419" s="6" t="s">
        <v>7628</v>
      </c>
      <c r="M419" s="108" t="s">
        <v>7629</v>
      </c>
      <c r="N419" s="13" t="s">
        <v>15</v>
      </c>
      <c r="O419" s="13" t="s">
        <v>15</v>
      </c>
      <c r="P419" s="13" t="s">
        <v>16</v>
      </c>
      <c r="Q419" s="39" t="s">
        <v>7630</v>
      </c>
      <c r="R419" s="25" t="s">
        <v>7631</v>
      </c>
      <c r="S419" s="25" t="s">
        <v>7632</v>
      </c>
      <c r="T419" s="18">
        <v>900</v>
      </c>
      <c r="U419" s="18">
        <v>900</v>
      </c>
      <c r="V419" s="13" t="s">
        <v>5968</v>
      </c>
      <c r="X419" s="132">
        <v>416</v>
      </c>
      <c r="Y419" s="6"/>
    </row>
    <row r="420" spans="1:25" ht="15" customHeight="1" x14ac:dyDescent="0.2">
      <c r="A420" s="20" t="s">
        <v>5902</v>
      </c>
      <c r="B420" s="22" t="s">
        <v>2608</v>
      </c>
      <c r="C420" s="14">
        <v>45899</v>
      </c>
      <c r="D420" s="13" t="s">
        <v>1533</v>
      </c>
      <c r="E420" s="6" t="s">
        <v>1315</v>
      </c>
      <c r="F420" s="15" t="s">
        <v>5970</v>
      </c>
      <c r="G420" s="6" t="s">
        <v>1316</v>
      </c>
      <c r="H420" s="6" t="s">
        <v>5972</v>
      </c>
      <c r="I420" s="13" t="s">
        <v>39</v>
      </c>
      <c r="J420" s="13">
        <v>12</v>
      </c>
      <c r="K420" s="13" t="s">
        <v>1714</v>
      </c>
      <c r="L420" s="6" t="s">
        <v>7628</v>
      </c>
      <c r="M420" s="108" t="s">
        <v>7629</v>
      </c>
      <c r="N420" s="13" t="s">
        <v>15</v>
      </c>
      <c r="O420" s="13" t="s">
        <v>15</v>
      </c>
      <c r="P420" s="13" t="s">
        <v>16</v>
      </c>
      <c r="Q420" s="39" t="s">
        <v>7630</v>
      </c>
      <c r="R420" s="25" t="s">
        <v>7631</v>
      </c>
      <c r="S420" s="25" t="s">
        <v>7632</v>
      </c>
      <c r="T420" s="18">
        <v>900</v>
      </c>
      <c r="U420" s="18">
        <v>900</v>
      </c>
      <c r="V420" s="13" t="s">
        <v>5968</v>
      </c>
      <c r="X420" s="132">
        <v>417</v>
      </c>
      <c r="Y420" s="6"/>
    </row>
    <row r="421" spans="1:25" ht="15" customHeight="1" x14ac:dyDescent="0.2">
      <c r="A421" s="20" t="s">
        <v>5903</v>
      </c>
      <c r="B421" s="22" t="s">
        <v>2608</v>
      </c>
      <c r="C421" s="14">
        <v>45899</v>
      </c>
      <c r="D421" s="13" t="s">
        <v>1533</v>
      </c>
      <c r="E421" s="6" t="s">
        <v>1315</v>
      </c>
      <c r="F421" s="15" t="s">
        <v>5971</v>
      </c>
      <c r="G421" s="6" t="s">
        <v>1316</v>
      </c>
      <c r="H421" s="6" t="s">
        <v>5972</v>
      </c>
      <c r="I421" s="13" t="s">
        <v>39</v>
      </c>
      <c r="J421" s="13">
        <v>12</v>
      </c>
      <c r="K421" s="13" t="s">
        <v>1714</v>
      </c>
      <c r="L421" s="6" t="s">
        <v>7628</v>
      </c>
      <c r="M421" s="108" t="s">
        <v>7629</v>
      </c>
      <c r="N421" s="13" t="s">
        <v>15</v>
      </c>
      <c r="O421" s="13" t="s">
        <v>15</v>
      </c>
      <c r="P421" s="13" t="s">
        <v>16</v>
      </c>
      <c r="Q421" s="39" t="s">
        <v>7630</v>
      </c>
      <c r="R421" s="25" t="s">
        <v>7631</v>
      </c>
      <c r="S421" s="25" t="s">
        <v>7632</v>
      </c>
      <c r="T421" s="18">
        <v>900</v>
      </c>
      <c r="U421" s="18">
        <v>900</v>
      </c>
      <c r="V421" s="13" t="s">
        <v>5968</v>
      </c>
      <c r="X421" s="132">
        <v>418</v>
      </c>
      <c r="Y421" s="6"/>
    </row>
    <row r="422" spans="1:25" ht="15" customHeight="1" x14ac:dyDescent="0.2">
      <c r="A422" s="20" t="s">
        <v>1314</v>
      </c>
      <c r="B422" s="22" t="s">
        <v>2608</v>
      </c>
      <c r="C422" s="14">
        <v>45186</v>
      </c>
      <c r="D422" s="13" t="s">
        <v>1533</v>
      </c>
      <c r="E422" s="6" t="s">
        <v>1315</v>
      </c>
      <c r="F422" s="15" t="s">
        <v>11779</v>
      </c>
      <c r="G422" s="6" t="s">
        <v>1316</v>
      </c>
      <c r="H422" s="6" t="s">
        <v>5972</v>
      </c>
      <c r="I422" s="13" t="s">
        <v>39</v>
      </c>
      <c r="J422" s="13">
        <v>12</v>
      </c>
      <c r="K422" s="13" t="s">
        <v>1714</v>
      </c>
      <c r="L422" s="6"/>
      <c r="M422" s="108"/>
      <c r="O422" s="13" t="s">
        <v>15</v>
      </c>
      <c r="P422" s="13" t="s">
        <v>16</v>
      </c>
      <c r="Q422" s="6"/>
      <c r="R422" s="6" t="s">
        <v>1317</v>
      </c>
      <c r="S422" s="17" t="s">
        <v>6663</v>
      </c>
      <c r="T422" s="13"/>
      <c r="U422" s="13"/>
      <c r="V422" s="13"/>
      <c r="X422" s="132">
        <v>419</v>
      </c>
      <c r="Y422" s="6"/>
    </row>
    <row r="423" spans="1:25" ht="15" customHeight="1" x14ac:dyDescent="0.2">
      <c r="A423" s="20" t="s">
        <v>1318</v>
      </c>
      <c r="B423" s="22" t="s">
        <v>2608</v>
      </c>
      <c r="C423" s="14">
        <v>45186</v>
      </c>
      <c r="D423" s="13" t="s">
        <v>33</v>
      </c>
      <c r="E423" s="6" t="s">
        <v>1319</v>
      </c>
      <c r="F423" s="15" t="s">
        <v>501</v>
      </c>
      <c r="G423" s="6" t="s">
        <v>1320</v>
      </c>
      <c r="I423" s="13" t="s">
        <v>25</v>
      </c>
      <c r="J423" s="13">
        <v>3</v>
      </c>
      <c r="K423" s="13" t="s">
        <v>1714</v>
      </c>
      <c r="L423" s="6"/>
      <c r="M423" s="108"/>
      <c r="O423" s="13" t="s">
        <v>128</v>
      </c>
      <c r="P423" s="13" t="s">
        <v>16</v>
      </c>
      <c r="Q423" s="6"/>
      <c r="R423" s="6" t="s">
        <v>1321</v>
      </c>
      <c r="S423" s="17" t="s">
        <v>6646</v>
      </c>
      <c r="T423" s="13"/>
      <c r="U423" s="13"/>
      <c r="V423" s="13"/>
      <c r="X423" s="132">
        <v>420</v>
      </c>
      <c r="Y423" s="6"/>
    </row>
    <row r="424" spans="1:25" ht="15" customHeight="1" x14ac:dyDescent="0.2">
      <c r="A424" s="12" t="s">
        <v>1322</v>
      </c>
      <c r="B424" s="13"/>
      <c r="D424" s="13"/>
      <c r="E424" s="6" t="s">
        <v>1197</v>
      </c>
      <c r="F424" s="15" t="s">
        <v>1323</v>
      </c>
      <c r="K424" s="13"/>
      <c r="L424" s="6"/>
      <c r="M424" s="108"/>
      <c r="Q424" s="6"/>
      <c r="R424" s="6" t="s">
        <v>1324</v>
      </c>
      <c r="S424" s="17" t="s">
        <v>6634</v>
      </c>
      <c r="T424" s="13"/>
      <c r="U424" s="13"/>
      <c r="V424" s="13"/>
      <c r="X424" s="132">
        <v>421</v>
      </c>
      <c r="Y424" s="6"/>
    </row>
    <row r="425" spans="1:25" ht="15" customHeight="1" x14ac:dyDescent="0.2">
      <c r="A425" s="12" t="s">
        <v>1325</v>
      </c>
      <c r="B425" s="13" t="s">
        <v>4978</v>
      </c>
      <c r="C425" s="74">
        <v>47552</v>
      </c>
      <c r="D425" s="13" t="s">
        <v>33</v>
      </c>
      <c r="E425" s="6" t="s">
        <v>3748</v>
      </c>
      <c r="F425" s="15" t="s">
        <v>11365</v>
      </c>
      <c r="G425" s="6" t="s">
        <v>1327</v>
      </c>
      <c r="H425" s="6" t="s">
        <v>1327</v>
      </c>
      <c r="I425" s="13" t="s">
        <v>25</v>
      </c>
      <c r="J425" s="13">
        <v>3</v>
      </c>
      <c r="K425" s="13" t="s">
        <v>1714</v>
      </c>
      <c r="L425" s="6" t="s">
        <v>3749</v>
      </c>
      <c r="M425" s="108" t="s">
        <v>11366</v>
      </c>
      <c r="N425" s="13" t="s">
        <v>3654</v>
      </c>
      <c r="O425" s="13" t="s">
        <v>2085</v>
      </c>
      <c r="P425" s="13" t="s">
        <v>68</v>
      </c>
      <c r="Q425" s="6" t="s">
        <v>3750</v>
      </c>
      <c r="R425" s="6" t="s">
        <v>1328</v>
      </c>
      <c r="S425" s="17" t="s">
        <v>3751</v>
      </c>
      <c r="T425" s="13">
        <v>33</v>
      </c>
      <c r="U425" s="13">
        <v>30</v>
      </c>
      <c r="V425" s="13" t="s">
        <v>3752</v>
      </c>
      <c r="X425" s="132">
        <v>422</v>
      </c>
      <c r="Y425" s="6"/>
    </row>
    <row r="426" spans="1:25" ht="15" customHeight="1" x14ac:dyDescent="0.25">
      <c r="A426" s="12" t="s">
        <v>1329</v>
      </c>
      <c r="B426" s="24" t="s">
        <v>4977</v>
      </c>
      <c r="C426" s="14">
        <v>46949</v>
      </c>
      <c r="D426" s="13" t="s">
        <v>1533</v>
      </c>
      <c r="E426" s="6" t="s">
        <v>1330</v>
      </c>
      <c r="F426" s="15" t="s">
        <v>12297</v>
      </c>
      <c r="G426" s="6" t="s">
        <v>12315</v>
      </c>
      <c r="H426" s="6" t="s">
        <v>12315</v>
      </c>
      <c r="I426" s="13" t="s">
        <v>39</v>
      </c>
      <c r="J426" s="13">
        <v>12</v>
      </c>
      <c r="K426" s="13" t="s">
        <v>1714</v>
      </c>
      <c r="L426" s="6" t="s">
        <v>12298</v>
      </c>
      <c r="M426" s="108" t="s">
        <v>12299</v>
      </c>
      <c r="N426" s="13" t="s">
        <v>2945</v>
      </c>
      <c r="O426" s="13" t="s">
        <v>136</v>
      </c>
      <c r="P426" s="13" t="s">
        <v>4</v>
      </c>
      <c r="Q426" s="6" t="s">
        <v>12300</v>
      </c>
      <c r="R426" s="69" t="s">
        <v>12301</v>
      </c>
      <c r="S426" s="17" t="s">
        <v>6664</v>
      </c>
      <c r="T426" s="13">
        <v>137</v>
      </c>
      <c r="U426" s="13">
        <v>137</v>
      </c>
      <c r="V426" s="13" t="s">
        <v>12302</v>
      </c>
      <c r="X426" s="132">
        <v>423</v>
      </c>
      <c r="Y426" s="6"/>
    </row>
    <row r="427" spans="1:25" ht="15" customHeight="1" x14ac:dyDescent="0.2">
      <c r="A427" s="12" t="s">
        <v>1332</v>
      </c>
      <c r="B427" s="13" t="s">
        <v>4978</v>
      </c>
      <c r="C427" s="74">
        <v>46889</v>
      </c>
      <c r="D427" s="13" t="s">
        <v>1533</v>
      </c>
      <c r="E427" s="6" t="s">
        <v>1333</v>
      </c>
      <c r="F427" s="15" t="s">
        <v>11780</v>
      </c>
      <c r="G427" s="6" t="s">
        <v>2541</v>
      </c>
      <c r="H427" s="6" t="s">
        <v>2542</v>
      </c>
      <c r="I427" s="13" t="s">
        <v>7931</v>
      </c>
      <c r="J427" s="13">
        <v>9</v>
      </c>
      <c r="K427" s="13" t="s">
        <v>6603</v>
      </c>
      <c r="L427" s="6" t="s">
        <v>7273</v>
      </c>
      <c r="M427" s="108" t="s">
        <v>7274</v>
      </c>
      <c r="N427" s="13" t="s">
        <v>7275</v>
      </c>
      <c r="O427" s="13" t="s">
        <v>48</v>
      </c>
      <c r="P427" s="13" t="s">
        <v>16</v>
      </c>
      <c r="Q427" s="6" t="s">
        <v>7276</v>
      </c>
      <c r="R427" s="17" t="s">
        <v>7277</v>
      </c>
      <c r="S427" s="17" t="s">
        <v>7278</v>
      </c>
      <c r="T427" s="13">
        <v>30</v>
      </c>
      <c r="U427" s="13">
        <v>30</v>
      </c>
      <c r="V427" s="13" t="s">
        <v>7279</v>
      </c>
      <c r="X427" s="132">
        <v>424</v>
      </c>
      <c r="Y427" s="6"/>
    </row>
    <row r="428" spans="1:25" ht="15" customHeight="1" x14ac:dyDescent="0.2">
      <c r="A428" s="20" t="s">
        <v>1335</v>
      </c>
      <c r="B428" s="22" t="s">
        <v>2608</v>
      </c>
      <c r="C428" s="14">
        <v>45259</v>
      </c>
      <c r="D428" s="13" t="s">
        <v>1533</v>
      </c>
      <c r="E428" s="6" t="s">
        <v>1333</v>
      </c>
      <c r="F428" s="15" t="s">
        <v>7351</v>
      </c>
      <c r="G428" s="6" t="s">
        <v>2541</v>
      </c>
      <c r="H428" s="6" t="s">
        <v>1336</v>
      </c>
      <c r="I428" s="13" t="s">
        <v>25</v>
      </c>
      <c r="J428" s="13">
        <v>5</v>
      </c>
      <c r="K428" s="13" t="s">
        <v>6603</v>
      </c>
      <c r="L428" s="6"/>
      <c r="M428" s="108"/>
      <c r="O428" s="13" t="s">
        <v>15</v>
      </c>
      <c r="P428" s="13" t="s">
        <v>16</v>
      </c>
      <c r="Q428" s="6"/>
      <c r="R428" s="6" t="s">
        <v>1337</v>
      </c>
      <c r="S428" s="17" t="s">
        <v>7278</v>
      </c>
      <c r="T428" s="13"/>
      <c r="U428" s="13"/>
      <c r="V428" s="13"/>
      <c r="X428" s="132">
        <v>425</v>
      </c>
      <c r="Y428" s="6"/>
    </row>
    <row r="429" spans="1:25" ht="15" customHeight="1" x14ac:dyDescent="0.2">
      <c r="A429" s="20" t="s">
        <v>2540</v>
      </c>
      <c r="B429" s="22" t="s">
        <v>2608</v>
      </c>
      <c r="C429" s="23">
        <v>45833</v>
      </c>
      <c r="D429" s="13" t="s">
        <v>1533</v>
      </c>
      <c r="E429" s="6" t="s">
        <v>1333</v>
      </c>
      <c r="F429" s="15" t="s">
        <v>11781</v>
      </c>
      <c r="G429" s="6" t="s">
        <v>2541</v>
      </c>
      <c r="H429" s="6" t="s">
        <v>2541</v>
      </c>
      <c r="I429" s="13" t="s">
        <v>13</v>
      </c>
      <c r="J429" s="13">
        <v>7</v>
      </c>
      <c r="K429" s="13" t="s">
        <v>6603</v>
      </c>
      <c r="L429" s="6" t="s">
        <v>2543</v>
      </c>
      <c r="M429" s="108" t="s">
        <v>2544</v>
      </c>
      <c r="N429" s="13" t="s">
        <v>925</v>
      </c>
      <c r="O429" s="13" t="s">
        <v>925</v>
      </c>
      <c r="P429" s="13" t="s">
        <v>16</v>
      </c>
      <c r="Q429" s="6" t="s">
        <v>2546</v>
      </c>
      <c r="R429" s="6" t="s">
        <v>1337</v>
      </c>
      <c r="S429" s="17" t="s">
        <v>7278</v>
      </c>
      <c r="T429" s="18">
        <v>200</v>
      </c>
      <c r="U429" s="18">
        <v>257</v>
      </c>
      <c r="V429" s="13" t="s">
        <v>2545</v>
      </c>
      <c r="W429" s="13">
        <v>1</v>
      </c>
      <c r="X429" s="132">
        <v>426</v>
      </c>
      <c r="Y429" s="6"/>
    </row>
    <row r="430" spans="1:25" ht="15" customHeight="1" x14ac:dyDescent="0.2">
      <c r="A430" s="12" t="s">
        <v>7280</v>
      </c>
      <c r="B430" s="13" t="s">
        <v>4978</v>
      </c>
      <c r="C430" s="74">
        <v>46889</v>
      </c>
      <c r="D430" s="13" t="s">
        <v>1533</v>
      </c>
      <c r="E430" s="6" t="s">
        <v>1333</v>
      </c>
      <c r="F430" s="15" t="s">
        <v>7288</v>
      </c>
      <c r="G430" s="6" t="s">
        <v>2541</v>
      </c>
      <c r="H430" s="6" t="s">
        <v>7281</v>
      </c>
      <c r="I430" s="13" t="s">
        <v>13</v>
      </c>
      <c r="J430" s="13">
        <v>7</v>
      </c>
      <c r="K430" s="13" t="s">
        <v>6603</v>
      </c>
      <c r="L430" s="6" t="s">
        <v>7282</v>
      </c>
      <c r="M430" s="108" t="s">
        <v>7283</v>
      </c>
      <c r="N430" s="13" t="s">
        <v>7284</v>
      </c>
      <c r="O430" s="13" t="s">
        <v>48</v>
      </c>
      <c r="P430" s="13" t="s">
        <v>16</v>
      </c>
      <c r="Q430" s="6" t="s">
        <v>7285</v>
      </c>
      <c r="R430" s="17" t="s">
        <v>7286</v>
      </c>
      <c r="S430" s="17" t="s">
        <v>7278</v>
      </c>
      <c r="T430" s="18">
        <v>200</v>
      </c>
      <c r="U430" s="18">
        <v>222</v>
      </c>
      <c r="V430" s="13" t="s">
        <v>7287</v>
      </c>
      <c r="W430" s="13"/>
      <c r="X430" s="132">
        <v>427</v>
      </c>
      <c r="Y430" s="6"/>
    </row>
    <row r="431" spans="1:25" ht="15" customHeight="1" x14ac:dyDescent="0.25">
      <c r="A431" s="12" t="s">
        <v>1338</v>
      </c>
      <c r="B431" s="13" t="s">
        <v>4978</v>
      </c>
      <c r="C431" s="74">
        <v>47105</v>
      </c>
      <c r="D431" s="13" t="s">
        <v>33</v>
      </c>
      <c r="E431" s="6" t="s">
        <v>1339</v>
      </c>
      <c r="F431" s="15" t="s">
        <v>11782</v>
      </c>
      <c r="G431" s="6" t="s">
        <v>4164</v>
      </c>
      <c r="H431" s="6" t="s">
        <v>4164</v>
      </c>
      <c r="I431" s="13" t="s">
        <v>25</v>
      </c>
      <c r="J431" s="13">
        <v>3</v>
      </c>
      <c r="K431" s="13" t="s">
        <v>1714</v>
      </c>
      <c r="L431" s="6" t="s">
        <v>4167</v>
      </c>
      <c r="M431" s="108" t="s">
        <v>8846</v>
      </c>
      <c r="N431" s="13" t="s">
        <v>2123</v>
      </c>
      <c r="O431" s="13" t="s">
        <v>15</v>
      </c>
      <c r="P431" s="13" t="s">
        <v>16</v>
      </c>
      <c r="Q431" s="6" t="s">
        <v>4169</v>
      </c>
      <c r="R431" s="69" t="s">
        <v>4170</v>
      </c>
      <c r="T431" s="13">
        <v>28</v>
      </c>
      <c r="U431" s="13">
        <v>24</v>
      </c>
      <c r="V431" s="13" t="s">
        <v>4166</v>
      </c>
      <c r="X431" s="132">
        <v>428</v>
      </c>
      <c r="Y431" s="6"/>
    </row>
    <row r="432" spans="1:25" ht="15" customHeight="1" x14ac:dyDescent="0.2">
      <c r="A432" s="12" t="s">
        <v>1341</v>
      </c>
      <c r="B432" s="13"/>
      <c r="D432" s="13"/>
      <c r="E432" s="6" t="s">
        <v>1197</v>
      </c>
      <c r="F432" s="15" t="s">
        <v>1323</v>
      </c>
      <c r="K432" s="13"/>
      <c r="L432" s="6"/>
      <c r="M432" s="108"/>
      <c r="Q432" s="6"/>
      <c r="T432" s="13"/>
      <c r="U432" s="13"/>
      <c r="V432" s="13"/>
      <c r="X432" s="132">
        <v>429</v>
      </c>
      <c r="Y432" s="6"/>
    </row>
    <row r="433" spans="1:25" ht="15" customHeight="1" x14ac:dyDescent="0.25">
      <c r="A433" s="12" t="s">
        <v>1342</v>
      </c>
      <c r="B433" s="13" t="s">
        <v>4978</v>
      </c>
      <c r="C433" s="74">
        <v>47162</v>
      </c>
      <c r="D433" s="13" t="s">
        <v>33</v>
      </c>
      <c r="E433" s="6" t="s">
        <v>1343</v>
      </c>
      <c r="F433" s="15" t="s">
        <v>11783</v>
      </c>
      <c r="G433" s="6" t="s">
        <v>1344</v>
      </c>
      <c r="H433" s="6" t="s">
        <v>1344</v>
      </c>
      <c r="I433" s="13" t="s">
        <v>25</v>
      </c>
      <c r="J433" s="13">
        <v>3</v>
      </c>
      <c r="K433" s="13" t="s">
        <v>1714</v>
      </c>
      <c r="L433" s="6" t="s">
        <v>4354</v>
      </c>
      <c r="M433" s="108" t="s">
        <v>8537</v>
      </c>
      <c r="N433" s="13" t="s">
        <v>3797</v>
      </c>
      <c r="O433" s="13" t="s">
        <v>36</v>
      </c>
      <c r="P433" s="13" t="s">
        <v>4</v>
      </c>
      <c r="Q433" s="6" t="s">
        <v>4352</v>
      </c>
      <c r="R433" s="69" t="s">
        <v>8538</v>
      </c>
      <c r="S433" s="17" t="s">
        <v>4351</v>
      </c>
      <c r="T433" s="13">
        <v>20</v>
      </c>
      <c r="U433" s="13">
        <v>15</v>
      </c>
      <c r="V433" s="13" t="s">
        <v>4355</v>
      </c>
      <c r="X433" s="132">
        <v>430</v>
      </c>
      <c r="Y433" s="6"/>
    </row>
    <row r="434" spans="1:25" ht="15" customHeight="1" x14ac:dyDescent="0.25">
      <c r="A434" s="20" t="s">
        <v>1345</v>
      </c>
      <c r="B434" s="22" t="s">
        <v>2608</v>
      </c>
      <c r="C434" s="14">
        <v>45629</v>
      </c>
      <c r="D434" s="13" t="s">
        <v>33</v>
      </c>
      <c r="E434" s="6" t="s">
        <v>1346</v>
      </c>
      <c r="F434" s="15" t="s">
        <v>11784</v>
      </c>
      <c r="G434" s="6" t="s">
        <v>1347</v>
      </c>
      <c r="H434" s="6" t="s">
        <v>1347</v>
      </c>
      <c r="I434" s="13" t="s">
        <v>25</v>
      </c>
      <c r="J434" s="13">
        <v>3</v>
      </c>
      <c r="K434" s="13" t="s">
        <v>1714</v>
      </c>
      <c r="L434" s="6" t="s">
        <v>4353</v>
      </c>
      <c r="M434" s="108" t="s">
        <v>8537</v>
      </c>
      <c r="N434" s="13" t="s">
        <v>3797</v>
      </c>
      <c r="O434" s="13" t="s">
        <v>61</v>
      </c>
      <c r="P434" s="13" t="s">
        <v>9</v>
      </c>
      <c r="Q434" s="6" t="s">
        <v>4352</v>
      </c>
      <c r="R434" s="69" t="s">
        <v>8538</v>
      </c>
      <c r="S434" s="17" t="s">
        <v>4351</v>
      </c>
      <c r="T434" s="13">
        <v>17</v>
      </c>
      <c r="U434" s="13">
        <v>15</v>
      </c>
      <c r="V434" s="13" t="s">
        <v>8539</v>
      </c>
      <c r="W434" s="13" t="s">
        <v>4350</v>
      </c>
      <c r="X434" s="132">
        <v>431</v>
      </c>
      <c r="Y434" s="6"/>
    </row>
    <row r="435" spans="1:25" ht="15" customHeight="1" x14ac:dyDescent="0.25">
      <c r="A435" s="12" t="s">
        <v>1348</v>
      </c>
      <c r="B435" s="13" t="s">
        <v>4978</v>
      </c>
      <c r="C435" s="74">
        <v>47055</v>
      </c>
      <c r="D435" s="13" t="s">
        <v>33</v>
      </c>
      <c r="E435" s="6" t="s">
        <v>1349</v>
      </c>
      <c r="F435" s="15" t="s">
        <v>8432</v>
      </c>
      <c r="G435" s="6" t="s">
        <v>1350</v>
      </c>
      <c r="H435" s="6" t="s">
        <v>1350</v>
      </c>
      <c r="I435" s="13" t="s">
        <v>25</v>
      </c>
      <c r="J435" s="13">
        <v>3</v>
      </c>
      <c r="K435" s="13" t="s">
        <v>1714</v>
      </c>
      <c r="L435" s="6" t="s">
        <v>8261</v>
      </c>
      <c r="M435" s="108" t="s">
        <v>5115</v>
      </c>
      <c r="N435" s="13" t="s">
        <v>61</v>
      </c>
      <c r="O435" s="13" t="s">
        <v>61</v>
      </c>
      <c r="P435" s="13" t="s">
        <v>9</v>
      </c>
      <c r="Q435" s="6" t="s">
        <v>8262</v>
      </c>
      <c r="R435" s="69" t="s">
        <v>8263</v>
      </c>
      <c r="S435" s="17" t="s">
        <v>5117</v>
      </c>
      <c r="T435" s="13">
        <v>58</v>
      </c>
      <c r="U435" s="13">
        <v>52</v>
      </c>
      <c r="V435" s="13" t="s">
        <v>8264</v>
      </c>
      <c r="X435" s="132">
        <v>432</v>
      </c>
      <c r="Y435" s="6"/>
    </row>
    <row r="436" spans="1:25" ht="15" customHeight="1" x14ac:dyDescent="0.2">
      <c r="A436" s="12" t="s">
        <v>5072</v>
      </c>
      <c r="B436" s="13" t="s">
        <v>4978</v>
      </c>
      <c r="C436" s="74">
        <v>46477</v>
      </c>
      <c r="D436" s="13" t="s">
        <v>33</v>
      </c>
      <c r="E436" s="6" t="s">
        <v>1349</v>
      </c>
      <c r="F436" s="15" t="s">
        <v>11785</v>
      </c>
      <c r="G436" s="6" t="s">
        <v>1350</v>
      </c>
      <c r="H436" s="6" t="s">
        <v>5113</v>
      </c>
      <c r="I436" s="13" t="s">
        <v>25</v>
      </c>
      <c r="J436" s="13">
        <v>3</v>
      </c>
      <c r="K436" s="13" t="s">
        <v>1714</v>
      </c>
      <c r="L436" s="6" t="s">
        <v>5114</v>
      </c>
      <c r="M436" s="108" t="s">
        <v>5115</v>
      </c>
      <c r="N436" s="13" t="s">
        <v>2478</v>
      </c>
      <c r="O436" s="13" t="s">
        <v>61</v>
      </c>
      <c r="P436" s="13" t="s">
        <v>9</v>
      </c>
      <c r="Q436" s="6" t="s">
        <v>5116</v>
      </c>
      <c r="R436" s="30" t="s">
        <v>5118</v>
      </c>
      <c r="S436" s="17" t="s">
        <v>5117</v>
      </c>
      <c r="T436" s="18">
        <v>23</v>
      </c>
      <c r="U436" s="18">
        <v>16</v>
      </c>
      <c r="V436" s="13" t="s">
        <v>5119</v>
      </c>
      <c r="X436" s="132">
        <v>433</v>
      </c>
      <c r="Y436" s="6"/>
    </row>
    <row r="437" spans="1:25" ht="15" customHeight="1" x14ac:dyDescent="0.2">
      <c r="A437" s="20" t="s">
        <v>1351</v>
      </c>
      <c r="B437" s="22" t="s">
        <v>2608</v>
      </c>
      <c r="C437" s="14">
        <v>44529</v>
      </c>
      <c r="D437" s="13" t="s">
        <v>33</v>
      </c>
      <c r="E437" s="6" t="s">
        <v>1352</v>
      </c>
      <c r="F437" s="15" t="s">
        <v>11786</v>
      </c>
      <c r="G437" s="6" t="s">
        <v>1353</v>
      </c>
      <c r="I437" s="13" t="s">
        <v>25</v>
      </c>
      <c r="J437" s="13">
        <v>3</v>
      </c>
      <c r="K437" s="13" t="s">
        <v>1714</v>
      </c>
      <c r="L437" s="6"/>
      <c r="M437" s="108"/>
      <c r="O437" s="13" t="s">
        <v>1889</v>
      </c>
      <c r="P437" s="13" t="s">
        <v>68</v>
      </c>
      <c r="Q437" s="6"/>
      <c r="T437" s="13"/>
      <c r="U437" s="13"/>
      <c r="V437" s="13"/>
      <c r="X437" s="132">
        <v>434</v>
      </c>
      <c r="Y437" s="6"/>
    </row>
    <row r="438" spans="1:25" ht="15" customHeight="1" x14ac:dyDescent="0.25">
      <c r="A438" s="12" t="s">
        <v>1354</v>
      </c>
      <c r="B438" s="13" t="s">
        <v>4978</v>
      </c>
      <c r="C438" s="74">
        <v>47552</v>
      </c>
      <c r="D438" s="13" t="s">
        <v>33</v>
      </c>
      <c r="E438" s="6" t="s">
        <v>1355</v>
      </c>
      <c r="F438" s="15" t="s">
        <v>11787</v>
      </c>
      <c r="G438" s="6" t="s">
        <v>1356</v>
      </c>
      <c r="H438" s="6" t="s">
        <v>1356</v>
      </c>
      <c r="I438" s="13" t="s">
        <v>25</v>
      </c>
      <c r="J438" s="13">
        <v>3</v>
      </c>
      <c r="K438" s="13" t="s">
        <v>1714</v>
      </c>
      <c r="L438" s="6" t="s">
        <v>3532</v>
      </c>
      <c r="M438" s="108" t="s">
        <v>3533</v>
      </c>
      <c r="N438" s="13" t="s">
        <v>3534</v>
      </c>
      <c r="O438" s="13" t="s">
        <v>704</v>
      </c>
      <c r="P438" s="13" t="s">
        <v>16</v>
      </c>
      <c r="Q438" s="6" t="s">
        <v>11244</v>
      </c>
      <c r="R438" s="69" t="s">
        <v>11245</v>
      </c>
      <c r="S438" s="17" t="s">
        <v>3535</v>
      </c>
      <c r="T438" s="13">
        <v>25</v>
      </c>
      <c r="U438" s="13">
        <v>23</v>
      </c>
      <c r="V438" s="13" t="s">
        <v>3536</v>
      </c>
      <c r="X438" s="132">
        <v>435</v>
      </c>
      <c r="Y438" s="6"/>
    </row>
    <row r="439" spans="1:25" ht="15" customHeight="1" x14ac:dyDescent="0.2">
      <c r="A439" s="12" t="s">
        <v>1357</v>
      </c>
      <c r="B439" s="13" t="s">
        <v>4978</v>
      </c>
      <c r="C439" s="74">
        <v>46771</v>
      </c>
      <c r="D439" s="13" t="s">
        <v>1533</v>
      </c>
      <c r="E439" s="6" t="s">
        <v>1358</v>
      </c>
      <c r="F439" s="15" t="s">
        <v>11788</v>
      </c>
      <c r="G439" s="6" t="s">
        <v>1359</v>
      </c>
      <c r="H439" s="6" t="s">
        <v>1359</v>
      </c>
      <c r="I439" s="13" t="s">
        <v>25</v>
      </c>
      <c r="J439" s="13">
        <v>6</v>
      </c>
      <c r="K439" s="13" t="s">
        <v>1714</v>
      </c>
      <c r="L439" s="6" t="s">
        <v>6702</v>
      </c>
      <c r="M439" s="108" t="s">
        <v>6703</v>
      </c>
      <c r="N439" s="13" t="s">
        <v>6704</v>
      </c>
      <c r="O439" s="13" t="s">
        <v>704</v>
      </c>
      <c r="P439" s="13" t="s">
        <v>16</v>
      </c>
      <c r="Q439" s="6" t="s">
        <v>6705</v>
      </c>
      <c r="R439" s="6" t="s">
        <v>1360</v>
      </c>
      <c r="S439" s="17"/>
      <c r="T439" s="13">
        <v>25</v>
      </c>
      <c r="U439" s="13">
        <v>22</v>
      </c>
      <c r="V439" s="13" t="s">
        <v>6706</v>
      </c>
      <c r="X439" s="132">
        <v>436</v>
      </c>
      <c r="Y439" s="6"/>
    </row>
    <row r="440" spans="1:25" ht="15" customHeight="1" x14ac:dyDescent="0.2">
      <c r="A440" s="12" t="s">
        <v>1361</v>
      </c>
      <c r="B440" s="13" t="s">
        <v>4978</v>
      </c>
      <c r="C440" s="74">
        <v>46826</v>
      </c>
      <c r="D440" s="13" t="s">
        <v>33</v>
      </c>
      <c r="E440" s="6" t="s">
        <v>6855</v>
      </c>
      <c r="F440" s="15" t="s">
        <v>6856</v>
      </c>
      <c r="G440" s="6" t="s">
        <v>1363</v>
      </c>
      <c r="H440" s="6" t="s">
        <v>1363</v>
      </c>
      <c r="I440" s="13" t="s">
        <v>25</v>
      </c>
      <c r="J440" s="13">
        <v>3</v>
      </c>
      <c r="K440" s="13" t="s">
        <v>1714</v>
      </c>
      <c r="L440" s="6" t="s">
        <v>6857</v>
      </c>
      <c r="M440" s="108" t="s">
        <v>6858</v>
      </c>
      <c r="N440" s="13" t="s">
        <v>2375</v>
      </c>
      <c r="O440" s="13" t="s">
        <v>2146</v>
      </c>
      <c r="P440" s="13" t="s">
        <v>68</v>
      </c>
      <c r="Q440" s="6" t="s">
        <v>6859</v>
      </c>
      <c r="R440" s="17" t="s">
        <v>6860</v>
      </c>
      <c r="S440" s="17" t="s">
        <v>6861</v>
      </c>
      <c r="T440" s="13">
        <v>30</v>
      </c>
      <c r="U440" s="13">
        <v>29</v>
      </c>
      <c r="V440" s="13" t="s">
        <v>6862</v>
      </c>
      <c r="X440" s="132">
        <v>437</v>
      </c>
      <c r="Y440" s="6"/>
    </row>
    <row r="441" spans="1:25" ht="15" customHeight="1" x14ac:dyDescent="0.2">
      <c r="A441" s="12" t="s">
        <v>1364</v>
      </c>
      <c r="B441" s="13" t="s">
        <v>4978</v>
      </c>
      <c r="C441" s="74">
        <v>47090</v>
      </c>
      <c r="D441" s="13" t="s">
        <v>33</v>
      </c>
      <c r="E441" s="6" t="s">
        <v>4526</v>
      </c>
      <c r="F441" s="15" t="s">
        <v>11789</v>
      </c>
      <c r="G441" s="6" t="s">
        <v>1366</v>
      </c>
      <c r="H441" s="6" t="s">
        <v>1366</v>
      </c>
      <c r="I441" s="13" t="s">
        <v>25</v>
      </c>
      <c r="J441" s="13">
        <v>3</v>
      </c>
      <c r="K441" s="13" t="s">
        <v>1714</v>
      </c>
      <c r="L441" s="6" t="s">
        <v>4527</v>
      </c>
      <c r="M441" s="108" t="s">
        <v>2356</v>
      </c>
      <c r="N441" s="13" t="s">
        <v>4528</v>
      </c>
      <c r="O441" s="13" t="s">
        <v>2146</v>
      </c>
      <c r="P441" s="13" t="s">
        <v>68</v>
      </c>
      <c r="Q441" s="6" t="s">
        <v>8540</v>
      </c>
      <c r="R441" s="6" t="s">
        <v>1367</v>
      </c>
      <c r="S441" s="17" t="s">
        <v>6665</v>
      </c>
      <c r="T441" s="13">
        <v>20</v>
      </c>
      <c r="U441" s="13">
        <v>12</v>
      </c>
      <c r="V441" s="38" t="s">
        <v>8473</v>
      </c>
      <c r="W441" s="6" t="s">
        <v>8472</v>
      </c>
      <c r="X441" s="132">
        <v>438</v>
      </c>
      <c r="Y441" s="6"/>
    </row>
    <row r="442" spans="1:25" ht="15" customHeight="1" x14ac:dyDescent="0.2">
      <c r="A442" s="12" t="s">
        <v>1368</v>
      </c>
      <c r="B442" s="13" t="s">
        <v>4978</v>
      </c>
      <c r="C442" s="74">
        <v>46617</v>
      </c>
      <c r="D442" s="13" t="s">
        <v>1533</v>
      </c>
      <c r="E442" s="6" t="s">
        <v>1369</v>
      </c>
      <c r="F442" s="15" t="s">
        <v>6082</v>
      </c>
      <c r="G442" s="6" t="s">
        <v>5894</v>
      </c>
      <c r="H442" s="6" t="s">
        <v>1370</v>
      </c>
      <c r="I442" s="13" t="s">
        <v>25</v>
      </c>
      <c r="J442" s="13">
        <v>6</v>
      </c>
      <c r="K442" s="13" t="s">
        <v>1714</v>
      </c>
      <c r="L442" s="6" t="s">
        <v>5895</v>
      </c>
      <c r="M442" s="108" t="s">
        <v>5896</v>
      </c>
      <c r="N442" s="13" t="s">
        <v>5897</v>
      </c>
      <c r="O442" s="13" t="s">
        <v>1055</v>
      </c>
      <c r="P442" s="13" t="s">
        <v>16</v>
      </c>
      <c r="Q442" s="6" t="s">
        <v>5898</v>
      </c>
      <c r="R442" s="17" t="s">
        <v>5899</v>
      </c>
      <c r="S442" s="17" t="s">
        <v>6639</v>
      </c>
      <c r="T442" s="13">
        <v>11</v>
      </c>
      <c r="U442" s="13">
        <v>10</v>
      </c>
      <c r="V442" s="13" t="s">
        <v>5900</v>
      </c>
      <c r="X442" s="132">
        <v>439</v>
      </c>
      <c r="Y442" s="6"/>
    </row>
    <row r="443" spans="1:25" ht="15" customHeight="1" x14ac:dyDescent="0.2">
      <c r="A443" s="12" t="s">
        <v>1371</v>
      </c>
      <c r="B443" s="13" t="s">
        <v>4978</v>
      </c>
      <c r="C443" s="74">
        <v>46742</v>
      </c>
      <c r="D443" s="13" t="s">
        <v>33</v>
      </c>
      <c r="E443" s="6" t="s">
        <v>1372</v>
      </c>
      <c r="F443" s="15" t="s">
        <v>6507</v>
      </c>
      <c r="G443" s="6" t="s">
        <v>1373</v>
      </c>
      <c r="H443" s="6" t="s">
        <v>1373</v>
      </c>
      <c r="I443" s="13" t="s">
        <v>25</v>
      </c>
      <c r="J443" s="13">
        <v>3</v>
      </c>
      <c r="K443" s="13" t="s">
        <v>1714</v>
      </c>
      <c r="L443" s="6" t="s">
        <v>6502</v>
      </c>
      <c r="M443" s="108" t="s">
        <v>6503</v>
      </c>
      <c r="N443" s="13" t="s">
        <v>2340</v>
      </c>
      <c r="O443" s="13" t="s">
        <v>1055</v>
      </c>
      <c r="P443" s="13" t="s">
        <v>16</v>
      </c>
      <c r="Q443" s="6" t="s">
        <v>6504</v>
      </c>
      <c r="R443" s="6" t="s">
        <v>1374</v>
      </c>
      <c r="S443" s="17" t="s">
        <v>6505</v>
      </c>
      <c r="T443" s="13">
        <v>15</v>
      </c>
      <c r="U443" s="13">
        <v>15</v>
      </c>
      <c r="V443" s="13" t="s">
        <v>6506</v>
      </c>
      <c r="X443" s="132">
        <v>440</v>
      </c>
      <c r="Y443" s="6"/>
    </row>
    <row r="444" spans="1:25" ht="15" customHeight="1" x14ac:dyDescent="0.2">
      <c r="A444" s="20" t="s">
        <v>1375</v>
      </c>
      <c r="B444" s="22" t="s">
        <v>2608</v>
      </c>
      <c r="C444" s="14">
        <v>45259</v>
      </c>
      <c r="D444" s="13" t="s">
        <v>33</v>
      </c>
      <c r="E444" s="6" t="s">
        <v>1376</v>
      </c>
      <c r="F444" s="15" t="s">
        <v>11790</v>
      </c>
      <c r="G444" s="6" t="s">
        <v>1377</v>
      </c>
      <c r="I444" s="13" t="s">
        <v>25</v>
      </c>
      <c r="J444" s="13">
        <v>3</v>
      </c>
      <c r="K444" s="13" t="s">
        <v>1714</v>
      </c>
      <c r="L444" s="6"/>
      <c r="M444" s="108"/>
      <c r="O444" s="13" t="s">
        <v>61</v>
      </c>
      <c r="P444" s="13" t="s">
        <v>9</v>
      </c>
      <c r="Q444" s="6"/>
      <c r="R444" s="6" t="s">
        <v>1378</v>
      </c>
      <c r="S444" s="17" t="s">
        <v>6666</v>
      </c>
      <c r="T444" s="13"/>
      <c r="U444" s="13"/>
      <c r="V444" s="13"/>
      <c r="X444" s="132">
        <v>441</v>
      </c>
      <c r="Y444" s="6"/>
    </row>
    <row r="445" spans="1:25" ht="15" customHeight="1" x14ac:dyDescent="0.2">
      <c r="A445" s="20" t="s">
        <v>1379</v>
      </c>
      <c r="B445" s="22" t="s">
        <v>2608</v>
      </c>
      <c r="C445" s="14">
        <v>45259</v>
      </c>
      <c r="D445" s="13" t="s">
        <v>33</v>
      </c>
      <c r="E445" s="6" t="s">
        <v>1376</v>
      </c>
      <c r="F445" s="15" t="s">
        <v>11790</v>
      </c>
      <c r="G445" s="6" t="s">
        <v>1377</v>
      </c>
      <c r="I445" s="13" t="s">
        <v>25</v>
      </c>
      <c r="J445" s="13">
        <v>3</v>
      </c>
      <c r="K445" s="13" t="s">
        <v>1714</v>
      </c>
      <c r="L445" s="6"/>
      <c r="M445" s="108"/>
      <c r="O445" s="13" t="s">
        <v>61</v>
      </c>
      <c r="P445" s="13" t="s">
        <v>9</v>
      </c>
      <c r="Q445" s="6"/>
      <c r="R445" s="6" t="s">
        <v>1378</v>
      </c>
      <c r="S445" s="17" t="s">
        <v>6666</v>
      </c>
      <c r="T445" s="13"/>
      <c r="U445" s="13"/>
      <c r="V445" s="13"/>
      <c r="X445" s="132">
        <v>442</v>
      </c>
      <c r="Y445" s="6"/>
    </row>
    <row r="446" spans="1:25" ht="15" customHeight="1" x14ac:dyDescent="0.2">
      <c r="A446" s="20" t="s">
        <v>1380</v>
      </c>
      <c r="B446" s="22" t="s">
        <v>2608</v>
      </c>
      <c r="C446" s="14">
        <v>44529</v>
      </c>
      <c r="D446" s="13" t="s">
        <v>33</v>
      </c>
      <c r="E446" s="6" t="s">
        <v>1381</v>
      </c>
      <c r="F446" s="15" t="s">
        <v>7842</v>
      </c>
      <c r="G446" s="6" t="s">
        <v>1382</v>
      </c>
      <c r="I446" s="13" t="s">
        <v>25</v>
      </c>
      <c r="J446" s="13">
        <v>3</v>
      </c>
      <c r="K446" s="13" t="s">
        <v>1714</v>
      </c>
      <c r="L446" s="6"/>
      <c r="M446" s="108"/>
      <c r="O446" s="13" t="s">
        <v>61</v>
      </c>
      <c r="P446" s="13" t="s">
        <v>9</v>
      </c>
      <c r="Q446" s="6"/>
      <c r="R446" s="6" t="s">
        <v>1383</v>
      </c>
      <c r="S446" s="17" t="s">
        <v>6667</v>
      </c>
      <c r="T446" s="13"/>
      <c r="U446" s="13"/>
      <c r="V446" s="13"/>
      <c r="X446" s="132">
        <v>443</v>
      </c>
      <c r="Y446" s="6"/>
    </row>
    <row r="447" spans="1:25" ht="15" customHeight="1" x14ac:dyDescent="0.2">
      <c r="A447" s="12" t="s">
        <v>1384</v>
      </c>
      <c r="B447" s="13" t="s">
        <v>4978</v>
      </c>
      <c r="C447" s="74">
        <v>46477</v>
      </c>
      <c r="D447" s="13" t="s">
        <v>33</v>
      </c>
      <c r="E447" s="6" t="s">
        <v>5068</v>
      </c>
      <c r="G447" s="6" t="s">
        <v>1386</v>
      </c>
      <c r="H447" s="6" t="s">
        <v>1386</v>
      </c>
      <c r="I447" s="13" t="s">
        <v>25</v>
      </c>
      <c r="J447" s="13">
        <v>3</v>
      </c>
      <c r="K447" s="13" t="s">
        <v>1714</v>
      </c>
      <c r="L447" s="6" t="s">
        <v>5120</v>
      </c>
      <c r="M447" s="108" t="s">
        <v>5121</v>
      </c>
      <c r="N447" s="13" t="s">
        <v>5122</v>
      </c>
      <c r="O447" s="13" t="s">
        <v>293</v>
      </c>
      <c r="P447" s="13" t="s">
        <v>16</v>
      </c>
      <c r="Q447" s="6" t="s">
        <v>5123</v>
      </c>
      <c r="R447" s="17" t="s">
        <v>5124</v>
      </c>
      <c r="S447" s="17" t="s">
        <v>5125</v>
      </c>
      <c r="T447" s="13">
        <v>36</v>
      </c>
      <c r="U447" s="13">
        <v>31</v>
      </c>
      <c r="V447" s="13" t="s">
        <v>5126</v>
      </c>
      <c r="X447" s="132">
        <v>444</v>
      </c>
      <c r="Y447" s="6"/>
    </row>
    <row r="448" spans="1:25" ht="15" customHeight="1" x14ac:dyDescent="0.2">
      <c r="A448" s="20" t="s">
        <v>1387</v>
      </c>
      <c r="B448" s="22" t="s">
        <v>2608</v>
      </c>
      <c r="C448" s="23">
        <v>44529</v>
      </c>
      <c r="D448" s="13" t="s">
        <v>33</v>
      </c>
      <c r="E448" s="6" t="s">
        <v>1388</v>
      </c>
      <c r="F448" s="15" t="s">
        <v>11791</v>
      </c>
      <c r="G448" s="6" t="s">
        <v>1389</v>
      </c>
      <c r="I448" s="13" t="s">
        <v>25</v>
      </c>
      <c r="J448" s="13">
        <v>3</v>
      </c>
      <c r="K448" s="13" t="s">
        <v>1714</v>
      </c>
      <c r="L448" s="6"/>
      <c r="M448" s="108"/>
      <c r="O448" s="13" t="s">
        <v>293</v>
      </c>
      <c r="P448" s="13" t="s">
        <v>16</v>
      </c>
      <c r="Q448" s="6"/>
      <c r="R448" s="6" t="s">
        <v>1390</v>
      </c>
      <c r="S448" s="17" t="s">
        <v>6634</v>
      </c>
      <c r="T448" s="13"/>
      <c r="U448" s="13"/>
      <c r="V448" s="13"/>
      <c r="X448" s="132">
        <v>445</v>
      </c>
      <c r="Y448" s="6"/>
    </row>
    <row r="449" spans="1:25" ht="15" customHeight="1" x14ac:dyDescent="0.2">
      <c r="A449" s="12" t="s">
        <v>1391</v>
      </c>
      <c r="B449" s="13" t="s">
        <v>4978</v>
      </c>
      <c r="C449" s="100">
        <v>46537</v>
      </c>
      <c r="D449" s="13" t="s">
        <v>33</v>
      </c>
      <c r="E449" s="6" t="s">
        <v>1392</v>
      </c>
      <c r="F449" s="15" t="s">
        <v>11792</v>
      </c>
      <c r="G449" s="6" t="s">
        <v>1393</v>
      </c>
      <c r="H449" s="6" t="s">
        <v>1393</v>
      </c>
      <c r="I449" s="13" t="s">
        <v>25</v>
      </c>
      <c r="J449" s="13">
        <v>3</v>
      </c>
      <c r="K449" s="13" t="s">
        <v>1714</v>
      </c>
      <c r="L449" s="6" t="s">
        <v>5358</v>
      </c>
      <c r="M449" s="108" t="s">
        <v>5360</v>
      </c>
      <c r="N449" s="13" t="s">
        <v>5359</v>
      </c>
      <c r="O449" s="13" t="s">
        <v>1889</v>
      </c>
      <c r="P449" s="13" t="s">
        <v>68</v>
      </c>
      <c r="Q449" s="6" t="s">
        <v>5361</v>
      </c>
      <c r="R449" s="6" t="s">
        <v>1394</v>
      </c>
      <c r="S449" s="17" t="s">
        <v>6645</v>
      </c>
      <c r="T449" s="13">
        <v>45</v>
      </c>
      <c r="U449" s="13">
        <v>42</v>
      </c>
      <c r="V449" s="13" t="s">
        <v>5362</v>
      </c>
      <c r="X449" s="132">
        <v>446</v>
      </c>
      <c r="Y449" s="6"/>
    </row>
    <row r="450" spans="1:25" ht="15" customHeight="1" x14ac:dyDescent="0.2">
      <c r="A450" s="12" t="s">
        <v>1395</v>
      </c>
      <c r="B450" s="13" t="s">
        <v>4978</v>
      </c>
      <c r="C450" s="74">
        <v>46917</v>
      </c>
      <c r="D450" s="13" t="s">
        <v>33</v>
      </c>
      <c r="E450" s="6" t="s">
        <v>7433</v>
      </c>
      <c r="F450" s="15" t="s">
        <v>7434</v>
      </c>
      <c r="G450" s="6" t="s">
        <v>1397</v>
      </c>
      <c r="H450" s="6" t="s">
        <v>1397</v>
      </c>
      <c r="I450" s="13" t="s">
        <v>25</v>
      </c>
      <c r="J450" s="13">
        <v>3</v>
      </c>
      <c r="K450" s="13" t="s">
        <v>1714</v>
      </c>
      <c r="L450" s="6" t="s">
        <v>7435</v>
      </c>
      <c r="M450" s="108" t="s">
        <v>7436</v>
      </c>
      <c r="N450" s="13" t="s">
        <v>3562</v>
      </c>
      <c r="O450" s="13" t="s">
        <v>2146</v>
      </c>
      <c r="P450" s="13" t="s">
        <v>68</v>
      </c>
      <c r="Q450" s="6" t="s">
        <v>7437</v>
      </c>
      <c r="R450" s="17" t="s">
        <v>7438</v>
      </c>
      <c r="S450" s="17" t="s">
        <v>7439</v>
      </c>
      <c r="T450" s="13">
        <v>28</v>
      </c>
      <c r="U450" s="13">
        <v>15</v>
      </c>
      <c r="V450" s="13" t="s">
        <v>7440</v>
      </c>
      <c r="X450" s="132">
        <v>447</v>
      </c>
      <c r="Y450" s="6"/>
    </row>
    <row r="451" spans="1:25" ht="15" customHeight="1" x14ac:dyDescent="0.2">
      <c r="A451" s="12" t="s">
        <v>1398</v>
      </c>
      <c r="B451" s="24" t="s">
        <v>4977</v>
      </c>
      <c r="C451" s="14">
        <v>46889</v>
      </c>
      <c r="D451" s="13" t="s">
        <v>33</v>
      </c>
      <c r="E451" s="6" t="s">
        <v>7289</v>
      </c>
      <c r="F451" s="15" t="s">
        <v>7290</v>
      </c>
      <c r="G451" s="6" t="s">
        <v>1400</v>
      </c>
      <c r="H451" s="6" t="s">
        <v>1400</v>
      </c>
      <c r="I451" s="13" t="s">
        <v>25</v>
      </c>
      <c r="J451" s="13">
        <v>3</v>
      </c>
      <c r="K451" s="13" t="s">
        <v>1714</v>
      </c>
      <c r="L451" s="6" t="s">
        <v>7291</v>
      </c>
      <c r="M451" s="108" t="s">
        <v>7292</v>
      </c>
      <c r="N451" s="13" t="s">
        <v>7293</v>
      </c>
      <c r="O451" s="13" t="s">
        <v>240</v>
      </c>
      <c r="P451" s="13" t="s">
        <v>16</v>
      </c>
      <c r="Q451" s="6" t="s">
        <v>7294</v>
      </c>
      <c r="R451" s="17" t="s">
        <v>7295</v>
      </c>
      <c r="S451" s="17"/>
      <c r="T451" s="13">
        <v>21</v>
      </c>
      <c r="U451" s="13">
        <v>16</v>
      </c>
      <c r="V451" s="13" t="s">
        <v>7296</v>
      </c>
      <c r="X451" s="132">
        <v>448</v>
      </c>
      <c r="Y451" s="6"/>
    </row>
    <row r="452" spans="1:25" ht="15" customHeight="1" x14ac:dyDescent="0.2">
      <c r="A452" s="20" t="s">
        <v>1401</v>
      </c>
      <c r="B452" s="22" t="s">
        <v>2608</v>
      </c>
      <c r="C452" s="14">
        <v>45156</v>
      </c>
      <c r="D452" s="13" t="s">
        <v>33</v>
      </c>
      <c r="E452" s="6" t="s">
        <v>5810</v>
      </c>
      <c r="F452" s="15" t="s">
        <v>5811</v>
      </c>
      <c r="G452" s="6" t="s">
        <v>1403</v>
      </c>
      <c r="H452" s="6" t="s">
        <v>1403</v>
      </c>
      <c r="I452" s="13" t="s">
        <v>25</v>
      </c>
      <c r="J452" s="13">
        <v>3</v>
      </c>
      <c r="K452" s="13" t="s">
        <v>1714</v>
      </c>
      <c r="L452" s="6" t="s">
        <v>5812</v>
      </c>
      <c r="M452" s="108" t="s">
        <v>5813</v>
      </c>
      <c r="N452" s="13" t="s">
        <v>2807</v>
      </c>
      <c r="O452" s="13" t="s">
        <v>128</v>
      </c>
      <c r="P452" s="13" t="s">
        <v>16</v>
      </c>
      <c r="Q452" s="6" t="s">
        <v>5814</v>
      </c>
      <c r="R452" s="17" t="s">
        <v>5815</v>
      </c>
      <c r="S452" s="17" t="s">
        <v>6634</v>
      </c>
      <c r="T452" s="13">
        <v>23</v>
      </c>
      <c r="U452" s="13">
        <v>14</v>
      </c>
      <c r="V452" s="13" t="s">
        <v>5816</v>
      </c>
      <c r="X452" s="132">
        <v>449</v>
      </c>
      <c r="Y452" s="6"/>
    </row>
    <row r="453" spans="1:25" ht="15" customHeight="1" x14ac:dyDescent="0.2">
      <c r="A453" s="12" t="s">
        <v>1404</v>
      </c>
      <c r="B453" s="13" t="s">
        <v>4978</v>
      </c>
      <c r="C453" s="74">
        <v>46742</v>
      </c>
      <c r="D453" s="13" t="s">
        <v>33</v>
      </c>
      <c r="E453" s="6" t="s">
        <v>1405</v>
      </c>
      <c r="F453" s="15" t="s">
        <v>6508</v>
      </c>
      <c r="G453" s="6" t="s">
        <v>1406</v>
      </c>
      <c r="H453" s="6" t="s">
        <v>1406</v>
      </c>
      <c r="I453" s="13" t="s">
        <v>25</v>
      </c>
      <c r="J453" s="13">
        <v>3</v>
      </c>
      <c r="K453" s="13" t="s">
        <v>1714</v>
      </c>
      <c r="L453" s="6" t="s">
        <v>6509</v>
      </c>
      <c r="M453" s="108" t="s">
        <v>6510</v>
      </c>
      <c r="N453" s="13" t="s">
        <v>240</v>
      </c>
      <c r="O453" s="13" t="s">
        <v>240</v>
      </c>
      <c r="P453" s="13" t="s">
        <v>16</v>
      </c>
      <c r="Q453" s="6" t="s">
        <v>6511</v>
      </c>
      <c r="R453" s="6" t="s">
        <v>1407</v>
      </c>
      <c r="S453" s="17" t="s">
        <v>6512</v>
      </c>
      <c r="T453" s="13">
        <v>24</v>
      </c>
      <c r="U453" s="13">
        <v>18</v>
      </c>
      <c r="V453" s="13" t="s">
        <v>6513</v>
      </c>
      <c r="X453" s="132">
        <v>450</v>
      </c>
      <c r="Y453" s="6"/>
    </row>
    <row r="454" spans="1:25" ht="15" customHeight="1" x14ac:dyDescent="0.2">
      <c r="A454" s="12" t="s">
        <v>1408</v>
      </c>
      <c r="B454" s="13" t="s">
        <v>4978</v>
      </c>
      <c r="C454" s="100">
        <v>46173</v>
      </c>
      <c r="D454" s="13" t="s">
        <v>33</v>
      </c>
      <c r="E454" s="6" t="s">
        <v>1409</v>
      </c>
      <c r="F454" s="15" t="s">
        <v>11793</v>
      </c>
      <c r="G454" s="6" t="s">
        <v>1410</v>
      </c>
      <c r="I454" s="13" t="s">
        <v>25</v>
      </c>
      <c r="J454" s="13">
        <v>3</v>
      </c>
      <c r="K454" s="13" t="s">
        <v>1714</v>
      </c>
      <c r="L454" s="6" t="s">
        <v>4041</v>
      </c>
      <c r="M454" s="108" t="s">
        <v>4042</v>
      </c>
      <c r="N454" s="13" t="s">
        <v>172</v>
      </c>
      <c r="O454" s="13" t="s">
        <v>172</v>
      </c>
      <c r="P454" s="13" t="s">
        <v>9</v>
      </c>
      <c r="Q454" s="6" t="s">
        <v>4043</v>
      </c>
      <c r="R454" s="6" t="s">
        <v>1411</v>
      </c>
      <c r="S454" s="17" t="s">
        <v>4044</v>
      </c>
      <c r="T454" s="13">
        <v>41</v>
      </c>
      <c r="U454" s="13">
        <v>36</v>
      </c>
      <c r="V454" s="13" t="s">
        <v>4045</v>
      </c>
      <c r="X454" s="132">
        <v>451</v>
      </c>
      <c r="Y454" s="6"/>
    </row>
    <row r="455" spans="1:25" ht="15" customHeight="1" x14ac:dyDescent="0.2">
      <c r="A455" s="12" t="s">
        <v>1412</v>
      </c>
      <c r="B455" s="13"/>
      <c r="D455" s="13"/>
      <c r="E455" s="6" t="s">
        <v>1323</v>
      </c>
      <c r="F455" s="15" t="s">
        <v>1323</v>
      </c>
      <c r="G455" s="6" t="s">
        <v>1323</v>
      </c>
      <c r="K455" s="13"/>
      <c r="L455" s="6"/>
      <c r="M455" s="108"/>
      <c r="O455" s="13" t="s">
        <v>1323</v>
      </c>
      <c r="P455" s="13" t="s">
        <v>1197</v>
      </c>
      <c r="Q455" s="6"/>
      <c r="T455" s="13"/>
      <c r="U455" s="13"/>
      <c r="V455" s="13"/>
      <c r="X455" s="132">
        <v>452</v>
      </c>
      <c r="Y455" s="6"/>
    </row>
    <row r="456" spans="1:25" ht="15" customHeight="1" x14ac:dyDescent="0.2">
      <c r="A456" s="20" t="s">
        <v>1413</v>
      </c>
      <c r="B456" s="22" t="s">
        <v>2608</v>
      </c>
      <c r="C456" s="14">
        <v>44543</v>
      </c>
      <c r="D456" s="13" t="s">
        <v>33</v>
      </c>
      <c r="E456" s="6" t="s">
        <v>1414</v>
      </c>
      <c r="F456" s="15" t="s">
        <v>11794</v>
      </c>
      <c r="G456" s="6" t="s">
        <v>1415</v>
      </c>
      <c r="I456" s="13" t="s">
        <v>25</v>
      </c>
      <c r="J456" s="13">
        <v>3</v>
      </c>
      <c r="K456" s="13" t="s">
        <v>1714</v>
      </c>
      <c r="L456" s="6"/>
      <c r="M456" s="108"/>
      <c r="O456" s="13" t="s">
        <v>177</v>
      </c>
      <c r="P456" s="13" t="s">
        <v>9</v>
      </c>
      <c r="Q456" s="6"/>
      <c r="R456" s="6" t="s">
        <v>1416</v>
      </c>
      <c r="S456" s="17" t="s">
        <v>6668</v>
      </c>
      <c r="T456" s="13"/>
      <c r="U456" s="13"/>
      <c r="V456" s="13"/>
      <c r="X456" s="132">
        <v>453</v>
      </c>
      <c r="Y456" s="6"/>
    </row>
    <row r="457" spans="1:25" ht="15" customHeight="1" x14ac:dyDescent="0.2">
      <c r="A457" s="12" t="s">
        <v>1417</v>
      </c>
      <c r="B457" s="13" t="s">
        <v>4978</v>
      </c>
      <c r="C457" s="74">
        <v>46414</v>
      </c>
      <c r="D457" s="13" t="s">
        <v>33</v>
      </c>
      <c r="E457" s="6" t="s">
        <v>4855</v>
      </c>
      <c r="F457" s="15" t="s">
        <v>4884</v>
      </c>
      <c r="G457" s="6" t="s">
        <v>1419</v>
      </c>
      <c r="H457" s="6" t="s">
        <v>1419</v>
      </c>
      <c r="I457" s="13" t="s">
        <v>25</v>
      </c>
      <c r="J457" s="13">
        <v>3</v>
      </c>
      <c r="K457" s="13" t="s">
        <v>1714</v>
      </c>
      <c r="L457" s="6" t="s">
        <v>12318</v>
      </c>
      <c r="M457" s="108" t="s">
        <v>5517</v>
      </c>
      <c r="N457" s="13" t="s">
        <v>4205</v>
      </c>
      <c r="O457" s="13" t="s">
        <v>1847</v>
      </c>
      <c r="P457" s="13" t="s">
        <v>68</v>
      </c>
      <c r="Q457" s="6" t="s">
        <v>12319</v>
      </c>
      <c r="R457" s="6" t="s">
        <v>1420</v>
      </c>
      <c r="S457" s="6" t="s">
        <v>716</v>
      </c>
      <c r="T457" s="13">
        <v>19</v>
      </c>
      <c r="U457" s="13">
        <v>18</v>
      </c>
      <c r="V457" s="13" t="s">
        <v>4885</v>
      </c>
      <c r="X457" s="132">
        <v>454</v>
      </c>
      <c r="Y457" s="6"/>
    </row>
    <row r="458" spans="1:25" ht="15" customHeight="1" x14ac:dyDescent="0.2">
      <c r="A458" s="12" t="s">
        <v>5189</v>
      </c>
      <c r="B458" s="13" t="s">
        <v>4978</v>
      </c>
      <c r="C458" s="74">
        <v>46505</v>
      </c>
      <c r="D458" s="13" t="s">
        <v>33</v>
      </c>
      <c r="E458" s="6" t="s">
        <v>1418</v>
      </c>
      <c r="F458" s="15" t="s">
        <v>11795</v>
      </c>
      <c r="G458" s="6" t="s">
        <v>1419</v>
      </c>
      <c r="H458" s="6" t="s">
        <v>5190</v>
      </c>
      <c r="I458" s="13" t="s">
        <v>25</v>
      </c>
      <c r="J458" s="13">
        <v>3</v>
      </c>
      <c r="K458" s="13" t="s">
        <v>1714</v>
      </c>
      <c r="L458" s="6" t="s">
        <v>5191</v>
      </c>
      <c r="M458" s="108" t="s">
        <v>5192</v>
      </c>
      <c r="N458" s="13" t="s">
        <v>2152</v>
      </c>
      <c r="O458" s="13" t="s">
        <v>1847</v>
      </c>
      <c r="P458" s="13" t="s">
        <v>68</v>
      </c>
      <c r="Q458" s="6" t="s">
        <v>5193</v>
      </c>
      <c r="R458" s="17" t="s">
        <v>5194</v>
      </c>
      <c r="S458" s="17" t="s">
        <v>6634</v>
      </c>
      <c r="T458" s="18">
        <v>17</v>
      </c>
      <c r="U458" s="18">
        <v>15</v>
      </c>
      <c r="V458" s="13" t="s">
        <v>5195</v>
      </c>
      <c r="X458" s="132">
        <v>455</v>
      </c>
      <c r="Y458" s="6"/>
    </row>
    <row r="459" spans="1:25" ht="15" customHeight="1" x14ac:dyDescent="0.2">
      <c r="A459" s="20" t="s">
        <v>1421</v>
      </c>
      <c r="B459" s="22" t="s">
        <v>2608</v>
      </c>
      <c r="C459" s="14">
        <v>44543</v>
      </c>
      <c r="D459" s="13" t="s">
        <v>33</v>
      </c>
      <c r="E459" s="6" t="s">
        <v>1422</v>
      </c>
      <c r="F459" s="15" t="s">
        <v>11796</v>
      </c>
      <c r="G459" s="6" t="s">
        <v>1423</v>
      </c>
      <c r="I459" s="13" t="s">
        <v>25</v>
      </c>
      <c r="J459" s="13">
        <v>3</v>
      </c>
      <c r="K459" s="13" t="s">
        <v>1714</v>
      </c>
      <c r="L459" s="6"/>
      <c r="M459" s="108"/>
      <c r="O459" s="13" t="s">
        <v>2146</v>
      </c>
      <c r="P459" s="13" t="s">
        <v>68</v>
      </c>
      <c r="Q459" s="6"/>
      <c r="T459" s="13"/>
      <c r="U459" s="13"/>
      <c r="V459" s="13"/>
      <c r="X459" s="132">
        <v>456</v>
      </c>
      <c r="Y459" s="6"/>
    </row>
    <row r="460" spans="1:25" ht="15" customHeight="1" x14ac:dyDescent="0.2">
      <c r="A460" s="12" t="s">
        <v>1424</v>
      </c>
      <c r="B460" s="13" t="s">
        <v>4978</v>
      </c>
      <c r="C460" s="74">
        <v>46645</v>
      </c>
      <c r="D460" s="13" t="s">
        <v>33</v>
      </c>
      <c r="E460" s="6" t="s">
        <v>1425</v>
      </c>
      <c r="F460" s="15" t="s">
        <v>6017</v>
      </c>
      <c r="G460" s="6" t="s">
        <v>1426</v>
      </c>
      <c r="H460" s="6" t="s">
        <v>1426</v>
      </c>
      <c r="I460" s="13" t="s">
        <v>25</v>
      </c>
      <c r="J460" s="13">
        <v>3</v>
      </c>
      <c r="K460" s="13" t="s">
        <v>1714</v>
      </c>
      <c r="L460" s="6" t="s">
        <v>6018</v>
      </c>
      <c r="M460" s="108" t="s">
        <v>6019</v>
      </c>
      <c r="N460" s="13" t="s">
        <v>6020</v>
      </c>
      <c r="O460" s="13" t="s">
        <v>2085</v>
      </c>
      <c r="P460" s="13" t="s">
        <v>68</v>
      </c>
      <c r="Q460" s="6" t="s">
        <v>6021</v>
      </c>
      <c r="R460" s="6" t="s">
        <v>1427</v>
      </c>
      <c r="S460" s="17" t="s">
        <v>6022</v>
      </c>
      <c r="T460" s="13">
        <v>15</v>
      </c>
      <c r="U460" s="13">
        <v>14</v>
      </c>
      <c r="V460" s="13" t="s">
        <v>6023</v>
      </c>
      <c r="X460" s="132">
        <v>457</v>
      </c>
      <c r="Y460" s="6"/>
    </row>
    <row r="461" spans="1:25" ht="15" customHeight="1" x14ac:dyDescent="0.2">
      <c r="A461" s="12" t="s">
        <v>1428</v>
      </c>
      <c r="B461" s="13" t="s">
        <v>4978</v>
      </c>
      <c r="C461" s="74">
        <v>46284</v>
      </c>
      <c r="D461" s="13" t="s">
        <v>33</v>
      </c>
      <c r="E461" s="6" t="s">
        <v>1429</v>
      </c>
      <c r="F461" s="15" t="s">
        <v>11797</v>
      </c>
      <c r="G461" s="6" t="s">
        <v>1430</v>
      </c>
      <c r="I461" s="13" t="s">
        <v>25</v>
      </c>
      <c r="J461" s="13">
        <v>3</v>
      </c>
      <c r="K461" s="13" t="s">
        <v>1714</v>
      </c>
      <c r="L461" s="6" t="s">
        <v>4283</v>
      </c>
      <c r="M461" s="108" t="s">
        <v>4284</v>
      </c>
      <c r="N461" s="13" t="s">
        <v>8</v>
      </c>
      <c r="O461" s="13" t="s">
        <v>8</v>
      </c>
      <c r="P461" s="13" t="s">
        <v>9</v>
      </c>
      <c r="Q461" s="6" t="s">
        <v>4285</v>
      </c>
      <c r="R461" s="6" t="s">
        <v>3864</v>
      </c>
      <c r="S461" s="17" t="s">
        <v>6634</v>
      </c>
      <c r="T461" s="13">
        <v>25</v>
      </c>
      <c r="U461" s="13">
        <v>24</v>
      </c>
      <c r="V461" s="13" t="s">
        <v>4282</v>
      </c>
      <c r="X461" s="132">
        <v>458</v>
      </c>
      <c r="Y461" s="6"/>
    </row>
    <row r="462" spans="1:25" ht="15" customHeight="1" x14ac:dyDescent="0.2">
      <c r="A462" s="12" t="s">
        <v>1431</v>
      </c>
      <c r="B462" s="13" t="s">
        <v>4978</v>
      </c>
      <c r="C462" s="74">
        <v>47552</v>
      </c>
      <c r="D462" s="13" t="s">
        <v>33</v>
      </c>
      <c r="E462" s="6" t="s">
        <v>1432</v>
      </c>
      <c r="F462" s="15" t="s">
        <v>11798</v>
      </c>
      <c r="G462" s="6" t="s">
        <v>1433</v>
      </c>
      <c r="H462" s="6" t="s">
        <v>1433</v>
      </c>
      <c r="I462" s="13" t="s">
        <v>25</v>
      </c>
      <c r="J462" s="13">
        <v>3</v>
      </c>
      <c r="K462" s="13" t="s">
        <v>1714</v>
      </c>
      <c r="L462" s="6" t="s">
        <v>6827</v>
      </c>
      <c r="M462" s="108" t="s">
        <v>6828</v>
      </c>
      <c r="N462" s="13" t="s">
        <v>5181</v>
      </c>
      <c r="O462" s="13" t="s">
        <v>2146</v>
      </c>
      <c r="P462" s="13" t="s">
        <v>68</v>
      </c>
      <c r="Q462" s="6" t="s">
        <v>11246</v>
      </c>
      <c r="R462" s="6" t="s">
        <v>1434</v>
      </c>
      <c r="S462" s="17"/>
      <c r="T462" s="13">
        <v>27</v>
      </c>
      <c r="U462" s="13">
        <v>15</v>
      </c>
      <c r="V462" s="13" t="s">
        <v>6829</v>
      </c>
      <c r="W462" s="13" t="s">
        <v>3646</v>
      </c>
      <c r="X462" s="132">
        <v>459</v>
      </c>
      <c r="Y462" s="6"/>
    </row>
    <row r="463" spans="1:25" ht="15" customHeight="1" x14ac:dyDescent="0.2">
      <c r="A463" s="12" t="s">
        <v>1435</v>
      </c>
      <c r="B463" s="13" t="s">
        <v>4978</v>
      </c>
      <c r="C463" s="74">
        <v>47615</v>
      </c>
      <c r="D463" s="13" t="s">
        <v>33</v>
      </c>
      <c r="E463" s="6" t="s">
        <v>6934</v>
      </c>
      <c r="F463" s="15" t="s">
        <v>11421</v>
      </c>
      <c r="G463" s="6" t="s">
        <v>11422</v>
      </c>
      <c r="H463" s="6" t="s">
        <v>11422</v>
      </c>
      <c r="I463" s="13" t="s">
        <v>25</v>
      </c>
      <c r="J463" s="13">
        <v>3</v>
      </c>
      <c r="K463" s="13" t="s">
        <v>1714</v>
      </c>
      <c r="L463" s="6" t="s">
        <v>6935</v>
      </c>
      <c r="M463" s="108" t="s">
        <v>6936</v>
      </c>
      <c r="N463" s="13" t="s">
        <v>4528</v>
      </c>
      <c r="O463" s="13" t="s">
        <v>2146</v>
      </c>
      <c r="P463" s="13" t="s">
        <v>68</v>
      </c>
      <c r="Q463" s="6" t="s">
        <v>3780</v>
      </c>
      <c r="R463" s="6" t="s">
        <v>1438</v>
      </c>
      <c r="S463" s="17"/>
      <c r="T463" s="13">
        <v>14</v>
      </c>
      <c r="U463" s="13">
        <v>11</v>
      </c>
      <c r="V463" s="13" t="s">
        <v>6937</v>
      </c>
      <c r="W463" s="13" t="s">
        <v>3781</v>
      </c>
      <c r="X463" s="132">
        <v>460</v>
      </c>
      <c r="Y463" s="6"/>
    </row>
    <row r="464" spans="1:25" ht="15" customHeight="1" x14ac:dyDescent="0.2">
      <c r="A464" s="12" t="s">
        <v>1439</v>
      </c>
      <c r="B464" s="13" t="s">
        <v>4978</v>
      </c>
      <c r="C464" s="74">
        <v>46826</v>
      </c>
      <c r="D464" s="13" t="s">
        <v>33</v>
      </c>
      <c r="E464" s="6" t="s">
        <v>6998</v>
      </c>
      <c r="G464" s="6" t="s">
        <v>1441</v>
      </c>
      <c r="H464" s="6" t="s">
        <v>1441</v>
      </c>
      <c r="I464" s="13" t="s">
        <v>25</v>
      </c>
      <c r="J464" s="13">
        <v>3</v>
      </c>
      <c r="K464" s="13" t="s">
        <v>1714</v>
      </c>
      <c r="L464" s="6" t="s">
        <v>6999</v>
      </c>
      <c r="M464" s="108" t="s">
        <v>7000</v>
      </c>
      <c r="N464" s="13" t="s">
        <v>7001</v>
      </c>
      <c r="O464" s="13" t="s">
        <v>1847</v>
      </c>
      <c r="P464" s="13" t="s">
        <v>68</v>
      </c>
      <c r="Q464" s="6" t="s">
        <v>7002</v>
      </c>
      <c r="R464" s="6" t="s">
        <v>1442</v>
      </c>
      <c r="S464" s="17"/>
      <c r="T464" s="13">
        <v>21</v>
      </c>
      <c r="U464" s="13">
        <v>20</v>
      </c>
      <c r="V464" s="13" t="s">
        <v>7606</v>
      </c>
      <c r="X464" s="132">
        <v>461</v>
      </c>
      <c r="Y464" s="6"/>
    </row>
    <row r="465" spans="1:25" ht="15" customHeight="1" x14ac:dyDescent="0.2">
      <c r="A465" s="12" t="s">
        <v>1443</v>
      </c>
      <c r="B465" s="13" t="s">
        <v>4978</v>
      </c>
      <c r="C465" s="74">
        <v>46932</v>
      </c>
      <c r="D465" s="13" t="s">
        <v>33</v>
      </c>
      <c r="E465" s="6" t="s">
        <v>1444</v>
      </c>
      <c r="F465" s="15" t="s">
        <v>7569</v>
      </c>
      <c r="G465" s="6" t="s">
        <v>1445</v>
      </c>
      <c r="H465" s="6" t="s">
        <v>1445</v>
      </c>
      <c r="I465" s="13" t="s">
        <v>25</v>
      </c>
      <c r="J465" s="13">
        <v>3</v>
      </c>
      <c r="K465" s="13" t="s">
        <v>1714</v>
      </c>
      <c r="L465" s="6" t="s">
        <v>7570</v>
      </c>
      <c r="M465" s="108" t="s">
        <v>7571</v>
      </c>
      <c r="N465" s="13" t="s">
        <v>2667</v>
      </c>
      <c r="O465" s="13" t="s">
        <v>177</v>
      </c>
      <c r="P465" s="13" t="s">
        <v>9</v>
      </c>
      <c r="Q465" s="6" t="s">
        <v>7572</v>
      </c>
      <c r="R465" s="6" t="s">
        <v>1446</v>
      </c>
      <c r="S465" s="25" t="s">
        <v>7573</v>
      </c>
      <c r="T465" s="13">
        <v>48</v>
      </c>
      <c r="U465" s="13">
        <v>32</v>
      </c>
      <c r="V465" s="13" t="s">
        <v>7574</v>
      </c>
      <c r="X465" s="132">
        <v>462</v>
      </c>
      <c r="Y465" s="6"/>
    </row>
    <row r="466" spans="1:25" ht="15" customHeight="1" x14ac:dyDescent="0.2">
      <c r="A466" s="12" t="s">
        <v>1447</v>
      </c>
      <c r="B466" s="13" t="s">
        <v>4978</v>
      </c>
      <c r="C466" s="74" t="s">
        <v>6469</v>
      </c>
      <c r="D466" s="13" t="s">
        <v>33</v>
      </c>
      <c r="E466" s="6" t="s">
        <v>1448</v>
      </c>
      <c r="F466" s="15" t="s">
        <v>11799</v>
      </c>
      <c r="G466" s="6" t="s">
        <v>1449</v>
      </c>
      <c r="H466" s="6" t="s">
        <v>1449</v>
      </c>
      <c r="I466" s="13" t="s">
        <v>25</v>
      </c>
      <c r="J466" s="13">
        <v>3</v>
      </c>
      <c r="K466" s="13" t="s">
        <v>1714</v>
      </c>
      <c r="L466" s="6" t="s">
        <v>6352</v>
      </c>
      <c r="M466" s="108" t="s">
        <v>6353</v>
      </c>
      <c r="N466" s="13" t="s">
        <v>6354</v>
      </c>
      <c r="O466" s="13" t="s">
        <v>2146</v>
      </c>
      <c r="P466" s="13" t="s">
        <v>68</v>
      </c>
      <c r="Q466" s="6" t="s">
        <v>6355</v>
      </c>
      <c r="R466" s="6" t="s">
        <v>1450</v>
      </c>
      <c r="S466" s="17" t="s">
        <v>6639</v>
      </c>
      <c r="T466" s="13">
        <v>31</v>
      </c>
      <c r="U466" s="13">
        <v>29</v>
      </c>
      <c r="V466" s="13" t="s">
        <v>6356</v>
      </c>
      <c r="X466" s="132">
        <v>463</v>
      </c>
      <c r="Y466" s="6"/>
    </row>
    <row r="467" spans="1:25" ht="15" customHeight="1" x14ac:dyDescent="0.2">
      <c r="A467" s="12" t="s">
        <v>1451</v>
      </c>
      <c r="B467" s="13" t="s">
        <v>4978</v>
      </c>
      <c r="C467" s="74">
        <v>46742</v>
      </c>
      <c r="D467" s="13" t="s">
        <v>33</v>
      </c>
      <c r="E467" s="6" t="s">
        <v>1452</v>
      </c>
      <c r="F467" s="15" t="s">
        <v>6578</v>
      </c>
      <c r="G467" s="6" t="s">
        <v>1453</v>
      </c>
      <c r="H467" s="6" t="s">
        <v>1453</v>
      </c>
      <c r="I467" s="13" t="s">
        <v>25</v>
      </c>
      <c r="J467" s="13">
        <v>3</v>
      </c>
      <c r="K467" s="13" t="s">
        <v>1714</v>
      </c>
      <c r="L467" s="6" t="s">
        <v>6579</v>
      </c>
      <c r="M467" s="108" t="s">
        <v>6580</v>
      </c>
      <c r="N467" s="13" t="s">
        <v>3244</v>
      </c>
      <c r="O467" s="13" t="s">
        <v>1847</v>
      </c>
      <c r="P467" s="13" t="s">
        <v>68</v>
      </c>
      <c r="Q467" s="6" t="s">
        <v>6581</v>
      </c>
      <c r="R467" s="6" t="s">
        <v>1454</v>
      </c>
      <c r="S467" s="17" t="s">
        <v>6634</v>
      </c>
      <c r="T467" s="13">
        <v>14</v>
      </c>
      <c r="U467" s="13">
        <v>13</v>
      </c>
      <c r="V467" s="13" t="s">
        <v>6582</v>
      </c>
      <c r="X467" s="132">
        <v>464</v>
      </c>
      <c r="Y467" s="6"/>
    </row>
    <row r="468" spans="1:25" ht="15" customHeight="1" x14ac:dyDescent="0.2">
      <c r="A468" s="12" t="s">
        <v>1455</v>
      </c>
      <c r="B468" s="13" t="s">
        <v>4978</v>
      </c>
      <c r="C468" s="74">
        <v>46238</v>
      </c>
      <c r="D468" s="13" t="s">
        <v>33</v>
      </c>
      <c r="E468" s="6" t="s">
        <v>1456</v>
      </c>
      <c r="F468" s="15" t="s">
        <v>11800</v>
      </c>
      <c r="G468" s="6" t="s">
        <v>1457</v>
      </c>
      <c r="I468" s="13" t="s">
        <v>25</v>
      </c>
      <c r="J468" s="13">
        <v>3</v>
      </c>
      <c r="K468" s="13" t="s">
        <v>1714</v>
      </c>
      <c r="L468" s="6" t="s">
        <v>4203</v>
      </c>
      <c r="M468" s="108" t="s">
        <v>4204</v>
      </c>
      <c r="N468" s="13" t="s">
        <v>4205</v>
      </c>
      <c r="O468" s="13" t="s">
        <v>1847</v>
      </c>
      <c r="P468" s="13" t="s">
        <v>68</v>
      </c>
      <c r="Q468" s="6" t="s">
        <v>4206</v>
      </c>
      <c r="R468" s="6" t="s">
        <v>1442</v>
      </c>
      <c r="S468" s="17" t="s">
        <v>6634</v>
      </c>
      <c r="T468" s="13">
        <v>20</v>
      </c>
      <c r="U468" s="13">
        <v>13</v>
      </c>
      <c r="V468" s="13" t="s">
        <v>4207</v>
      </c>
      <c r="X468" s="132">
        <v>465</v>
      </c>
      <c r="Y468" s="6"/>
    </row>
    <row r="469" spans="1:25" ht="15" customHeight="1" x14ac:dyDescent="0.2">
      <c r="A469" s="12" t="s">
        <v>1458</v>
      </c>
      <c r="B469" s="13" t="s">
        <v>4978</v>
      </c>
      <c r="C469" s="74">
        <v>47406</v>
      </c>
      <c r="D469" s="13" t="s">
        <v>33</v>
      </c>
      <c r="E469" s="6" t="s">
        <v>1459</v>
      </c>
      <c r="F469" s="15" t="s">
        <v>10575</v>
      </c>
      <c r="G469" s="6" t="s">
        <v>1460</v>
      </c>
      <c r="H469" s="6" t="s">
        <v>1460</v>
      </c>
      <c r="I469" s="13" t="s">
        <v>25</v>
      </c>
      <c r="J469" s="13">
        <v>3</v>
      </c>
      <c r="K469" s="13" t="s">
        <v>1714</v>
      </c>
      <c r="L469" s="6" t="s">
        <v>5606</v>
      </c>
      <c r="M469" s="108" t="s">
        <v>6541</v>
      </c>
      <c r="N469" s="13" t="s">
        <v>2235</v>
      </c>
      <c r="O469" s="13" t="s">
        <v>2146</v>
      </c>
      <c r="P469" s="13" t="s">
        <v>68</v>
      </c>
      <c r="Q469" s="6" t="s">
        <v>5607</v>
      </c>
      <c r="R469" s="17" t="s">
        <v>5608</v>
      </c>
      <c r="S469" s="17"/>
      <c r="T469" s="13">
        <v>13</v>
      </c>
      <c r="U469" s="13">
        <v>10</v>
      </c>
      <c r="V469" s="6" t="s">
        <v>5609</v>
      </c>
      <c r="X469" s="132">
        <v>466</v>
      </c>
      <c r="Y469" s="6"/>
    </row>
    <row r="470" spans="1:25" ht="15" customHeight="1" x14ac:dyDescent="0.2">
      <c r="A470" s="12" t="s">
        <v>1461</v>
      </c>
      <c r="B470" s="13" t="s">
        <v>4978</v>
      </c>
      <c r="C470" s="74">
        <v>46917</v>
      </c>
      <c r="D470" s="13" t="s">
        <v>33</v>
      </c>
      <c r="E470" s="6" t="s">
        <v>1462</v>
      </c>
      <c r="G470" s="6" t="s">
        <v>1463</v>
      </c>
      <c r="I470" s="13" t="s">
        <v>25</v>
      </c>
      <c r="J470" s="13">
        <v>3</v>
      </c>
      <c r="K470" s="13" t="s">
        <v>1714</v>
      </c>
      <c r="L470" s="6" t="s">
        <v>7487</v>
      </c>
      <c r="M470" s="108" t="s">
        <v>4738</v>
      </c>
      <c r="N470" s="13" t="s">
        <v>2486</v>
      </c>
      <c r="O470" s="13" t="s">
        <v>61</v>
      </c>
      <c r="P470" s="13" t="s">
        <v>9</v>
      </c>
      <c r="Q470" s="6" t="s">
        <v>7488</v>
      </c>
      <c r="R470" s="6" t="s">
        <v>399</v>
      </c>
      <c r="S470" s="17"/>
      <c r="T470" s="13">
        <v>28</v>
      </c>
      <c r="U470" s="13">
        <v>21</v>
      </c>
      <c r="V470" s="13" t="s">
        <v>7489</v>
      </c>
      <c r="X470" s="132">
        <v>467</v>
      </c>
      <c r="Y470" s="6"/>
    </row>
    <row r="471" spans="1:25" ht="15" customHeight="1" x14ac:dyDescent="0.2">
      <c r="A471" s="20" t="s">
        <v>1464</v>
      </c>
      <c r="B471" s="22" t="s">
        <v>2608</v>
      </c>
      <c r="C471" s="14">
        <v>45684</v>
      </c>
      <c r="D471" s="13" t="s">
        <v>1533</v>
      </c>
      <c r="E471" s="6" t="s">
        <v>1465</v>
      </c>
      <c r="F471" s="15" t="s">
        <v>11801</v>
      </c>
      <c r="G471" s="6" t="s">
        <v>1466</v>
      </c>
      <c r="H471" s="6" t="s">
        <v>1466</v>
      </c>
      <c r="I471" s="13" t="s">
        <v>39</v>
      </c>
      <c r="J471" s="13">
        <v>12</v>
      </c>
      <c r="K471" s="13" t="s">
        <v>1714</v>
      </c>
      <c r="L471" s="6" t="s">
        <v>4922</v>
      </c>
      <c r="M471" s="108" t="s">
        <v>4923</v>
      </c>
      <c r="N471" s="13" t="s">
        <v>2925</v>
      </c>
      <c r="O471" s="13" t="s">
        <v>53</v>
      </c>
      <c r="P471" s="13" t="s">
        <v>54</v>
      </c>
      <c r="Q471" s="6" t="s">
        <v>4924</v>
      </c>
      <c r="R471" s="6" t="s">
        <v>1467</v>
      </c>
      <c r="S471" s="6" t="s">
        <v>4925</v>
      </c>
      <c r="T471" s="13">
        <v>833</v>
      </c>
      <c r="U471" s="13">
        <v>833</v>
      </c>
      <c r="V471" s="13" t="s">
        <v>4926</v>
      </c>
      <c r="X471" s="132">
        <v>468</v>
      </c>
      <c r="Y471" s="6"/>
    </row>
    <row r="472" spans="1:25" ht="15" customHeight="1" x14ac:dyDescent="0.2">
      <c r="A472" s="12" t="s">
        <v>1468</v>
      </c>
      <c r="B472" s="13" t="s">
        <v>4978</v>
      </c>
      <c r="C472" s="74" t="s">
        <v>6469</v>
      </c>
      <c r="D472" s="13" t="s">
        <v>33</v>
      </c>
      <c r="E472" s="6" t="s">
        <v>1469</v>
      </c>
      <c r="F472" s="15" t="s">
        <v>6459</v>
      </c>
      <c r="G472" s="6" t="s">
        <v>1470</v>
      </c>
      <c r="H472" s="6" t="s">
        <v>1470</v>
      </c>
      <c r="I472" s="13" t="s">
        <v>25</v>
      </c>
      <c r="J472" s="13">
        <v>3</v>
      </c>
      <c r="K472" s="13" t="s">
        <v>1714</v>
      </c>
      <c r="L472" s="6" t="s">
        <v>6460</v>
      </c>
      <c r="M472" s="108" t="s">
        <v>6461</v>
      </c>
      <c r="N472" s="13" t="s">
        <v>2654</v>
      </c>
      <c r="O472" s="13" t="s">
        <v>36</v>
      </c>
      <c r="P472" s="13" t="s">
        <v>4</v>
      </c>
      <c r="Q472" s="6" t="s">
        <v>6462</v>
      </c>
      <c r="R472" s="6" t="s">
        <v>1471</v>
      </c>
      <c r="S472" s="17" t="s">
        <v>6463</v>
      </c>
      <c r="T472" s="13">
        <v>25</v>
      </c>
      <c r="U472" s="13">
        <v>22</v>
      </c>
      <c r="V472" s="13" t="s">
        <v>6326</v>
      </c>
      <c r="X472" s="132">
        <v>469</v>
      </c>
      <c r="Y472" s="6"/>
    </row>
    <row r="473" spans="1:25" ht="15" customHeight="1" thickBot="1" x14ac:dyDescent="0.25">
      <c r="A473" s="12" t="s">
        <v>1472</v>
      </c>
      <c r="B473" s="24" t="s">
        <v>4978</v>
      </c>
      <c r="C473" s="14">
        <v>47642</v>
      </c>
      <c r="D473" s="13" t="s">
        <v>33</v>
      </c>
      <c r="E473" s="6" t="s">
        <v>1473</v>
      </c>
      <c r="F473" s="15" t="s">
        <v>7232</v>
      </c>
      <c r="G473" s="6" t="s">
        <v>1474</v>
      </c>
      <c r="H473" s="6" t="s">
        <v>1474</v>
      </c>
      <c r="I473" s="13" t="s">
        <v>25</v>
      </c>
      <c r="J473" s="13">
        <v>3</v>
      </c>
      <c r="K473" s="13" t="s">
        <v>1714</v>
      </c>
      <c r="L473" s="6" t="s">
        <v>7233</v>
      </c>
      <c r="M473" s="108" t="s">
        <v>2469</v>
      </c>
      <c r="N473" s="13" t="s">
        <v>136</v>
      </c>
      <c r="O473" s="13" t="s">
        <v>136</v>
      </c>
      <c r="P473" s="13" t="s">
        <v>4</v>
      </c>
      <c r="Q473" s="6" t="s">
        <v>7234</v>
      </c>
      <c r="R473" s="6" t="s">
        <v>1475</v>
      </c>
      <c r="S473" s="17" t="s">
        <v>11992</v>
      </c>
      <c r="T473" s="13">
        <v>36</v>
      </c>
      <c r="U473" s="13">
        <v>36</v>
      </c>
      <c r="V473" s="13" t="s">
        <v>7235</v>
      </c>
      <c r="X473" s="132">
        <v>470</v>
      </c>
      <c r="Y473" s="6"/>
    </row>
    <row r="474" spans="1:25" ht="15" customHeight="1" thickBot="1" x14ac:dyDescent="0.3">
      <c r="A474" s="12" t="s">
        <v>1476</v>
      </c>
      <c r="B474" s="13" t="s">
        <v>4978</v>
      </c>
      <c r="C474" s="74">
        <v>47148</v>
      </c>
      <c r="D474" s="13" t="s">
        <v>33</v>
      </c>
      <c r="E474" s="6" t="s">
        <v>9151</v>
      </c>
      <c r="F474" s="15" t="s">
        <v>9152</v>
      </c>
      <c r="G474" s="6" t="s">
        <v>9096</v>
      </c>
      <c r="H474" s="6" t="s">
        <v>9096</v>
      </c>
      <c r="I474" s="13" t="s">
        <v>25</v>
      </c>
      <c r="J474" s="13">
        <v>3</v>
      </c>
      <c r="K474" s="13" t="s">
        <v>1714</v>
      </c>
      <c r="L474" s="6" t="s">
        <v>9097</v>
      </c>
      <c r="M474" s="108" t="s">
        <v>9098</v>
      </c>
      <c r="N474" s="13" t="s">
        <v>9099</v>
      </c>
      <c r="O474" s="13" t="s">
        <v>61</v>
      </c>
      <c r="P474" s="13" t="s">
        <v>9</v>
      </c>
      <c r="Q474" s="130" t="s">
        <v>7617</v>
      </c>
      <c r="R474" s="131" t="s">
        <v>9100</v>
      </c>
      <c r="S474" s="69" t="s">
        <v>9101</v>
      </c>
      <c r="T474" s="13">
        <v>15</v>
      </c>
      <c r="U474" s="13">
        <v>12</v>
      </c>
      <c r="V474" s="13" t="s">
        <v>9102</v>
      </c>
      <c r="X474" s="132">
        <v>471</v>
      </c>
      <c r="Y474" s="6"/>
    </row>
    <row r="475" spans="1:25" ht="15" customHeight="1" x14ac:dyDescent="0.2">
      <c r="A475" s="20" t="s">
        <v>1478</v>
      </c>
      <c r="B475" s="22" t="s">
        <v>2608</v>
      </c>
      <c r="C475" s="14">
        <v>45340</v>
      </c>
      <c r="D475" s="13" t="s">
        <v>33</v>
      </c>
      <c r="E475" s="6" t="s">
        <v>1479</v>
      </c>
      <c r="I475" s="13" t="s">
        <v>7931</v>
      </c>
      <c r="J475" s="13">
        <v>4</v>
      </c>
      <c r="K475" s="13"/>
      <c r="L475" s="6"/>
      <c r="M475" s="108"/>
      <c r="Q475" s="6"/>
      <c r="T475" s="13"/>
      <c r="U475" s="13"/>
      <c r="V475" s="13"/>
      <c r="X475" s="132">
        <v>472</v>
      </c>
      <c r="Y475" s="6"/>
    </row>
    <row r="476" spans="1:25" ht="15" customHeight="1" x14ac:dyDescent="0.2">
      <c r="A476" s="20" t="s">
        <v>1480</v>
      </c>
      <c r="B476" s="22" t="s">
        <v>2608</v>
      </c>
      <c r="C476" s="14">
        <v>44610</v>
      </c>
      <c r="D476" s="13" t="s">
        <v>33</v>
      </c>
      <c r="E476" s="6" t="s">
        <v>1481</v>
      </c>
      <c r="F476" s="15" t="s">
        <v>11802</v>
      </c>
      <c r="G476" s="6" t="s">
        <v>1482</v>
      </c>
      <c r="I476" s="13" t="s">
        <v>25</v>
      </c>
      <c r="J476" s="13">
        <v>3</v>
      </c>
      <c r="K476" s="13" t="s">
        <v>1714</v>
      </c>
      <c r="L476" s="6"/>
      <c r="M476" s="108"/>
      <c r="O476" s="13" t="s">
        <v>36</v>
      </c>
      <c r="P476" s="13" t="s">
        <v>4</v>
      </c>
      <c r="Q476" s="6"/>
      <c r="T476" s="13"/>
      <c r="U476" s="13"/>
      <c r="V476" s="13"/>
      <c r="X476" s="132">
        <v>473</v>
      </c>
      <c r="Y476" s="6"/>
    </row>
    <row r="477" spans="1:25" ht="15" customHeight="1" x14ac:dyDescent="0.25">
      <c r="A477" s="12" t="s">
        <v>11333</v>
      </c>
      <c r="B477" s="13" t="s">
        <v>4978</v>
      </c>
      <c r="C477" s="74">
        <v>47552</v>
      </c>
      <c r="D477" s="13" t="s">
        <v>33</v>
      </c>
      <c r="E477" s="6" t="s">
        <v>1484</v>
      </c>
      <c r="F477" s="15" t="s">
        <v>11330</v>
      </c>
      <c r="G477" s="6" t="s">
        <v>1485</v>
      </c>
      <c r="H477" s="6" t="s">
        <v>1485</v>
      </c>
      <c r="I477" s="13" t="s">
        <v>25</v>
      </c>
      <c r="J477" s="13">
        <v>3</v>
      </c>
      <c r="K477" s="13" t="s">
        <v>1714</v>
      </c>
      <c r="L477" s="6" t="s">
        <v>3753</v>
      </c>
      <c r="M477" s="108" t="s">
        <v>11331</v>
      </c>
      <c r="N477" s="13" t="s">
        <v>2161</v>
      </c>
      <c r="O477" s="13" t="s">
        <v>2146</v>
      </c>
      <c r="P477" s="13" t="s">
        <v>68</v>
      </c>
      <c r="Q477" s="6" t="s">
        <v>11332</v>
      </c>
      <c r="R477" s="17" t="s">
        <v>3754</v>
      </c>
      <c r="S477" s="69" t="s">
        <v>11292</v>
      </c>
      <c r="T477" s="13">
        <v>38</v>
      </c>
      <c r="U477" s="13">
        <v>36</v>
      </c>
      <c r="V477" s="13" t="s">
        <v>3755</v>
      </c>
      <c r="X477" s="132">
        <v>474</v>
      </c>
      <c r="Y477" s="6"/>
    </row>
    <row r="478" spans="1:25" ht="15" customHeight="1" x14ac:dyDescent="0.25">
      <c r="A478" s="12" t="s">
        <v>11287</v>
      </c>
      <c r="B478" s="79" t="s">
        <v>4977</v>
      </c>
      <c r="C478" s="80">
        <v>46822</v>
      </c>
      <c r="D478" s="79" t="s">
        <v>33</v>
      </c>
      <c r="E478" s="81" t="s">
        <v>1484</v>
      </c>
      <c r="F478" s="15" t="s">
        <v>11293</v>
      </c>
      <c r="G478" s="81" t="s">
        <v>11288</v>
      </c>
      <c r="H478" s="81" t="s">
        <v>11288</v>
      </c>
      <c r="I478" s="79" t="s">
        <v>25</v>
      </c>
      <c r="J478" s="79">
        <v>3</v>
      </c>
      <c r="K478" s="79" t="s">
        <v>1714</v>
      </c>
      <c r="L478" s="81" t="s">
        <v>11289</v>
      </c>
      <c r="M478" s="109" t="s">
        <v>11290</v>
      </c>
      <c r="N478" s="79" t="s">
        <v>2130</v>
      </c>
      <c r="O478" s="13" t="s">
        <v>1889</v>
      </c>
      <c r="P478" s="13" t="s">
        <v>68</v>
      </c>
      <c r="Q478" s="81" t="s">
        <v>11291</v>
      </c>
      <c r="R478" s="69" t="s">
        <v>3754</v>
      </c>
      <c r="S478" s="69" t="s">
        <v>11292</v>
      </c>
      <c r="T478" s="85">
        <v>37</v>
      </c>
      <c r="U478" s="85">
        <v>0</v>
      </c>
      <c r="V478" s="79" t="s">
        <v>3755</v>
      </c>
      <c r="W478" s="81"/>
      <c r="X478" s="132">
        <v>475</v>
      </c>
      <c r="Y478" s="6"/>
    </row>
    <row r="479" spans="1:25" ht="15" customHeight="1" x14ac:dyDescent="0.2">
      <c r="A479" s="12" t="s">
        <v>1486</v>
      </c>
      <c r="B479" s="13" t="s">
        <v>4978</v>
      </c>
      <c r="C479" s="74">
        <v>46505</v>
      </c>
      <c r="D479" s="13" t="s">
        <v>33</v>
      </c>
      <c r="E479" s="6" t="s">
        <v>1487</v>
      </c>
      <c r="F479" s="15" t="s">
        <v>11803</v>
      </c>
      <c r="G479" s="6" t="s">
        <v>1488</v>
      </c>
      <c r="H479" s="6" t="s">
        <v>1488</v>
      </c>
      <c r="I479" s="13" t="s">
        <v>25</v>
      </c>
      <c r="J479" s="13">
        <v>3</v>
      </c>
      <c r="K479" s="13" t="s">
        <v>1714</v>
      </c>
      <c r="L479" s="6" t="s">
        <v>5180</v>
      </c>
      <c r="M479" s="108" t="s">
        <v>2761</v>
      </c>
      <c r="N479" s="13" t="s">
        <v>5181</v>
      </c>
      <c r="O479" s="13" t="s">
        <v>2146</v>
      </c>
      <c r="P479" s="13" t="s">
        <v>68</v>
      </c>
      <c r="Q479" s="6" t="s">
        <v>5182</v>
      </c>
      <c r="R479" s="6" t="s">
        <v>5183</v>
      </c>
      <c r="S479" s="17" t="s">
        <v>6634</v>
      </c>
      <c r="T479" s="13">
        <v>15</v>
      </c>
      <c r="U479" s="13">
        <v>11</v>
      </c>
      <c r="V479" s="13" t="s">
        <v>5184</v>
      </c>
      <c r="X479" s="132">
        <v>476</v>
      </c>
      <c r="Y479" s="6"/>
    </row>
    <row r="480" spans="1:25" ht="15" customHeight="1" x14ac:dyDescent="0.2">
      <c r="A480" s="12" t="s">
        <v>1489</v>
      </c>
      <c r="B480" s="13" t="s">
        <v>4978</v>
      </c>
      <c r="C480" s="74">
        <v>47194</v>
      </c>
      <c r="D480" s="13" t="s">
        <v>33</v>
      </c>
      <c r="E480" s="6" t="s">
        <v>1490</v>
      </c>
      <c r="F480" s="15" t="s">
        <v>9540</v>
      </c>
      <c r="G480" s="6" t="s">
        <v>1491</v>
      </c>
      <c r="H480" s="6" t="s">
        <v>1491</v>
      </c>
      <c r="I480" s="13" t="s">
        <v>25</v>
      </c>
      <c r="J480" s="13">
        <v>3</v>
      </c>
      <c r="K480" s="13" t="s">
        <v>1714</v>
      </c>
      <c r="L480" s="6" t="s">
        <v>9541</v>
      </c>
      <c r="M480" s="108" t="s">
        <v>7571</v>
      </c>
      <c r="N480" s="13" t="s">
        <v>2667</v>
      </c>
      <c r="O480" s="13" t="s">
        <v>177</v>
      </c>
      <c r="P480" s="13" t="s">
        <v>9</v>
      </c>
      <c r="Q480" s="6" t="s">
        <v>7572</v>
      </c>
      <c r="R480" s="6" t="s">
        <v>1446</v>
      </c>
      <c r="S480" s="17"/>
      <c r="T480" s="13">
        <v>13</v>
      </c>
      <c r="U480" s="13">
        <v>11</v>
      </c>
      <c r="V480" s="13" t="s">
        <v>9542</v>
      </c>
      <c r="X480" s="132">
        <v>477</v>
      </c>
      <c r="Y480" s="6"/>
    </row>
    <row r="481" spans="1:25" ht="15" customHeight="1" x14ac:dyDescent="0.2">
      <c r="A481" s="12" t="s">
        <v>1492</v>
      </c>
      <c r="B481" s="13" t="s">
        <v>4978</v>
      </c>
      <c r="C481" s="74">
        <v>46320</v>
      </c>
      <c r="D481" s="13" t="s">
        <v>33</v>
      </c>
      <c r="E481" s="6" t="s">
        <v>4391</v>
      </c>
      <c r="F481" s="15" t="s">
        <v>11804</v>
      </c>
      <c r="G481" s="6" t="s">
        <v>1494</v>
      </c>
      <c r="I481" s="13" t="s">
        <v>25</v>
      </c>
      <c r="J481" s="13">
        <v>3</v>
      </c>
      <c r="K481" s="13" t="s">
        <v>1714</v>
      </c>
      <c r="L481" s="6" t="s">
        <v>4392</v>
      </c>
      <c r="M481" s="108" t="s">
        <v>4393</v>
      </c>
      <c r="N481" s="13" t="s">
        <v>2747</v>
      </c>
      <c r="O481" s="13" t="s">
        <v>2146</v>
      </c>
      <c r="P481" s="13" t="s">
        <v>68</v>
      </c>
      <c r="Q481" s="6" t="s">
        <v>4394</v>
      </c>
      <c r="R481" s="6" t="s">
        <v>1495</v>
      </c>
      <c r="S481" s="17" t="s">
        <v>4395</v>
      </c>
      <c r="T481" s="13">
        <v>34</v>
      </c>
      <c r="U481" s="13">
        <v>27</v>
      </c>
      <c r="V481" s="13" t="s">
        <v>4396</v>
      </c>
      <c r="X481" s="132">
        <v>478</v>
      </c>
      <c r="Y481" s="6"/>
    </row>
    <row r="482" spans="1:25" ht="15" customHeight="1" x14ac:dyDescent="0.2">
      <c r="A482" s="12" t="s">
        <v>1496</v>
      </c>
      <c r="B482" s="13" t="s">
        <v>4978</v>
      </c>
      <c r="C482" s="74">
        <v>46385</v>
      </c>
      <c r="D482" s="13" t="s">
        <v>33</v>
      </c>
      <c r="E482" s="6" t="s">
        <v>4843</v>
      </c>
      <c r="F482" s="15" t="s">
        <v>11805</v>
      </c>
      <c r="G482" s="6" t="s">
        <v>1498</v>
      </c>
      <c r="I482" s="13" t="s">
        <v>25</v>
      </c>
      <c r="J482" s="13">
        <v>3</v>
      </c>
      <c r="K482" s="13" t="s">
        <v>1714</v>
      </c>
      <c r="L482" s="6" t="s">
        <v>4844</v>
      </c>
      <c r="M482" s="108" t="s">
        <v>4845</v>
      </c>
      <c r="N482" s="13" t="s">
        <v>8</v>
      </c>
      <c r="O482" s="13" t="s">
        <v>8</v>
      </c>
      <c r="P482" s="13" t="s">
        <v>9</v>
      </c>
      <c r="Q482" s="6" t="s">
        <v>4846</v>
      </c>
      <c r="R482" s="17" t="s">
        <v>4847</v>
      </c>
      <c r="S482" s="17" t="s">
        <v>4848</v>
      </c>
      <c r="T482" s="13">
        <v>32</v>
      </c>
      <c r="U482" s="13">
        <v>26</v>
      </c>
      <c r="V482" s="13" t="s">
        <v>4842</v>
      </c>
      <c r="X482" s="132">
        <v>479</v>
      </c>
      <c r="Y482" s="6"/>
    </row>
    <row r="483" spans="1:25" ht="15" customHeight="1" x14ac:dyDescent="0.2">
      <c r="A483" s="12" t="s">
        <v>1499</v>
      </c>
      <c r="B483" s="13" t="s">
        <v>4978</v>
      </c>
      <c r="C483" s="74">
        <v>46385</v>
      </c>
      <c r="D483" s="13" t="s">
        <v>33</v>
      </c>
      <c r="E483" s="6" t="s">
        <v>4843</v>
      </c>
      <c r="F483" s="15" t="s">
        <v>11806</v>
      </c>
      <c r="G483" s="6" t="s">
        <v>4849</v>
      </c>
      <c r="I483" s="13" t="s">
        <v>25</v>
      </c>
      <c r="J483" s="13">
        <v>3</v>
      </c>
      <c r="K483" s="13" t="s">
        <v>1714</v>
      </c>
      <c r="L483" s="6" t="s">
        <v>4850</v>
      </c>
      <c r="M483" s="108" t="s">
        <v>4851</v>
      </c>
      <c r="N483" s="13" t="s">
        <v>8</v>
      </c>
      <c r="O483" s="13" t="s">
        <v>8</v>
      </c>
      <c r="P483" s="13" t="s">
        <v>9</v>
      </c>
      <c r="Q483" s="6" t="s">
        <v>4846</v>
      </c>
      <c r="R483" s="17" t="s">
        <v>4847</v>
      </c>
      <c r="S483" s="17" t="s">
        <v>4848</v>
      </c>
      <c r="T483" s="13">
        <v>33</v>
      </c>
      <c r="U483" s="13">
        <v>25</v>
      </c>
      <c r="V483" s="13" t="s">
        <v>4842</v>
      </c>
      <c r="X483" s="132">
        <v>480</v>
      </c>
      <c r="Y483" s="6"/>
    </row>
    <row r="484" spans="1:25" ht="15" customHeight="1" x14ac:dyDescent="0.2">
      <c r="A484" s="12" t="s">
        <v>3693</v>
      </c>
      <c r="B484" s="13" t="s">
        <v>4978</v>
      </c>
      <c r="C484" s="74">
        <v>46385</v>
      </c>
      <c r="D484" s="13" t="s">
        <v>33</v>
      </c>
      <c r="E484" s="6" t="s">
        <v>4843</v>
      </c>
      <c r="F484" s="15" t="s">
        <v>11807</v>
      </c>
      <c r="G484" s="6" t="s">
        <v>4852</v>
      </c>
      <c r="I484" s="13" t="s">
        <v>25</v>
      </c>
      <c r="J484" s="13">
        <v>3</v>
      </c>
      <c r="K484" s="13" t="s">
        <v>1714</v>
      </c>
      <c r="L484" s="6" t="s">
        <v>4853</v>
      </c>
      <c r="M484" s="108" t="s">
        <v>4854</v>
      </c>
      <c r="N484" s="13" t="s">
        <v>8</v>
      </c>
      <c r="O484" s="13" t="s">
        <v>8</v>
      </c>
      <c r="P484" s="13" t="s">
        <v>9</v>
      </c>
      <c r="Q484" s="6" t="s">
        <v>4846</v>
      </c>
      <c r="R484" s="17" t="s">
        <v>4847</v>
      </c>
      <c r="S484" s="17" t="s">
        <v>4848</v>
      </c>
      <c r="T484" s="13">
        <v>33</v>
      </c>
      <c r="U484" s="13">
        <v>32</v>
      </c>
      <c r="V484" s="13" t="s">
        <v>4842</v>
      </c>
      <c r="X484" s="132">
        <v>481</v>
      </c>
      <c r="Y484" s="6"/>
    </row>
    <row r="485" spans="1:25" ht="15" customHeight="1" x14ac:dyDescent="0.2">
      <c r="A485" s="20" t="s">
        <v>1501</v>
      </c>
      <c r="B485" s="22" t="s">
        <v>2608</v>
      </c>
      <c r="C485" s="14">
        <v>45361</v>
      </c>
      <c r="D485" s="13" t="s">
        <v>1533</v>
      </c>
      <c r="E485" s="6" t="s">
        <v>1502</v>
      </c>
      <c r="F485" s="15" t="s">
        <v>11808</v>
      </c>
      <c r="G485" s="6" t="s">
        <v>1503</v>
      </c>
      <c r="I485" s="13" t="s">
        <v>39</v>
      </c>
      <c r="J485" s="13">
        <v>12</v>
      </c>
      <c r="K485" s="13"/>
      <c r="L485" s="39" t="s">
        <v>7633</v>
      </c>
      <c r="M485" s="108" t="s">
        <v>7634</v>
      </c>
      <c r="N485" s="13" t="s">
        <v>6723</v>
      </c>
      <c r="O485" s="13" t="s">
        <v>8</v>
      </c>
      <c r="P485" s="13" t="s">
        <v>9</v>
      </c>
      <c r="Q485" s="39" t="s">
        <v>7635</v>
      </c>
      <c r="R485" s="17" t="s">
        <v>3630</v>
      </c>
      <c r="S485" s="17" t="s">
        <v>3631</v>
      </c>
      <c r="T485" s="18">
        <v>310</v>
      </c>
      <c r="U485" s="18">
        <v>310</v>
      </c>
      <c r="V485" s="13" t="s">
        <v>3756</v>
      </c>
      <c r="X485" s="132">
        <v>482</v>
      </c>
      <c r="Y485" s="6"/>
    </row>
    <row r="486" spans="1:25" ht="15" customHeight="1" x14ac:dyDescent="0.2">
      <c r="A486" s="20" t="s">
        <v>1504</v>
      </c>
      <c r="B486" s="22" t="s">
        <v>2608</v>
      </c>
      <c r="C486" s="14">
        <v>45361</v>
      </c>
      <c r="D486" s="13" t="s">
        <v>1533</v>
      </c>
      <c r="E486" s="6" t="s">
        <v>1502</v>
      </c>
      <c r="F486" s="15" t="s">
        <v>11809</v>
      </c>
      <c r="G486" s="6" t="s">
        <v>1503</v>
      </c>
      <c r="I486" s="13" t="s">
        <v>39</v>
      </c>
      <c r="J486" s="13">
        <v>12</v>
      </c>
      <c r="K486" s="13"/>
      <c r="L486" s="39" t="s">
        <v>7633</v>
      </c>
      <c r="M486" s="108" t="s">
        <v>7634</v>
      </c>
      <c r="N486" s="13" t="s">
        <v>6723</v>
      </c>
      <c r="O486" s="13" t="s">
        <v>8</v>
      </c>
      <c r="P486" s="13" t="s">
        <v>9</v>
      </c>
      <c r="Q486" s="39" t="s">
        <v>7635</v>
      </c>
      <c r="R486" s="17" t="s">
        <v>3630</v>
      </c>
      <c r="S486" s="17" t="s">
        <v>3631</v>
      </c>
      <c r="T486" s="13">
        <v>80</v>
      </c>
      <c r="U486" s="13">
        <v>80</v>
      </c>
      <c r="V486" s="13" t="s">
        <v>3756</v>
      </c>
      <c r="X486" s="132">
        <v>483</v>
      </c>
      <c r="Y486" s="6"/>
    </row>
    <row r="487" spans="1:25" ht="15" customHeight="1" x14ac:dyDescent="0.2">
      <c r="A487" s="20" t="s">
        <v>3629</v>
      </c>
      <c r="B487" s="22" t="s">
        <v>2608</v>
      </c>
      <c r="C487" s="14">
        <v>45331</v>
      </c>
      <c r="D487" s="13" t="s">
        <v>1533</v>
      </c>
      <c r="E487" s="6" t="s">
        <v>1502</v>
      </c>
      <c r="F487" s="15" t="s">
        <v>11810</v>
      </c>
      <c r="G487" s="6" t="s">
        <v>1503</v>
      </c>
      <c r="I487" s="13" t="s">
        <v>39</v>
      </c>
      <c r="J487" s="13">
        <v>12</v>
      </c>
      <c r="K487" s="13"/>
      <c r="L487" s="39" t="s">
        <v>7633</v>
      </c>
      <c r="M487" s="108" t="s">
        <v>7634</v>
      </c>
      <c r="N487" s="13" t="s">
        <v>6723</v>
      </c>
      <c r="O487" s="13" t="s">
        <v>8</v>
      </c>
      <c r="P487" s="13" t="s">
        <v>9</v>
      </c>
      <c r="Q487" s="39" t="s">
        <v>7635</v>
      </c>
      <c r="R487" s="17" t="s">
        <v>3630</v>
      </c>
      <c r="S487" s="17" t="s">
        <v>3631</v>
      </c>
      <c r="T487" s="18">
        <v>40</v>
      </c>
      <c r="U487" s="18">
        <v>30</v>
      </c>
      <c r="V487" s="13" t="s">
        <v>3632</v>
      </c>
      <c r="X487" s="132">
        <v>484</v>
      </c>
      <c r="Y487" s="6"/>
    </row>
    <row r="488" spans="1:25" ht="15" customHeight="1" x14ac:dyDescent="0.2">
      <c r="A488" s="20" t="s">
        <v>1505</v>
      </c>
      <c r="B488" s="22" t="s">
        <v>2608</v>
      </c>
      <c r="C488" s="14">
        <v>44610</v>
      </c>
      <c r="D488" s="13" t="s">
        <v>1533</v>
      </c>
      <c r="E488" s="6" t="s">
        <v>1506</v>
      </c>
      <c r="F488" s="15" t="s">
        <v>11811</v>
      </c>
      <c r="G488" s="6" t="s">
        <v>1507</v>
      </c>
      <c r="I488" s="13" t="s">
        <v>39</v>
      </c>
      <c r="J488" s="13">
        <v>12</v>
      </c>
      <c r="K488" s="13"/>
      <c r="L488" s="6" t="s">
        <v>7736</v>
      </c>
      <c r="M488" s="108" t="s">
        <v>7737</v>
      </c>
      <c r="N488" s="13" t="s">
        <v>7738</v>
      </c>
      <c r="O488" s="13" t="s">
        <v>9664</v>
      </c>
      <c r="P488" s="13" t="s">
        <v>68</v>
      </c>
      <c r="Q488" s="6" t="s">
        <v>7739</v>
      </c>
      <c r="R488" s="6" t="s">
        <v>1508</v>
      </c>
      <c r="S488" s="17" t="s">
        <v>6634</v>
      </c>
      <c r="T488" s="13"/>
      <c r="U488" s="13"/>
      <c r="V488" s="13"/>
      <c r="X488" s="132">
        <v>485</v>
      </c>
      <c r="Y488" s="6"/>
    </row>
    <row r="489" spans="1:25" ht="15" customHeight="1" x14ac:dyDescent="0.2">
      <c r="A489" s="20" t="s">
        <v>1509</v>
      </c>
      <c r="B489" s="22" t="s">
        <v>2608</v>
      </c>
      <c r="C489" s="14">
        <v>45915</v>
      </c>
      <c r="D489" s="13" t="s">
        <v>1533</v>
      </c>
      <c r="E489" s="6" t="s">
        <v>1510</v>
      </c>
      <c r="F489" s="15" t="s">
        <v>11812</v>
      </c>
      <c r="G489" s="6" t="s">
        <v>1511</v>
      </c>
      <c r="H489" s="6" t="s">
        <v>1511</v>
      </c>
      <c r="I489" s="13" t="s">
        <v>13</v>
      </c>
      <c r="J489" s="13">
        <v>8</v>
      </c>
      <c r="K489" s="13" t="s">
        <v>1714</v>
      </c>
      <c r="L489" s="6" t="s">
        <v>6041</v>
      </c>
      <c r="M489" s="108" t="s">
        <v>6045</v>
      </c>
      <c r="N489" s="13" t="s">
        <v>6042</v>
      </c>
      <c r="O489" s="13" t="s">
        <v>445</v>
      </c>
      <c r="P489" s="13" t="s">
        <v>16</v>
      </c>
      <c r="Q489" s="6" t="s">
        <v>6043</v>
      </c>
      <c r="R489" s="6" t="s">
        <v>1512</v>
      </c>
      <c r="S489" s="17" t="s">
        <v>6645</v>
      </c>
      <c r="T489" s="13">
        <v>200</v>
      </c>
      <c r="U489" s="13">
        <v>100</v>
      </c>
      <c r="V489" s="13" t="s">
        <v>6044</v>
      </c>
      <c r="X489" s="132">
        <v>486</v>
      </c>
      <c r="Y489" s="6"/>
    </row>
    <row r="490" spans="1:25" ht="15" customHeight="1" x14ac:dyDescent="0.25">
      <c r="A490" s="12" t="s">
        <v>1513</v>
      </c>
      <c r="B490" s="13" t="s">
        <v>4978</v>
      </c>
      <c r="C490" s="74">
        <v>47209</v>
      </c>
      <c r="D490" s="13" t="s">
        <v>33</v>
      </c>
      <c r="E490" s="6" t="s">
        <v>9598</v>
      </c>
      <c r="F490" s="15" t="s">
        <v>11813</v>
      </c>
      <c r="G490" s="6" t="s">
        <v>1515</v>
      </c>
      <c r="H490" s="6" t="s">
        <v>1515</v>
      </c>
      <c r="I490" s="13" t="s">
        <v>25</v>
      </c>
      <c r="J490" s="13">
        <v>3</v>
      </c>
      <c r="K490" s="13" t="s">
        <v>1714</v>
      </c>
      <c r="L490" s="6" t="s">
        <v>9599</v>
      </c>
      <c r="M490" s="108" t="s">
        <v>9600</v>
      </c>
      <c r="N490" s="13" t="s">
        <v>9601</v>
      </c>
      <c r="O490" s="13" t="s">
        <v>293</v>
      </c>
      <c r="P490" s="13" t="s">
        <v>16</v>
      </c>
      <c r="Q490" s="6" t="s">
        <v>9602</v>
      </c>
      <c r="R490" s="69" t="s">
        <v>9603</v>
      </c>
      <c r="S490" s="17"/>
      <c r="T490" s="13">
        <v>26</v>
      </c>
      <c r="U490" s="13">
        <v>22</v>
      </c>
      <c r="V490" s="13" t="s">
        <v>9604</v>
      </c>
      <c r="X490" s="132">
        <v>487</v>
      </c>
      <c r="Y490" s="6"/>
    </row>
    <row r="491" spans="1:25" ht="15" customHeight="1" x14ac:dyDescent="0.2">
      <c r="A491" s="12" t="s">
        <v>1711</v>
      </c>
      <c r="B491" s="13" t="s">
        <v>4978</v>
      </c>
      <c r="C491" s="74">
        <v>46372</v>
      </c>
      <c r="D491" s="13" t="s">
        <v>33</v>
      </c>
      <c r="E491" s="6" t="s">
        <v>1712</v>
      </c>
      <c r="F491" s="15" t="s">
        <v>9516</v>
      </c>
      <c r="G491" s="6" t="s">
        <v>1713</v>
      </c>
      <c r="I491" s="13" t="s">
        <v>25</v>
      </c>
      <c r="J491" s="13">
        <v>3</v>
      </c>
      <c r="K491" s="13" t="s">
        <v>1714</v>
      </c>
      <c r="L491" s="6" t="s">
        <v>4635</v>
      </c>
      <c r="M491" s="108" t="s">
        <v>4636</v>
      </c>
      <c r="N491" s="13" t="s">
        <v>2340</v>
      </c>
      <c r="O491" s="13" t="s">
        <v>1055</v>
      </c>
      <c r="P491" s="13" t="s">
        <v>16</v>
      </c>
      <c r="Q491" s="6" t="s">
        <v>1715</v>
      </c>
      <c r="R491" s="6" t="s">
        <v>1716</v>
      </c>
      <c r="S491" s="17" t="s">
        <v>6628</v>
      </c>
      <c r="T491" s="13">
        <v>34</v>
      </c>
      <c r="U491" s="13">
        <v>31</v>
      </c>
      <c r="V491" s="13" t="s">
        <v>4637</v>
      </c>
      <c r="X491" s="132">
        <v>488</v>
      </c>
      <c r="Y491" s="6"/>
    </row>
    <row r="492" spans="1:25" ht="15" customHeight="1" x14ac:dyDescent="0.2">
      <c r="A492" s="12" t="s">
        <v>1717</v>
      </c>
      <c r="B492" s="13" t="s">
        <v>4978</v>
      </c>
      <c r="C492" s="74">
        <v>46446</v>
      </c>
      <c r="D492" s="13" t="s">
        <v>33</v>
      </c>
      <c r="E492" s="6" t="s">
        <v>1718</v>
      </c>
      <c r="F492" s="15" t="s">
        <v>11814</v>
      </c>
      <c r="G492" s="6" t="s">
        <v>1719</v>
      </c>
      <c r="H492" s="6" t="s">
        <v>1719</v>
      </c>
      <c r="I492" s="13" t="s">
        <v>25</v>
      </c>
      <c r="J492" s="13">
        <v>3</v>
      </c>
      <c r="K492" s="13" t="s">
        <v>1714</v>
      </c>
      <c r="L492" s="6" t="s">
        <v>5003</v>
      </c>
      <c r="M492" s="108" t="s">
        <v>5004</v>
      </c>
      <c r="N492" s="13" t="s">
        <v>15</v>
      </c>
      <c r="O492" s="13" t="s">
        <v>240</v>
      </c>
      <c r="P492" s="13" t="s">
        <v>16</v>
      </c>
      <c r="Q492" s="6" t="s">
        <v>1720</v>
      </c>
      <c r="R492" s="17" t="s">
        <v>1721</v>
      </c>
      <c r="S492" s="17" t="s">
        <v>5005</v>
      </c>
      <c r="T492" s="13">
        <v>43</v>
      </c>
      <c r="U492" s="13">
        <v>26</v>
      </c>
      <c r="V492" s="13" t="s">
        <v>5006</v>
      </c>
      <c r="X492" s="132">
        <v>489</v>
      </c>
      <c r="Y492" s="6"/>
    </row>
    <row r="493" spans="1:25" ht="15" customHeight="1" x14ac:dyDescent="0.25">
      <c r="A493" s="12" t="s">
        <v>1722</v>
      </c>
      <c r="B493" s="13" t="s">
        <v>4978</v>
      </c>
      <c r="C493" s="74">
        <v>47209</v>
      </c>
      <c r="D493" s="13" t="s">
        <v>33</v>
      </c>
      <c r="E493" s="6" t="s">
        <v>1723</v>
      </c>
      <c r="F493" s="15" t="s">
        <v>9613</v>
      </c>
      <c r="G493" s="6" t="s">
        <v>1724</v>
      </c>
      <c r="H493" s="6" t="s">
        <v>1724</v>
      </c>
      <c r="I493" s="13" t="s">
        <v>25</v>
      </c>
      <c r="J493" s="13">
        <v>3</v>
      </c>
      <c r="K493" s="13" t="s">
        <v>1714</v>
      </c>
      <c r="L493" s="6" t="s">
        <v>5007</v>
      </c>
      <c r="M493" s="108" t="s">
        <v>5008</v>
      </c>
      <c r="N493" s="13" t="s">
        <v>5009</v>
      </c>
      <c r="O493" s="13" t="s">
        <v>240</v>
      </c>
      <c r="P493" s="13" t="s">
        <v>16</v>
      </c>
      <c r="Q493" s="6" t="s">
        <v>9614</v>
      </c>
      <c r="R493" s="69" t="s">
        <v>9756</v>
      </c>
      <c r="S493" s="17"/>
      <c r="T493" s="13">
        <v>26</v>
      </c>
      <c r="U493" s="13">
        <v>24</v>
      </c>
      <c r="V493" s="13" t="s">
        <v>5010</v>
      </c>
      <c r="X493" s="132">
        <v>490</v>
      </c>
      <c r="Y493" s="6"/>
    </row>
    <row r="494" spans="1:25" ht="15" customHeight="1" x14ac:dyDescent="0.25">
      <c r="A494" s="12" t="s">
        <v>1728</v>
      </c>
      <c r="B494" s="13" t="s">
        <v>4978</v>
      </c>
      <c r="C494" s="74">
        <v>47162</v>
      </c>
      <c r="D494" s="13" t="s">
        <v>1533</v>
      </c>
      <c r="E494" s="6" t="s">
        <v>1725</v>
      </c>
      <c r="F494" s="15" t="s">
        <v>11815</v>
      </c>
      <c r="G494" s="6" t="s">
        <v>1726</v>
      </c>
      <c r="H494" s="6" t="s">
        <v>9260</v>
      </c>
      <c r="I494" s="13" t="s">
        <v>13</v>
      </c>
      <c r="J494" s="13">
        <v>7</v>
      </c>
      <c r="K494" s="13" t="s">
        <v>6603</v>
      </c>
      <c r="L494" s="6" t="s">
        <v>9261</v>
      </c>
      <c r="M494" s="108" t="s">
        <v>9262</v>
      </c>
      <c r="N494" s="13" t="s">
        <v>4147</v>
      </c>
      <c r="O494" s="13" t="s">
        <v>704</v>
      </c>
      <c r="P494" s="13" t="s">
        <v>16</v>
      </c>
      <c r="Q494" s="6" t="s">
        <v>9263</v>
      </c>
      <c r="R494" s="17" t="s">
        <v>1727</v>
      </c>
      <c r="S494" s="69" t="s">
        <v>9264</v>
      </c>
      <c r="T494" s="13">
        <v>246</v>
      </c>
      <c r="U494" s="13">
        <v>246</v>
      </c>
      <c r="V494" s="13" t="s">
        <v>9265</v>
      </c>
      <c r="X494" s="132">
        <v>491</v>
      </c>
      <c r="Y494" s="6"/>
    </row>
    <row r="495" spans="1:25" ht="15" customHeight="1" x14ac:dyDescent="0.25">
      <c r="A495" s="12" t="s">
        <v>1729</v>
      </c>
      <c r="B495" s="13" t="s">
        <v>4978</v>
      </c>
      <c r="C495" s="74">
        <v>47162</v>
      </c>
      <c r="D495" s="13" t="s">
        <v>1533</v>
      </c>
      <c r="E495" s="6" t="s">
        <v>1725</v>
      </c>
      <c r="F495" s="15" t="s">
        <v>11816</v>
      </c>
      <c r="G495" s="6" t="s">
        <v>1726</v>
      </c>
      <c r="H495" s="6" t="s">
        <v>9266</v>
      </c>
      <c r="I495" s="13" t="s">
        <v>13</v>
      </c>
      <c r="J495" s="13">
        <v>7</v>
      </c>
      <c r="K495" s="13" t="s">
        <v>6603</v>
      </c>
      <c r="L495" s="6" t="s">
        <v>9273</v>
      </c>
      <c r="M495" s="108" t="s">
        <v>9267</v>
      </c>
      <c r="N495" s="13" t="s">
        <v>1732</v>
      </c>
      <c r="O495" s="13" t="s">
        <v>1732</v>
      </c>
      <c r="P495" s="13" t="s">
        <v>16</v>
      </c>
      <c r="Q495" s="6" t="s">
        <v>9268</v>
      </c>
      <c r="R495" s="17" t="s">
        <v>1727</v>
      </c>
      <c r="S495" s="69" t="s">
        <v>9264</v>
      </c>
      <c r="T495" s="13">
        <v>200</v>
      </c>
      <c r="U495" s="13">
        <v>163</v>
      </c>
      <c r="V495" s="13" t="s">
        <v>9269</v>
      </c>
      <c r="X495" s="132">
        <v>492</v>
      </c>
      <c r="Y495" s="6"/>
    </row>
    <row r="496" spans="1:25" ht="15" customHeight="1" x14ac:dyDescent="0.25">
      <c r="A496" s="12" t="s">
        <v>9270</v>
      </c>
      <c r="B496" s="13" t="s">
        <v>4978</v>
      </c>
      <c r="C496" s="74">
        <v>47162</v>
      </c>
      <c r="D496" s="13" t="s">
        <v>1533</v>
      </c>
      <c r="E496" s="6" t="s">
        <v>1725</v>
      </c>
      <c r="F496" s="15" t="s">
        <v>11817</v>
      </c>
      <c r="G496" s="6" t="s">
        <v>1726</v>
      </c>
      <c r="H496" s="6" t="s">
        <v>9272</v>
      </c>
      <c r="I496" s="13" t="s">
        <v>13</v>
      </c>
      <c r="J496" s="13">
        <v>7</v>
      </c>
      <c r="K496" s="13" t="s">
        <v>6603</v>
      </c>
      <c r="L496" s="6" t="s">
        <v>9353</v>
      </c>
      <c r="M496" s="108" t="s">
        <v>9274</v>
      </c>
      <c r="N496" s="13" t="s">
        <v>4779</v>
      </c>
      <c r="O496" s="13" t="s">
        <v>293</v>
      </c>
      <c r="P496" s="13" t="s">
        <v>16</v>
      </c>
      <c r="Q496" s="6" t="s">
        <v>9275</v>
      </c>
      <c r="R496" s="17" t="s">
        <v>1727</v>
      </c>
      <c r="S496" s="69" t="s">
        <v>9264</v>
      </c>
      <c r="T496" s="18">
        <v>200</v>
      </c>
      <c r="U496" s="18">
        <v>200</v>
      </c>
      <c r="V496" s="13" t="s">
        <v>9276</v>
      </c>
      <c r="X496" s="132">
        <v>493</v>
      </c>
      <c r="Y496" s="6"/>
    </row>
    <row r="497" spans="1:25" ht="15" customHeight="1" x14ac:dyDescent="0.25">
      <c r="A497" s="12" t="s">
        <v>9271</v>
      </c>
      <c r="B497" s="13" t="s">
        <v>4978</v>
      </c>
      <c r="C497" s="74">
        <v>47162</v>
      </c>
      <c r="D497" s="13" t="s">
        <v>1533</v>
      </c>
      <c r="E497" s="6" t="s">
        <v>1725</v>
      </c>
      <c r="F497" s="15" t="s">
        <v>11818</v>
      </c>
      <c r="G497" s="6" t="s">
        <v>1726</v>
      </c>
      <c r="H497" s="6" t="s">
        <v>9277</v>
      </c>
      <c r="I497" s="13" t="s">
        <v>7931</v>
      </c>
      <c r="J497" s="13">
        <v>9</v>
      </c>
      <c r="K497" s="13" t="s">
        <v>6603</v>
      </c>
      <c r="L497" s="6" t="s">
        <v>9278</v>
      </c>
      <c r="M497" s="108" t="s">
        <v>9279</v>
      </c>
      <c r="N497" s="13" t="s">
        <v>1732</v>
      </c>
      <c r="O497" s="13" t="s">
        <v>1732</v>
      </c>
      <c r="P497" s="13" t="s">
        <v>16</v>
      </c>
      <c r="Q497" s="6" t="s">
        <v>9280</v>
      </c>
      <c r="R497" s="17" t="s">
        <v>1727</v>
      </c>
      <c r="S497" s="69" t="s">
        <v>9264</v>
      </c>
      <c r="T497" s="18">
        <v>33</v>
      </c>
      <c r="U497" s="18">
        <v>33</v>
      </c>
      <c r="V497" s="13" t="s">
        <v>9281</v>
      </c>
      <c r="X497" s="132">
        <v>494</v>
      </c>
      <c r="Y497" s="6"/>
    </row>
    <row r="498" spans="1:25" ht="15" customHeight="1" x14ac:dyDescent="0.25">
      <c r="A498" s="12" t="s">
        <v>1730</v>
      </c>
      <c r="B498" s="13" t="s">
        <v>4978</v>
      </c>
      <c r="C498" s="74">
        <v>47162</v>
      </c>
      <c r="D498" s="13" t="s">
        <v>33</v>
      </c>
      <c r="E498" s="6" t="s">
        <v>9282</v>
      </c>
      <c r="F498" s="15" t="s">
        <v>11819</v>
      </c>
      <c r="G498" s="6" t="s">
        <v>1731</v>
      </c>
      <c r="H498" s="6" t="s">
        <v>1731</v>
      </c>
      <c r="I498" s="13" t="s">
        <v>25</v>
      </c>
      <c r="J498" s="13">
        <v>3</v>
      </c>
      <c r="K498" s="13" t="s">
        <v>1714</v>
      </c>
      <c r="L498" s="6" t="s">
        <v>9283</v>
      </c>
      <c r="M498" s="108" t="s">
        <v>9284</v>
      </c>
      <c r="N498" s="13" t="s">
        <v>9285</v>
      </c>
      <c r="O498" s="13" t="s">
        <v>1055</v>
      </c>
      <c r="P498" s="13" t="s">
        <v>16</v>
      </c>
      <c r="Q498" s="6" t="s">
        <v>9286</v>
      </c>
      <c r="R498" s="69" t="s">
        <v>638</v>
      </c>
      <c r="S498" s="69" t="s">
        <v>4414</v>
      </c>
      <c r="T498" s="13">
        <v>30</v>
      </c>
      <c r="U498" s="13">
        <v>29</v>
      </c>
      <c r="V498" s="13" t="s">
        <v>9287</v>
      </c>
      <c r="X498" s="132">
        <v>495</v>
      </c>
      <c r="Y498" s="6"/>
    </row>
    <row r="499" spans="1:25" ht="15" customHeight="1" x14ac:dyDescent="0.25">
      <c r="A499" s="12" t="s">
        <v>1733</v>
      </c>
      <c r="B499" s="13" t="s">
        <v>4978</v>
      </c>
      <c r="C499" s="74">
        <v>47090</v>
      </c>
      <c r="D499" s="13" t="s">
        <v>33</v>
      </c>
      <c r="E499" s="6" t="s">
        <v>8729</v>
      </c>
      <c r="F499" s="15" t="s">
        <v>1734</v>
      </c>
      <c r="G499" s="6" t="s">
        <v>1735</v>
      </c>
      <c r="H499" s="6" t="s">
        <v>1735</v>
      </c>
      <c r="I499" s="13" t="s">
        <v>25</v>
      </c>
      <c r="J499" s="13">
        <v>3</v>
      </c>
      <c r="K499" s="13" t="s">
        <v>1714</v>
      </c>
      <c r="L499" s="6" t="s">
        <v>8730</v>
      </c>
      <c r="M499" s="108" t="s">
        <v>2305</v>
      </c>
      <c r="N499" s="13" t="s">
        <v>2304</v>
      </c>
      <c r="O499" s="13" t="s">
        <v>36</v>
      </c>
      <c r="P499" s="13" t="s">
        <v>4</v>
      </c>
      <c r="Q499" s="6" t="s">
        <v>8731</v>
      </c>
      <c r="R499" s="69" t="s">
        <v>8732</v>
      </c>
      <c r="S499" s="69" t="s">
        <v>8733</v>
      </c>
      <c r="T499" s="13"/>
      <c r="U499" s="13">
        <v>20</v>
      </c>
      <c r="V499" s="13" t="s">
        <v>8734</v>
      </c>
      <c r="X499" s="132">
        <v>496</v>
      </c>
      <c r="Y499" s="6"/>
    </row>
    <row r="500" spans="1:25" ht="15" customHeight="1" x14ac:dyDescent="0.25">
      <c r="A500" s="12" t="s">
        <v>1736</v>
      </c>
      <c r="B500" s="13" t="s">
        <v>4978</v>
      </c>
      <c r="C500" s="74">
        <v>47105</v>
      </c>
      <c r="D500" s="13" t="s">
        <v>33</v>
      </c>
      <c r="E500" s="6" t="s">
        <v>1737</v>
      </c>
      <c r="F500" s="15" t="s">
        <v>11820</v>
      </c>
      <c r="G500" s="6" t="s">
        <v>8832</v>
      </c>
      <c r="H500" s="6" t="s">
        <v>8832</v>
      </c>
      <c r="I500" s="13" t="s">
        <v>25</v>
      </c>
      <c r="J500" s="13">
        <v>3</v>
      </c>
      <c r="K500" s="13" t="s">
        <v>1714</v>
      </c>
      <c r="L500" s="6" t="s">
        <v>8833</v>
      </c>
      <c r="M500" s="108" t="s">
        <v>8834</v>
      </c>
      <c r="N500" s="13" t="s">
        <v>8835</v>
      </c>
      <c r="O500" s="13" t="s">
        <v>97</v>
      </c>
      <c r="P500" s="13" t="s">
        <v>4</v>
      </c>
      <c r="Q500" s="6" t="s">
        <v>8836</v>
      </c>
      <c r="R500" s="69" t="s">
        <v>9031</v>
      </c>
      <c r="S500" s="17" t="s">
        <v>6669</v>
      </c>
      <c r="T500" s="13">
        <v>21</v>
      </c>
      <c r="U500" s="13">
        <v>20</v>
      </c>
      <c r="V500" s="13" t="s">
        <v>8837</v>
      </c>
      <c r="X500" s="132">
        <v>497</v>
      </c>
      <c r="Y500" s="6"/>
    </row>
    <row r="501" spans="1:25" ht="15" customHeight="1" x14ac:dyDescent="0.2">
      <c r="A501" s="20" t="s">
        <v>1760</v>
      </c>
      <c r="B501" s="22" t="s">
        <v>2608</v>
      </c>
      <c r="C501" s="14">
        <v>45581</v>
      </c>
      <c r="D501" s="13" t="s">
        <v>1533</v>
      </c>
      <c r="E501" s="6" t="s">
        <v>1738</v>
      </c>
      <c r="F501" s="15" t="s">
        <v>11821</v>
      </c>
      <c r="G501" s="6" t="s">
        <v>1739</v>
      </c>
      <c r="I501" s="13" t="s">
        <v>7931</v>
      </c>
      <c r="J501" s="13">
        <v>9</v>
      </c>
      <c r="K501" s="13" t="s">
        <v>6603</v>
      </c>
      <c r="L501" s="6" t="s">
        <v>1740</v>
      </c>
      <c r="M501" s="108"/>
      <c r="O501" s="13" t="s">
        <v>925</v>
      </c>
      <c r="P501" s="13" t="s">
        <v>16</v>
      </c>
      <c r="Q501" s="6" t="s">
        <v>1741</v>
      </c>
      <c r="R501" s="17" t="s">
        <v>1742</v>
      </c>
      <c r="S501" s="17" t="s">
        <v>6645</v>
      </c>
      <c r="T501" s="13"/>
      <c r="U501" s="13"/>
      <c r="V501" s="13" t="s">
        <v>3827</v>
      </c>
      <c r="X501" s="132">
        <v>498</v>
      </c>
      <c r="Y501" s="6"/>
    </row>
    <row r="502" spans="1:25" ht="15" customHeight="1" x14ac:dyDescent="0.2">
      <c r="A502" s="12" t="s">
        <v>1761</v>
      </c>
      <c r="B502" s="24" t="s">
        <v>4978</v>
      </c>
      <c r="C502" s="14">
        <v>47679</v>
      </c>
      <c r="D502" s="13" t="s">
        <v>1533</v>
      </c>
      <c r="E502" s="6" t="s">
        <v>12209</v>
      </c>
      <c r="F502" s="15" t="s">
        <v>12210</v>
      </c>
      <c r="G502" s="6" t="s">
        <v>1743</v>
      </c>
      <c r="H502" s="6" t="s">
        <v>1743</v>
      </c>
      <c r="I502" s="13" t="s">
        <v>7931</v>
      </c>
      <c r="J502" s="13">
        <v>9</v>
      </c>
      <c r="K502" s="13" t="s">
        <v>6603</v>
      </c>
      <c r="L502" s="6" t="s">
        <v>12211</v>
      </c>
      <c r="M502" s="108" t="s">
        <v>12213</v>
      </c>
      <c r="N502" s="13" t="s">
        <v>12212</v>
      </c>
      <c r="O502" s="13" t="s">
        <v>925</v>
      </c>
      <c r="P502" s="13" t="s">
        <v>16</v>
      </c>
      <c r="Q502" s="6" t="s">
        <v>12214</v>
      </c>
      <c r="R502" s="17" t="s">
        <v>1742</v>
      </c>
      <c r="S502" s="17" t="s">
        <v>12215</v>
      </c>
      <c r="T502" s="13">
        <v>30</v>
      </c>
      <c r="U502" s="13">
        <v>29</v>
      </c>
      <c r="V502" s="13" t="s">
        <v>3827</v>
      </c>
      <c r="X502" s="132">
        <v>499</v>
      </c>
      <c r="Y502" s="6"/>
    </row>
    <row r="503" spans="1:25" ht="15" customHeight="1" x14ac:dyDescent="0.2">
      <c r="A503" s="20" t="s">
        <v>3860</v>
      </c>
      <c r="B503" s="22" t="s">
        <v>2608</v>
      </c>
      <c r="C503" s="23">
        <v>45741</v>
      </c>
      <c r="D503" s="24" t="s">
        <v>1533</v>
      </c>
      <c r="E503" s="31" t="s">
        <v>12209</v>
      </c>
      <c r="F503" s="32" t="s">
        <v>11822</v>
      </c>
      <c r="G503" s="31" t="s">
        <v>1743</v>
      </c>
      <c r="H503" s="31"/>
      <c r="I503" s="24" t="s">
        <v>13</v>
      </c>
      <c r="J503" s="24">
        <v>7</v>
      </c>
      <c r="K503" s="13" t="s">
        <v>6603</v>
      </c>
      <c r="L503" s="31" t="s">
        <v>2083</v>
      </c>
      <c r="M503" s="112"/>
      <c r="N503" s="22"/>
      <c r="O503" s="13" t="s">
        <v>445</v>
      </c>
      <c r="P503" s="13" t="s">
        <v>16</v>
      </c>
      <c r="Q503" s="7" t="s">
        <v>2084</v>
      </c>
      <c r="R503" s="43" t="s">
        <v>1742</v>
      </c>
      <c r="S503" s="17" t="s">
        <v>6645</v>
      </c>
      <c r="T503" s="44">
        <v>200</v>
      </c>
      <c r="U503" s="22">
        <v>200</v>
      </c>
      <c r="V503" s="24" t="s">
        <v>3827</v>
      </c>
      <c r="X503" s="132">
        <v>500</v>
      </c>
      <c r="Y503" s="6"/>
    </row>
    <row r="504" spans="1:25" s="45" customFormat="1" ht="15" customHeight="1" x14ac:dyDescent="0.2">
      <c r="A504" s="12" t="s">
        <v>3855</v>
      </c>
      <c r="B504" s="13" t="s">
        <v>4978</v>
      </c>
      <c r="C504" s="74">
        <v>47552</v>
      </c>
      <c r="D504" s="13" t="s">
        <v>1533</v>
      </c>
      <c r="E504" s="6" t="s">
        <v>3857</v>
      </c>
      <c r="F504" s="15" t="s">
        <v>11274</v>
      </c>
      <c r="G504" s="6" t="s">
        <v>1743</v>
      </c>
      <c r="H504" s="6" t="s">
        <v>1743</v>
      </c>
      <c r="I504" s="13" t="s">
        <v>105</v>
      </c>
      <c r="J504" s="13">
        <v>10</v>
      </c>
      <c r="K504" s="13" t="s">
        <v>6603</v>
      </c>
      <c r="L504" s="6" t="s">
        <v>3828</v>
      </c>
      <c r="M504" s="108" t="s">
        <v>6606</v>
      </c>
      <c r="N504" s="13" t="s">
        <v>2693</v>
      </c>
      <c r="O504" s="13" t="s">
        <v>53</v>
      </c>
      <c r="P504" s="13" t="s">
        <v>54</v>
      </c>
      <c r="Q504" s="6" t="s">
        <v>3829</v>
      </c>
      <c r="R504" s="17" t="s">
        <v>1742</v>
      </c>
      <c r="S504" s="17" t="s">
        <v>3830</v>
      </c>
      <c r="T504" s="18">
        <v>207</v>
      </c>
      <c r="U504" s="18">
        <v>207</v>
      </c>
      <c r="V504" s="13" t="s">
        <v>3827</v>
      </c>
      <c r="W504" s="6"/>
      <c r="X504" s="132">
        <v>501</v>
      </c>
    </row>
    <row r="505" spans="1:25" ht="15" customHeight="1" x14ac:dyDescent="0.25">
      <c r="A505" s="12" t="s">
        <v>1744</v>
      </c>
      <c r="B505" s="13" t="s">
        <v>4978</v>
      </c>
      <c r="C505" s="74">
        <v>47055</v>
      </c>
      <c r="D505" s="13" t="s">
        <v>33</v>
      </c>
      <c r="E505" s="6" t="s">
        <v>1745</v>
      </c>
      <c r="F505" s="15" t="s">
        <v>8280</v>
      </c>
      <c r="G505" s="6" t="s">
        <v>1746</v>
      </c>
      <c r="H505" s="6" t="s">
        <v>1746</v>
      </c>
      <c r="I505" s="13" t="s">
        <v>25</v>
      </c>
      <c r="J505" s="13">
        <v>3</v>
      </c>
      <c r="K505" s="13" t="s">
        <v>1714</v>
      </c>
      <c r="L505" s="6" t="s">
        <v>8281</v>
      </c>
      <c r="M505" s="108" t="s">
        <v>8282</v>
      </c>
      <c r="N505" s="13" t="s">
        <v>2161</v>
      </c>
      <c r="O505" s="13" t="s">
        <v>2146</v>
      </c>
      <c r="P505" s="13" t="s">
        <v>68</v>
      </c>
      <c r="Q505" s="6" t="s">
        <v>3786</v>
      </c>
      <c r="R505" s="69" t="s">
        <v>1959</v>
      </c>
      <c r="S505" s="17"/>
      <c r="T505" s="13">
        <v>27</v>
      </c>
      <c r="U505" s="13">
        <v>27</v>
      </c>
      <c r="V505" s="13" t="s">
        <v>8283</v>
      </c>
      <c r="W505" s="45"/>
      <c r="X505" s="132">
        <v>502</v>
      </c>
      <c r="Y505" s="6"/>
    </row>
    <row r="506" spans="1:25" ht="15" customHeight="1" x14ac:dyDescent="0.2">
      <c r="A506" s="12" t="s">
        <v>1747</v>
      </c>
      <c r="B506" s="13" t="s">
        <v>4978</v>
      </c>
      <c r="C506" s="74">
        <v>47105</v>
      </c>
      <c r="D506" s="13" t="s">
        <v>33</v>
      </c>
      <c r="E506" s="6" t="s">
        <v>1748</v>
      </c>
      <c r="F506" s="15" t="s">
        <v>8785</v>
      </c>
      <c r="G506" s="6" t="s">
        <v>1749</v>
      </c>
      <c r="H506" s="6" t="s">
        <v>1749</v>
      </c>
      <c r="I506" s="13" t="s">
        <v>25</v>
      </c>
      <c r="J506" s="13">
        <v>3</v>
      </c>
      <c r="K506" s="13" t="s">
        <v>1714</v>
      </c>
      <c r="L506" s="6" t="s">
        <v>8786</v>
      </c>
      <c r="M506" s="108" t="s">
        <v>8787</v>
      </c>
      <c r="N506" s="13" t="s">
        <v>61</v>
      </c>
      <c r="O506" s="13" t="s">
        <v>61</v>
      </c>
      <c r="P506" s="13" t="s">
        <v>9</v>
      </c>
      <c r="Q506" s="6" t="s">
        <v>8788</v>
      </c>
      <c r="R506" s="17" t="s">
        <v>1750</v>
      </c>
      <c r="S506" s="17"/>
      <c r="T506" s="13">
        <v>55</v>
      </c>
      <c r="U506" s="13">
        <v>53</v>
      </c>
      <c r="V506" s="13" t="s">
        <v>8789</v>
      </c>
      <c r="X506" s="132">
        <v>503</v>
      </c>
      <c r="Y506" s="6"/>
    </row>
    <row r="507" spans="1:25" ht="15" customHeight="1" x14ac:dyDescent="0.2">
      <c r="A507" s="12" t="s">
        <v>1751</v>
      </c>
      <c r="B507" s="13" t="s">
        <v>4978</v>
      </c>
      <c r="C507" s="74">
        <v>47090</v>
      </c>
      <c r="D507" s="13" t="s">
        <v>33</v>
      </c>
      <c r="E507" s="6" t="s">
        <v>1752</v>
      </c>
      <c r="F507" s="15" t="s">
        <v>8779</v>
      </c>
      <c r="G507" s="6" t="s">
        <v>1753</v>
      </c>
      <c r="H507" s="6" t="s">
        <v>1753</v>
      </c>
      <c r="I507" s="13" t="s">
        <v>25</v>
      </c>
      <c r="J507" s="13">
        <v>3</v>
      </c>
      <c r="K507" s="13" t="s">
        <v>1714</v>
      </c>
      <c r="L507" s="6" t="s">
        <v>8780</v>
      </c>
      <c r="M507" s="108" t="s">
        <v>8781</v>
      </c>
      <c r="N507" s="13" t="s">
        <v>61</v>
      </c>
      <c r="O507" s="13" t="s">
        <v>61</v>
      </c>
      <c r="P507" s="13" t="s">
        <v>9</v>
      </c>
      <c r="Q507" s="6" t="s">
        <v>8782</v>
      </c>
      <c r="R507" s="17" t="s">
        <v>1754</v>
      </c>
      <c r="S507" s="17"/>
      <c r="T507" s="13">
        <v>24</v>
      </c>
      <c r="U507" s="13">
        <v>22</v>
      </c>
      <c r="V507" s="13" t="s">
        <v>8783</v>
      </c>
      <c r="X507" s="132">
        <v>504</v>
      </c>
      <c r="Y507" s="6"/>
    </row>
    <row r="508" spans="1:25" ht="15" customHeight="1" x14ac:dyDescent="0.2">
      <c r="A508" s="12" t="s">
        <v>1755</v>
      </c>
      <c r="B508" s="13" t="s">
        <v>4977</v>
      </c>
      <c r="C508" s="14">
        <v>46158</v>
      </c>
      <c r="D508" s="13" t="s">
        <v>33</v>
      </c>
      <c r="E508" s="6" t="s">
        <v>1756</v>
      </c>
      <c r="F508" s="15" t="s">
        <v>1757</v>
      </c>
      <c r="G508" s="6" t="s">
        <v>1758</v>
      </c>
      <c r="H508" s="6" t="s">
        <v>1758</v>
      </c>
      <c r="I508" s="13" t="s">
        <v>25</v>
      </c>
      <c r="J508" s="13">
        <v>3</v>
      </c>
      <c r="K508" s="13" t="s">
        <v>1714</v>
      </c>
      <c r="L508" s="6" t="s">
        <v>7236</v>
      </c>
      <c r="M508" s="108" t="s">
        <v>7175</v>
      </c>
      <c r="N508" s="13" t="s">
        <v>7176</v>
      </c>
      <c r="O508" s="13" t="s">
        <v>61</v>
      </c>
      <c r="P508" s="13" t="s">
        <v>9</v>
      </c>
      <c r="Q508" s="6" t="s">
        <v>7237</v>
      </c>
      <c r="R508" s="17" t="s">
        <v>1759</v>
      </c>
      <c r="S508" s="17"/>
      <c r="T508" s="13">
        <v>14</v>
      </c>
      <c r="U508" s="13">
        <v>14</v>
      </c>
      <c r="V508" s="13" t="s">
        <v>7177</v>
      </c>
      <c r="W508" s="13"/>
      <c r="X508" s="132">
        <v>505</v>
      </c>
      <c r="Y508" s="6"/>
    </row>
    <row r="509" spans="1:25" ht="15" customHeight="1" x14ac:dyDescent="0.2">
      <c r="A509" s="12" t="s">
        <v>1762</v>
      </c>
      <c r="B509" s="13" t="s">
        <v>4978</v>
      </c>
      <c r="C509" s="74">
        <v>46617</v>
      </c>
      <c r="D509" s="13" t="s">
        <v>33</v>
      </c>
      <c r="E509" s="6" t="s">
        <v>1763</v>
      </c>
      <c r="F509" s="15" t="s">
        <v>1764</v>
      </c>
      <c r="G509" s="6" t="s">
        <v>1765</v>
      </c>
      <c r="H509" s="6" t="s">
        <v>1765</v>
      </c>
      <c r="I509" s="13" t="s">
        <v>25</v>
      </c>
      <c r="J509" s="13">
        <v>3</v>
      </c>
      <c r="K509" s="13" t="s">
        <v>1714</v>
      </c>
      <c r="L509" s="6" t="s">
        <v>5817</v>
      </c>
      <c r="M509" s="108" t="s">
        <v>5818</v>
      </c>
      <c r="N509" s="13" t="s">
        <v>5819</v>
      </c>
      <c r="O509" s="13" t="s">
        <v>177</v>
      </c>
      <c r="P509" s="13" t="s">
        <v>9</v>
      </c>
      <c r="Q509" s="6" t="s">
        <v>5820</v>
      </c>
      <c r="R509" s="17" t="s">
        <v>5821</v>
      </c>
      <c r="S509" s="17" t="s">
        <v>6646</v>
      </c>
      <c r="T509" s="13">
        <v>14</v>
      </c>
      <c r="U509" s="13">
        <v>10</v>
      </c>
      <c r="V509" s="13" t="s">
        <v>5822</v>
      </c>
      <c r="X509" s="132">
        <v>506</v>
      </c>
      <c r="Y509" s="6"/>
    </row>
    <row r="510" spans="1:25" ht="15" customHeight="1" x14ac:dyDescent="0.2">
      <c r="A510" s="12" t="s">
        <v>1766</v>
      </c>
      <c r="B510" s="13" t="s">
        <v>4978</v>
      </c>
      <c r="C510" s="74">
        <v>47285</v>
      </c>
      <c r="D510" s="13" t="s">
        <v>33</v>
      </c>
      <c r="E510" s="6" t="s">
        <v>1767</v>
      </c>
      <c r="F510" s="15" t="s">
        <v>10169</v>
      </c>
      <c r="G510" s="6" t="s">
        <v>1768</v>
      </c>
      <c r="H510" s="6" t="s">
        <v>1768</v>
      </c>
      <c r="I510" s="13" t="s">
        <v>25</v>
      </c>
      <c r="J510" s="13">
        <v>3</v>
      </c>
      <c r="K510" s="13" t="s">
        <v>1714</v>
      </c>
      <c r="L510" s="6" t="s">
        <v>10170</v>
      </c>
      <c r="M510" s="108" t="s">
        <v>8278</v>
      </c>
      <c r="N510" s="13" t="s">
        <v>2450</v>
      </c>
      <c r="O510" s="13" t="s">
        <v>128</v>
      </c>
      <c r="P510" s="13" t="s">
        <v>16</v>
      </c>
      <c r="Q510" s="6" t="s">
        <v>10171</v>
      </c>
      <c r="R510" s="17" t="s">
        <v>1324</v>
      </c>
      <c r="S510" s="17"/>
      <c r="T510" s="13">
        <v>17</v>
      </c>
      <c r="U510" s="13">
        <v>17</v>
      </c>
      <c r="V510" s="13" t="s">
        <v>10172</v>
      </c>
      <c r="X510" s="132">
        <v>507</v>
      </c>
      <c r="Y510" s="6"/>
    </row>
    <row r="511" spans="1:25" ht="15" customHeight="1" x14ac:dyDescent="0.25">
      <c r="A511" s="12" t="s">
        <v>1769</v>
      </c>
      <c r="B511" s="13" t="s">
        <v>4978</v>
      </c>
      <c r="C511" s="74">
        <v>47345</v>
      </c>
      <c r="D511" s="13" t="s">
        <v>33</v>
      </c>
      <c r="E511" s="6" t="s">
        <v>10394</v>
      </c>
      <c r="F511" s="15" t="s">
        <v>10395</v>
      </c>
      <c r="G511" s="6" t="s">
        <v>1770</v>
      </c>
      <c r="H511" s="6" t="s">
        <v>1770</v>
      </c>
      <c r="I511" s="13" t="s">
        <v>25</v>
      </c>
      <c r="J511" s="13">
        <v>3</v>
      </c>
      <c r="K511" s="13" t="s">
        <v>1714</v>
      </c>
      <c r="L511" s="6" t="s">
        <v>10396</v>
      </c>
      <c r="M511" s="108" t="s">
        <v>10397</v>
      </c>
      <c r="N511" s="13" t="s">
        <v>7131</v>
      </c>
      <c r="O511" s="13" t="s">
        <v>1055</v>
      </c>
      <c r="P511" s="13" t="s">
        <v>16</v>
      </c>
      <c r="Q511" s="6" t="s">
        <v>10398</v>
      </c>
      <c r="R511" s="69" t="s">
        <v>10399</v>
      </c>
      <c r="T511" s="13">
        <v>10</v>
      </c>
      <c r="U511" s="13">
        <v>6</v>
      </c>
      <c r="V511" s="13" t="s">
        <v>10400</v>
      </c>
      <c r="X511" s="132">
        <v>508</v>
      </c>
      <c r="Y511" s="6"/>
    </row>
    <row r="512" spans="1:25" ht="15" customHeight="1" x14ac:dyDescent="0.2">
      <c r="A512" s="20" t="s">
        <v>1771</v>
      </c>
      <c r="B512" s="22" t="s">
        <v>2608</v>
      </c>
      <c r="C512" s="14">
        <v>44850</v>
      </c>
      <c r="D512" s="13" t="s">
        <v>1533</v>
      </c>
      <c r="E512" s="6" t="s">
        <v>1772</v>
      </c>
      <c r="F512" s="15" t="s">
        <v>1774</v>
      </c>
      <c r="G512" s="6" t="s">
        <v>1773</v>
      </c>
      <c r="I512" s="13" t="s">
        <v>39</v>
      </c>
      <c r="J512" s="13">
        <v>12</v>
      </c>
      <c r="K512" s="13" t="s">
        <v>1714</v>
      </c>
      <c r="L512" s="6" t="s">
        <v>7641</v>
      </c>
      <c r="M512" s="108" t="s">
        <v>4550</v>
      </c>
      <c r="O512" s="13" t="s">
        <v>15</v>
      </c>
      <c r="P512" s="13" t="s">
        <v>16</v>
      </c>
      <c r="Q512" s="6" t="s">
        <v>1775</v>
      </c>
      <c r="R512" s="17" t="s">
        <v>1776</v>
      </c>
      <c r="S512" s="17" t="s">
        <v>6670</v>
      </c>
      <c r="T512" s="13"/>
      <c r="U512" s="13"/>
      <c r="V512" s="13"/>
      <c r="X512" s="132">
        <v>509</v>
      </c>
      <c r="Y512" s="6"/>
    </row>
    <row r="513" spans="1:25" ht="15" customHeight="1" x14ac:dyDescent="0.2">
      <c r="A513" s="20" t="s">
        <v>8784</v>
      </c>
      <c r="B513" s="22" t="s">
        <v>2608</v>
      </c>
      <c r="C513" s="14">
        <v>44850</v>
      </c>
      <c r="D513" s="13" t="s">
        <v>1533</v>
      </c>
      <c r="E513" s="6" t="s">
        <v>1777</v>
      </c>
      <c r="F513" s="15" t="s">
        <v>11823</v>
      </c>
      <c r="G513" s="6" t="s">
        <v>1778</v>
      </c>
      <c r="I513" s="13" t="s">
        <v>39</v>
      </c>
      <c r="J513" s="13">
        <v>12</v>
      </c>
      <c r="K513" s="13" t="s">
        <v>1714</v>
      </c>
      <c r="L513" s="6" t="s">
        <v>6076</v>
      </c>
      <c r="M513" s="108" t="s">
        <v>6075</v>
      </c>
      <c r="O513" s="13" t="s">
        <v>5556</v>
      </c>
      <c r="P513" s="13" t="s">
        <v>9</v>
      </c>
      <c r="Q513" s="6" t="s">
        <v>1779</v>
      </c>
      <c r="R513" s="17" t="s">
        <v>1780</v>
      </c>
      <c r="S513" s="17" t="s">
        <v>6080</v>
      </c>
      <c r="T513" s="13"/>
      <c r="U513" s="13"/>
      <c r="V513" s="13"/>
      <c r="X513" s="132">
        <v>510</v>
      </c>
      <c r="Y513" s="6"/>
    </row>
    <row r="514" spans="1:25" ht="15" customHeight="1" x14ac:dyDescent="0.2">
      <c r="A514" s="12" t="s">
        <v>4824</v>
      </c>
      <c r="B514" s="13" t="s">
        <v>4978</v>
      </c>
      <c r="C514" s="74">
        <v>46385</v>
      </c>
      <c r="D514" s="13" t="s">
        <v>1533</v>
      </c>
      <c r="E514" s="6" t="s">
        <v>1777</v>
      </c>
      <c r="F514" s="15" t="s">
        <v>11824</v>
      </c>
      <c r="G514" s="6" t="s">
        <v>4822</v>
      </c>
      <c r="I514" s="13" t="s">
        <v>13</v>
      </c>
      <c r="J514" s="13">
        <v>7</v>
      </c>
      <c r="K514" s="13" t="s">
        <v>6603</v>
      </c>
      <c r="L514" s="6" t="s">
        <v>6076</v>
      </c>
      <c r="M514" s="108" t="s">
        <v>6075</v>
      </c>
      <c r="O514" s="13" t="s">
        <v>5556</v>
      </c>
      <c r="P514" s="13" t="s">
        <v>9</v>
      </c>
      <c r="Q514" s="6" t="s">
        <v>4823</v>
      </c>
      <c r="R514" s="17" t="s">
        <v>1780</v>
      </c>
      <c r="S514" s="17" t="s">
        <v>6080</v>
      </c>
      <c r="T514" s="18">
        <v>100</v>
      </c>
      <c r="U514" s="18">
        <v>100</v>
      </c>
      <c r="V514" s="13"/>
      <c r="X514" s="132">
        <v>511</v>
      </c>
      <c r="Y514" s="6"/>
    </row>
    <row r="515" spans="1:25" ht="15" customHeight="1" x14ac:dyDescent="0.2">
      <c r="A515" s="20" t="s">
        <v>6073</v>
      </c>
      <c r="B515" s="22" t="s">
        <v>2608</v>
      </c>
      <c r="C515" s="14">
        <v>45975</v>
      </c>
      <c r="D515" s="13" t="s">
        <v>1533</v>
      </c>
      <c r="E515" s="6" t="s">
        <v>1777</v>
      </c>
      <c r="F515" s="15" t="s">
        <v>6074</v>
      </c>
      <c r="G515" s="6" t="s">
        <v>1778</v>
      </c>
      <c r="H515" s="6" t="s">
        <v>1778</v>
      </c>
      <c r="I515" s="13" t="s">
        <v>39</v>
      </c>
      <c r="J515" s="13">
        <v>12</v>
      </c>
      <c r="K515" s="13" t="s">
        <v>1714</v>
      </c>
      <c r="L515" s="6" t="s">
        <v>6076</v>
      </c>
      <c r="M515" s="108" t="s">
        <v>6075</v>
      </c>
      <c r="N515" s="13" t="s">
        <v>6077</v>
      </c>
      <c r="O515" s="13" t="s">
        <v>5556</v>
      </c>
      <c r="P515" s="13" t="s">
        <v>9</v>
      </c>
      <c r="Q515" s="6" t="s">
        <v>6078</v>
      </c>
      <c r="R515" s="17" t="s">
        <v>6079</v>
      </c>
      <c r="S515" s="17" t="s">
        <v>6080</v>
      </c>
      <c r="T515" s="18">
        <v>100</v>
      </c>
      <c r="U515" s="18">
        <v>100</v>
      </c>
      <c r="V515" s="13" t="s">
        <v>6081</v>
      </c>
      <c r="X515" s="132">
        <v>512</v>
      </c>
      <c r="Y515" s="6"/>
    </row>
    <row r="516" spans="1:25" ht="15" customHeight="1" x14ac:dyDescent="0.25">
      <c r="A516" s="12" t="s">
        <v>10503</v>
      </c>
      <c r="B516" s="79" t="s">
        <v>4977</v>
      </c>
      <c r="C516" s="80">
        <v>46675</v>
      </c>
      <c r="D516" s="79" t="s">
        <v>1533</v>
      </c>
      <c r="E516" s="81" t="s">
        <v>1777</v>
      </c>
      <c r="F516" s="82" t="s">
        <v>10504</v>
      </c>
      <c r="G516" s="81" t="s">
        <v>1778</v>
      </c>
      <c r="H516" s="81" t="s">
        <v>1778</v>
      </c>
      <c r="I516" s="79" t="s">
        <v>39</v>
      </c>
      <c r="J516" s="79">
        <v>12</v>
      </c>
      <c r="K516" s="79" t="s">
        <v>6574</v>
      </c>
      <c r="L516" s="81" t="s">
        <v>10505</v>
      </c>
      <c r="M516" s="109" t="s">
        <v>10506</v>
      </c>
      <c r="N516" s="79" t="s">
        <v>6077</v>
      </c>
      <c r="O516" s="13" t="s">
        <v>5556</v>
      </c>
      <c r="P516" s="13" t="s">
        <v>9</v>
      </c>
      <c r="Q516" s="81" t="s">
        <v>10666</v>
      </c>
      <c r="R516" s="69" t="s">
        <v>10507</v>
      </c>
      <c r="S516" s="69" t="s">
        <v>10775</v>
      </c>
      <c r="T516" s="85">
        <v>100</v>
      </c>
      <c r="U516" s="85">
        <v>100</v>
      </c>
      <c r="V516" s="79" t="s">
        <v>6081</v>
      </c>
      <c r="W516" s="81"/>
      <c r="X516" s="132">
        <v>513</v>
      </c>
      <c r="Y516" s="6"/>
    </row>
    <row r="517" spans="1:25" ht="15" customHeight="1" x14ac:dyDescent="0.2">
      <c r="A517" s="20" t="s">
        <v>1781</v>
      </c>
      <c r="B517" s="22" t="s">
        <v>2608</v>
      </c>
      <c r="C517" s="14">
        <v>45642</v>
      </c>
      <c r="D517" s="13" t="s">
        <v>1533</v>
      </c>
      <c r="E517" s="6" t="s">
        <v>4688</v>
      </c>
      <c r="F517" s="15" t="s">
        <v>11825</v>
      </c>
      <c r="G517" s="6" t="s">
        <v>1782</v>
      </c>
      <c r="I517" s="13" t="s">
        <v>39</v>
      </c>
      <c r="J517" s="13">
        <v>12</v>
      </c>
      <c r="K517" s="13" t="s">
        <v>1714</v>
      </c>
      <c r="L517" s="6" t="s">
        <v>4777</v>
      </c>
      <c r="M517" s="108" t="s">
        <v>4778</v>
      </c>
      <c r="N517" s="13" t="s">
        <v>4779</v>
      </c>
      <c r="O517" s="13" t="s">
        <v>293</v>
      </c>
      <c r="P517" s="13" t="s">
        <v>16</v>
      </c>
      <c r="Q517" s="6" t="s">
        <v>4691</v>
      </c>
      <c r="R517" s="17" t="s">
        <v>1783</v>
      </c>
      <c r="S517" s="17" t="s">
        <v>4690</v>
      </c>
      <c r="T517" s="13">
        <v>120</v>
      </c>
      <c r="U517" s="13">
        <v>60</v>
      </c>
      <c r="V517" s="13" t="s">
        <v>4689</v>
      </c>
      <c r="X517" s="132">
        <v>514</v>
      </c>
      <c r="Y517" s="6"/>
    </row>
    <row r="518" spans="1:25" ht="15" customHeight="1" x14ac:dyDescent="0.2">
      <c r="A518" s="12" t="s">
        <v>8949</v>
      </c>
      <c r="B518" s="13" t="s">
        <v>4977</v>
      </c>
      <c r="C518" s="14">
        <v>46389</v>
      </c>
      <c r="D518" s="13" t="s">
        <v>1533</v>
      </c>
      <c r="E518" s="6" t="s">
        <v>4688</v>
      </c>
      <c r="F518" s="15" t="s">
        <v>8996</v>
      </c>
      <c r="G518" s="6" t="s">
        <v>1782</v>
      </c>
      <c r="H518" s="6" t="s">
        <v>1782</v>
      </c>
      <c r="I518" s="13" t="s">
        <v>13</v>
      </c>
      <c r="J518" s="13">
        <v>8</v>
      </c>
      <c r="K518" s="13" t="s">
        <v>1714</v>
      </c>
      <c r="L518" s="6" t="s">
        <v>12294</v>
      </c>
      <c r="M518" s="108" t="s">
        <v>12295</v>
      </c>
      <c r="N518" s="13" t="s">
        <v>12296</v>
      </c>
      <c r="O518" s="13" t="s">
        <v>445</v>
      </c>
      <c r="P518" s="13" t="s">
        <v>16</v>
      </c>
      <c r="Q518" s="6" t="s">
        <v>8950</v>
      </c>
      <c r="R518" s="17" t="s">
        <v>1783</v>
      </c>
      <c r="S518" s="17" t="s">
        <v>4690</v>
      </c>
      <c r="T518" s="18">
        <v>100</v>
      </c>
      <c r="U518" s="18">
        <v>100</v>
      </c>
      <c r="V518" s="13" t="s">
        <v>8951</v>
      </c>
      <c r="X518" s="132">
        <v>515</v>
      </c>
      <c r="Y518" s="6"/>
    </row>
    <row r="519" spans="1:25" ht="15" customHeight="1" x14ac:dyDescent="0.2">
      <c r="A519" s="20" t="s">
        <v>1784</v>
      </c>
      <c r="B519" s="22" t="s">
        <v>2608</v>
      </c>
      <c r="C519" s="14">
        <v>44850</v>
      </c>
      <c r="D519" s="13" t="s">
        <v>33</v>
      </c>
      <c r="E519" s="6" t="s">
        <v>1785</v>
      </c>
      <c r="F519" s="15" t="s">
        <v>11826</v>
      </c>
      <c r="G519" s="6" t="s">
        <v>1786</v>
      </c>
      <c r="I519" s="13" t="s">
        <v>25</v>
      </c>
      <c r="J519" s="13">
        <v>3</v>
      </c>
      <c r="K519" s="13" t="s">
        <v>1714</v>
      </c>
      <c r="L519" s="6" t="s">
        <v>1787</v>
      </c>
      <c r="M519" s="108"/>
      <c r="O519" s="13" t="s">
        <v>136</v>
      </c>
      <c r="P519" s="13" t="s">
        <v>4</v>
      </c>
      <c r="Q519" s="6" t="s">
        <v>1788</v>
      </c>
      <c r="R519" s="17" t="s">
        <v>1789</v>
      </c>
      <c r="S519" s="17" t="s">
        <v>6634</v>
      </c>
      <c r="T519" s="13"/>
      <c r="U519" s="13"/>
      <c r="V519" s="13"/>
      <c r="X519" s="132">
        <v>516</v>
      </c>
      <c r="Y519" s="6"/>
    </row>
    <row r="520" spans="1:25" ht="15" customHeight="1" x14ac:dyDescent="0.2">
      <c r="A520" s="12" t="s">
        <v>1790</v>
      </c>
      <c r="B520" s="13" t="s">
        <v>4978</v>
      </c>
      <c r="C520" s="74">
        <v>46372</v>
      </c>
      <c r="D520" s="13" t="s">
        <v>33</v>
      </c>
      <c r="E520" s="6" t="s">
        <v>1791</v>
      </c>
      <c r="G520" s="6" t="s">
        <v>1792</v>
      </c>
      <c r="I520" s="13" t="s">
        <v>25</v>
      </c>
      <c r="J520" s="13">
        <v>3</v>
      </c>
      <c r="K520" s="13" t="s">
        <v>1714</v>
      </c>
      <c r="L520" s="6" t="s">
        <v>4692</v>
      </c>
      <c r="M520" s="108" t="s">
        <v>4693</v>
      </c>
      <c r="N520" s="13" t="s">
        <v>2161</v>
      </c>
      <c r="O520" s="13" t="s">
        <v>2146</v>
      </c>
      <c r="P520" s="13" t="s">
        <v>68</v>
      </c>
      <c r="Q520" s="6" t="s">
        <v>1793</v>
      </c>
      <c r="R520" s="46" t="s">
        <v>1794</v>
      </c>
      <c r="S520" s="35" t="s">
        <v>4694</v>
      </c>
      <c r="T520" s="13">
        <v>24</v>
      </c>
      <c r="U520" s="13">
        <v>22</v>
      </c>
      <c r="V520" s="13" t="s">
        <v>4695</v>
      </c>
      <c r="X520" s="132">
        <v>517</v>
      </c>
      <c r="Y520" s="6"/>
    </row>
    <row r="521" spans="1:25" ht="15" customHeight="1" x14ac:dyDescent="0.2">
      <c r="A521" s="20" t="s">
        <v>1833</v>
      </c>
      <c r="B521" s="22" t="s">
        <v>2608</v>
      </c>
      <c r="C521" s="14">
        <v>45643</v>
      </c>
      <c r="D521" s="13" t="s">
        <v>33</v>
      </c>
      <c r="E521" s="6" t="s">
        <v>1840</v>
      </c>
      <c r="F521" s="15" t="s">
        <v>1841</v>
      </c>
      <c r="G521" s="6" t="s">
        <v>1842</v>
      </c>
      <c r="I521" s="13" t="s">
        <v>25</v>
      </c>
      <c r="J521" s="13">
        <v>3</v>
      </c>
      <c r="K521" s="13" t="s">
        <v>1714</v>
      </c>
      <c r="L521" s="6" t="s">
        <v>1849</v>
      </c>
      <c r="M521" s="108"/>
      <c r="O521" s="13" t="s">
        <v>8</v>
      </c>
      <c r="P521" s="13" t="s">
        <v>9</v>
      </c>
      <c r="Q521" s="6" t="s">
        <v>1843</v>
      </c>
      <c r="R521" s="6" t="s">
        <v>1844</v>
      </c>
      <c r="S521" s="17" t="s">
        <v>6634</v>
      </c>
      <c r="T521" s="6">
        <v>32</v>
      </c>
      <c r="U521" s="6">
        <v>32</v>
      </c>
      <c r="V521" s="6">
        <v>32</v>
      </c>
      <c r="X521" s="132">
        <v>518</v>
      </c>
      <c r="Y521" s="6"/>
    </row>
    <row r="522" spans="1:25" ht="15" customHeight="1" x14ac:dyDescent="0.2">
      <c r="A522" s="20" t="s">
        <v>1834</v>
      </c>
      <c r="B522" s="22" t="s">
        <v>2608</v>
      </c>
      <c r="C522" s="14">
        <v>44912</v>
      </c>
      <c r="D522" s="13" t="s">
        <v>33</v>
      </c>
      <c r="E522" s="6" t="s">
        <v>1845</v>
      </c>
      <c r="G522" s="6" t="s">
        <v>1846</v>
      </c>
      <c r="I522" s="13" t="s">
        <v>25</v>
      </c>
      <c r="J522" s="13">
        <v>3</v>
      </c>
      <c r="K522" s="13" t="s">
        <v>1714</v>
      </c>
      <c r="L522" s="6" t="s">
        <v>1850</v>
      </c>
      <c r="M522" s="108"/>
      <c r="O522" s="13" t="s">
        <v>1847</v>
      </c>
      <c r="P522" s="13" t="s">
        <v>68</v>
      </c>
      <c r="Q522" s="6" t="s">
        <v>1848</v>
      </c>
      <c r="R522" s="6" t="s">
        <v>1854</v>
      </c>
      <c r="S522" s="17" t="s">
        <v>6639</v>
      </c>
      <c r="T522" s="6">
        <v>40</v>
      </c>
      <c r="U522" s="6">
        <v>33</v>
      </c>
      <c r="V522" s="6">
        <v>33</v>
      </c>
      <c r="X522" s="132">
        <v>519</v>
      </c>
      <c r="Y522" s="6"/>
    </row>
    <row r="523" spans="1:25" ht="15" customHeight="1" x14ac:dyDescent="0.2">
      <c r="A523" s="19" t="s">
        <v>1835</v>
      </c>
      <c r="B523" s="13" t="s">
        <v>4978</v>
      </c>
      <c r="C523" s="74">
        <v>47422</v>
      </c>
      <c r="D523" s="13" t="s">
        <v>33</v>
      </c>
      <c r="E523" s="6" t="s">
        <v>1851</v>
      </c>
      <c r="F523" s="15" t="s">
        <v>9751</v>
      </c>
      <c r="G523" s="6" t="s">
        <v>1852</v>
      </c>
      <c r="H523" s="6" t="s">
        <v>1852</v>
      </c>
      <c r="I523" s="13" t="s">
        <v>25</v>
      </c>
      <c r="J523" s="13">
        <v>3</v>
      </c>
      <c r="K523" s="13" t="s">
        <v>1714</v>
      </c>
      <c r="L523" s="6" t="s">
        <v>10789</v>
      </c>
      <c r="M523" s="108" t="s">
        <v>10790</v>
      </c>
      <c r="N523" s="13" t="s">
        <v>15</v>
      </c>
      <c r="O523" s="13" t="s">
        <v>15</v>
      </c>
      <c r="P523" s="13" t="s">
        <v>16</v>
      </c>
      <c r="Q523" s="6" t="s">
        <v>10791</v>
      </c>
      <c r="R523" s="6" t="s">
        <v>1853</v>
      </c>
      <c r="S523" s="17"/>
      <c r="T523" s="6">
        <v>34</v>
      </c>
      <c r="U523" s="6">
        <v>28</v>
      </c>
      <c r="V523" s="6" t="s">
        <v>10792</v>
      </c>
      <c r="X523" s="132">
        <v>520</v>
      </c>
      <c r="Y523" s="6"/>
    </row>
    <row r="524" spans="1:25" ht="15" customHeight="1" x14ac:dyDescent="0.2">
      <c r="A524" s="20" t="s">
        <v>1836</v>
      </c>
      <c r="B524" s="22" t="s">
        <v>2608</v>
      </c>
      <c r="C524" s="14">
        <v>45643</v>
      </c>
      <c r="D524" s="13" t="s">
        <v>33</v>
      </c>
      <c r="E524" s="6" t="s">
        <v>1855</v>
      </c>
      <c r="F524" s="15" t="s">
        <v>11827</v>
      </c>
      <c r="G524" s="6" t="s">
        <v>1856</v>
      </c>
      <c r="I524" s="13" t="s">
        <v>25</v>
      </c>
      <c r="J524" s="13">
        <v>3</v>
      </c>
      <c r="K524" s="13" t="s">
        <v>1714</v>
      </c>
      <c r="L524" s="6" t="s">
        <v>1857</v>
      </c>
      <c r="M524" s="108"/>
      <c r="O524" s="13" t="s">
        <v>15</v>
      </c>
      <c r="P524" s="13" t="s">
        <v>16</v>
      </c>
      <c r="Q524" s="6" t="s">
        <v>1858</v>
      </c>
      <c r="R524" s="6" t="s">
        <v>1859</v>
      </c>
      <c r="S524" s="17" t="s">
        <v>6671</v>
      </c>
      <c r="T524" s="6">
        <v>31</v>
      </c>
      <c r="U524" s="6">
        <v>24</v>
      </c>
      <c r="V524" s="6">
        <v>24</v>
      </c>
      <c r="X524" s="132">
        <v>521</v>
      </c>
      <c r="Y524" s="6"/>
    </row>
    <row r="525" spans="1:25" ht="15" customHeight="1" x14ac:dyDescent="0.25">
      <c r="A525" s="12" t="s">
        <v>1837</v>
      </c>
      <c r="B525" s="13" t="s">
        <v>4978</v>
      </c>
      <c r="C525" s="74">
        <v>47055</v>
      </c>
      <c r="D525" s="13" t="s">
        <v>33</v>
      </c>
      <c r="E525" s="6" t="s">
        <v>1860</v>
      </c>
      <c r="F525" s="15" t="s">
        <v>8348</v>
      </c>
      <c r="G525" s="6" t="s">
        <v>1861</v>
      </c>
      <c r="H525" s="6" t="s">
        <v>1861</v>
      </c>
      <c r="I525" s="13" t="s">
        <v>25</v>
      </c>
      <c r="J525" s="13">
        <v>3</v>
      </c>
      <c r="K525" s="13" t="s">
        <v>1714</v>
      </c>
      <c r="L525" s="6" t="s">
        <v>8349</v>
      </c>
      <c r="M525" s="108" t="s">
        <v>8350</v>
      </c>
      <c r="N525" s="13" t="s">
        <v>8351</v>
      </c>
      <c r="O525" s="13" t="s">
        <v>136</v>
      </c>
      <c r="P525" s="13" t="s">
        <v>4</v>
      </c>
      <c r="Q525" s="6" t="s">
        <v>8352</v>
      </c>
      <c r="R525" s="69" t="s">
        <v>8353</v>
      </c>
      <c r="S525" s="17"/>
      <c r="T525" s="6">
        <v>30</v>
      </c>
      <c r="U525" s="6">
        <v>24</v>
      </c>
      <c r="V525" s="6" t="s">
        <v>8354</v>
      </c>
      <c r="X525" s="132">
        <v>522</v>
      </c>
      <c r="Y525" s="6"/>
    </row>
    <row r="526" spans="1:25" ht="15" customHeight="1" x14ac:dyDescent="0.2">
      <c r="A526" s="12" t="s">
        <v>1838</v>
      </c>
      <c r="B526" s="13" t="s">
        <v>4978</v>
      </c>
      <c r="C526" s="74">
        <v>46372</v>
      </c>
      <c r="D526" s="13" t="s">
        <v>33</v>
      </c>
      <c r="E526" s="6" t="s">
        <v>1862</v>
      </c>
      <c r="F526" s="15" t="s">
        <v>11828</v>
      </c>
      <c r="G526" s="6" t="s">
        <v>1863</v>
      </c>
      <c r="I526" s="13" t="s">
        <v>25</v>
      </c>
      <c r="J526" s="13">
        <v>3</v>
      </c>
      <c r="K526" s="13" t="s">
        <v>1714</v>
      </c>
      <c r="L526" s="6" t="s">
        <v>4697</v>
      </c>
      <c r="M526" s="108" t="s">
        <v>4698</v>
      </c>
      <c r="N526" s="13" t="s">
        <v>15</v>
      </c>
      <c r="O526" s="13" t="s">
        <v>15</v>
      </c>
      <c r="P526" s="13" t="s">
        <v>16</v>
      </c>
      <c r="Q526" s="6" t="s">
        <v>4699</v>
      </c>
      <c r="R526" s="6" t="s">
        <v>1864</v>
      </c>
      <c r="S526" s="17" t="s">
        <v>6627</v>
      </c>
      <c r="T526" s="6">
        <v>29</v>
      </c>
      <c r="U526" s="6">
        <v>29</v>
      </c>
      <c r="V526" s="6" t="s">
        <v>4696</v>
      </c>
      <c r="X526" s="132">
        <v>523</v>
      </c>
      <c r="Y526" s="6"/>
    </row>
    <row r="527" spans="1:25" ht="15" customHeight="1" x14ac:dyDescent="0.2">
      <c r="A527" s="20" t="s">
        <v>1839</v>
      </c>
      <c r="B527" s="22" t="s">
        <v>2608</v>
      </c>
      <c r="C527" s="14">
        <v>44912</v>
      </c>
      <c r="D527" s="13" t="s">
        <v>33</v>
      </c>
      <c r="E527" s="6" t="s">
        <v>1865</v>
      </c>
      <c r="G527" s="6" t="s">
        <v>1866</v>
      </c>
      <c r="I527" s="13" t="s">
        <v>25</v>
      </c>
      <c r="J527" s="13">
        <v>3</v>
      </c>
      <c r="K527" s="13" t="s">
        <v>1714</v>
      </c>
      <c r="L527" s="6" t="s">
        <v>1867</v>
      </c>
      <c r="M527" s="108"/>
      <c r="O527" s="13" t="s">
        <v>8</v>
      </c>
      <c r="P527" s="13" t="s">
        <v>9</v>
      </c>
      <c r="Q527" s="6" t="s">
        <v>1868</v>
      </c>
      <c r="R527" s="6" t="s">
        <v>1869</v>
      </c>
      <c r="S527" s="17" t="s">
        <v>6627</v>
      </c>
      <c r="T527" s="6">
        <v>22</v>
      </c>
      <c r="U527" s="6">
        <v>15</v>
      </c>
      <c r="V527" s="6">
        <v>15</v>
      </c>
      <c r="X527" s="132">
        <v>524</v>
      </c>
      <c r="Y527" s="6"/>
    </row>
    <row r="528" spans="1:25" ht="15" customHeight="1" x14ac:dyDescent="0.2">
      <c r="A528" s="12" t="s">
        <v>1870</v>
      </c>
      <c r="B528" s="13" t="s">
        <v>4977</v>
      </c>
      <c r="C528" s="14">
        <v>46822</v>
      </c>
      <c r="D528" s="13" t="s">
        <v>33</v>
      </c>
      <c r="E528" s="6" t="s">
        <v>6108</v>
      </c>
      <c r="F528" s="15" t="s">
        <v>6258</v>
      </c>
      <c r="G528" s="6" t="s">
        <v>1880</v>
      </c>
      <c r="H528" s="6" t="s">
        <v>1880</v>
      </c>
      <c r="I528" s="13" t="s">
        <v>25</v>
      </c>
      <c r="J528" s="13">
        <v>3</v>
      </c>
      <c r="K528" s="13" t="s">
        <v>1714</v>
      </c>
      <c r="L528" s="6" t="s">
        <v>6110</v>
      </c>
      <c r="M528" s="108" t="s">
        <v>6109</v>
      </c>
      <c r="N528" s="13" t="s">
        <v>4114</v>
      </c>
      <c r="O528" s="13" t="s">
        <v>1847</v>
      </c>
      <c r="P528" s="13" t="s">
        <v>68</v>
      </c>
      <c r="Q528" s="6" t="s">
        <v>11256</v>
      </c>
      <c r="R528" s="6" t="s">
        <v>1881</v>
      </c>
      <c r="S528" s="17"/>
      <c r="T528" s="6">
        <v>27</v>
      </c>
      <c r="U528" s="6">
        <v>17</v>
      </c>
      <c r="V528" s="6" t="s">
        <v>6111</v>
      </c>
      <c r="X528" s="132">
        <v>525</v>
      </c>
      <c r="Y528" s="6"/>
    </row>
    <row r="529" spans="1:25" ht="15" customHeight="1" x14ac:dyDescent="0.2">
      <c r="A529" s="12" t="s">
        <v>1871</v>
      </c>
      <c r="B529" s="13" t="s">
        <v>4978</v>
      </c>
      <c r="C529" s="74">
        <v>46596</v>
      </c>
      <c r="D529" s="13" t="s">
        <v>33</v>
      </c>
      <c r="E529" s="6" t="s">
        <v>1882</v>
      </c>
      <c r="F529" s="15" t="s">
        <v>11829</v>
      </c>
      <c r="G529" s="6" t="s">
        <v>1883</v>
      </c>
      <c r="H529" s="6" t="s">
        <v>1883</v>
      </c>
      <c r="I529" s="13" t="s">
        <v>25</v>
      </c>
      <c r="J529" s="13">
        <v>3</v>
      </c>
      <c r="K529" s="13" t="s">
        <v>1714</v>
      </c>
      <c r="L529" s="6" t="s">
        <v>5770</v>
      </c>
      <c r="M529" s="119" t="s">
        <v>5769</v>
      </c>
      <c r="N529" s="13" t="s">
        <v>5439</v>
      </c>
      <c r="O529" s="13" t="s">
        <v>2146</v>
      </c>
      <c r="P529" s="13" t="s">
        <v>68</v>
      </c>
      <c r="Q529" s="6" t="s">
        <v>1884</v>
      </c>
      <c r="R529" s="6" t="s">
        <v>1885</v>
      </c>
      <c r="S529" s="17" t="s">
        <v>5771</v>
      </c>
      <c r="T529" s="6">
        <v>28</v>
      </c>
      <c r="U529" s="6">
        <v>25</v>
      </c>
      <c r="V529" s="6" t="s">
        <v>5772</v>
      </c>
      <c r="X529" s="132">
        <v>526</v>
      </c>
      <c r="Y529" s="6"/>
    </row>
    <row r="530" spans="1:25" ht="15" customHeight="1" x14ac:dyDescent="0.2">
      <c r="A530" s="20" t="s">
        <v>1872</v>
      </c>
      <c r="B530" s="22" t="s">
        <v>2608</v>
      </c>
      <c r="C530" s="14">
        <v>44962</v>
      </c>
      <c r="D530" s="13" t="s">
        <v>33</v>
      </c>
      <c r="E530" s="6" t="s">
        <v>1886</v>
      </c>
      <c r="F530" s="15" t="s">
        <v>11830</v>
      </c>
      <c r="G530" s="6" t="s">
        <v>1887</v>
      </c>
      <c r="I530" s="13" t="s">
        <v>25</v>
      </c>
      <c r="J530" s="13">
        <v>3</v>
      </c>
      <c r="K530" s="13" t="s">
        <v>1714</v>
      </c>
      <c r="L530" s="6" t="s">
        <v>1888</v>
      </c>
      <c r="M530" s="108"/>
      <c r="O530" s="13" t="s">
        <v>1889</v>
      </c>
      <c r="P530" s="13" t="s">
        <v>68</v>
      </c>
      <c r="Q530" s="6" t="s">
        <v>1890</v>
      </c>
      <c r="R530" s="6" t="s">
        <v>1891</v>
      </c>
      <c r="S530" s="17" t="s">
        <v>6634</v>
      </c>
      <c r="T530" s="6">
        <v>17</v>
      </c>
      <c r="U530" s="6">
        <v>17</v>
      </c>
      <c r="V530" s="6">
        <v>17</v>
      </c>
      <c r="X530" s="132">
        <v>527</v>
      </c>
      <c r="Y530" s="6"/>
    </row>
    <row r="531" spans="1:25" ht="15" customHeight="1" x14ac:dyDescent="0.25">
      <c r="A531" s="12" t="s">
        <v>1873</v>
      </c>
      <c r="B531" s="13" t="s">
        <v>4978</v>
      </c>
      <c r="C531" s="74">
        <v>47176</v>
      </c>
      <c r="D531" s="13" t="s">
        <v>33</v>
      </c>
      <c r="E531" s="6" t="s">
        <v>9354</v>
      </c>
      <c r="F531" s="15" t="s">
        <v>9355</v>
      </c>
      <c r="G531" s="6" t="s">
        <v>1892</v>
      </c>
      <c r="H531" s="6" t="s">
        <v>1892</v>
      </c>
      <c r="I531" s="13" t="s">
        <v>25</v>
      </c>
      <c r="J531" s="13">
        <v>3</v>
      </c>
      <c r="K531" s="13" t="s">
        <v>1714</v>
      </c>
      <c r="L531" s="6" t="s">
        <v>9356</v>
      </c>
      <c r="M531" s="108" t="s">
        <v>9357</v>
      </c>
      <c r="N531" s="13" t="s">
        <v>273</v>
      </c>
      <c r="O531" s="13" t="s">
        <v>11949</v>
      </c>
      <c r="P531" s="13" t="s">
        <v>68</v>
      </c>
      <c r="Q531" s="6" t="s">
        <v>9358</v>
      </c>
      <c r="R531" s="69" t="s">
        <v>1893</v>
      </c>
      <c r="S531" s="17" t="s">
        <v>6672</v>
      </c>
      <c r="T531" s="6">
        <v>40</v>
      </c>
      <c r="U531" s="6">
        <v>32</v>
      </c>
      <c r="V531" s="6" t="s">
        <v>9359</v>
      </c>
      <c r="X531" s="132">
        <v>528</v>
      </c>
      <c r="Y531" s="6"/>
    </row>
    <row r="532" spans="1:25" ht="15" customHeight="1" x14ac:dyDescent="0.25">
      <c r="A532" s="19" t="s">
        <v>10840</v>
      </c>
      <c r="B532" s="13" t="s">
        <v>4978</v>
      </c>
      <c r="C532" s="102">
        <v>47422</v>
      </c>
      <c r="D532" s="79" t="s">
        <v>33</v>
      </c>
      <c r="E532" s="81" t="s">
        <v>9354</v>
      </c>
      <c r="F532" s="82" t="s">
        <v>10841</v>
      </c>
      <c r="G532" s="81" t="s">
        <v>10842</v>
      </c>
      <c r="H532" s="81" t="s">
        <v>10842</v>
      </c>
      <c r="I532" s="79" t="s">
        <v>25</v>
      </c>
      <c r="J532" s="79">
        <v>3</v>
      </c>
      <c r="K532" s="79" t="s">
        <v>1714</v>
      </c>
      <c r="L532" s="81" t="s">
        <v>10843</v>
      </c>
      <c r="M532" s="109" t="s">
        <v>6824</v>
      </c>
      <c r="N532" s="79" t="s">
        <v>273</v>
      </c>
      <c r="O532" s="13" t="s">
        <v>11949</v>
      </c>
      <c r="P532" s="13" t="s">
        <v>68</v>
      </c>
      <c r="Q532" s="81" t="s">
        <v>10844</v>
      </c>
      <c r="R532" s="69" t="s">
        <v>1893</v>
      </c>
      <c r="S532" s="69" t="s">
        <v>6672</v>
      </c>
      <c r="T532" s="85">
        <v>20</v>
      </c>
      <c r="U532" s="85">
        <v>14</v>
      </c>
      <c r="V532" s="79" t="s">
        <v>9359</v>
      </c>
      <c r="W532" s="81"/>
      <c r="X532" s="132">
        <v>529</v>
      </c>
      <c r="Y532" s="6"/>
    </row>
    <row r="533" spans="1:25" ht="15" customHeight="1" x14ac:dyDescent="0.2">
      <c r="A533" s="12" t="s">
        <v>1874</v>
      </c>
      <c r="B533" s="13" t="s">
        <v>4978</v>
      </c>
      <c r="C533" s="74">
        <v>47285</v>
      </c>
      <c r="D533" s="13" t="s">
        <v>33</v>
      </c>
      <c r="E533" s="6" t="s">
        <v>1894</v>
      </c>
      <c r="F533" s="15" t="s">
        <v>10174</v>
      </c>
      <c r="G533" s="6" t="s">
        <v>1895</v>
      </c>
      <c r="H533" s="6" t="s">
        <v>1895</v>
      </c>
      <c r="I533" s="13" t="s">
        <v>25</v>
      </c>
      <c r="J533" s="13">
        <v>3</v>
      </c>
      <c r="K533" s="13" t="s">
        <v>1714</v>
      </c>
      <c r="L533" s="6" t="s">
        <v>10175</v>
      </c>
      <c r="M533" s="108" t="s">
        <v>10176</v>
      </c>
      <c r="N533" s="13" t="s">
        <v>10177</v>
      </c>
      <c r="O533" s="13" t="s">
        <v>165</v>
      </c>
      <c r="P533" s="13" t="s">
        <v>9</v>
      </c>
      <c r="Q533" s="6" t="s">
        <v>10178</v>
      </c>
      <c r="R533" s="6" t="s">
        <v>1896</v>
      </c>
      <c r="S533" s="17"/>
      <c r="T533" s="6">
        <v>17</v>
      </c>
      <c r="U533" s="6">
        <v>17</v>
      </c>
      <c r="V533" s="6" t="s">
        <v>10179</v>
      </c>
      <c r="X533" s="132">
        <v>530</v>
      </c>
      <c r="Y533" s="6"/>
    </row>
    <row r="534" spans="1:25" ht="15" customHeight="1" x14ac:dyDescent="0.2">
      <c r="A534" s="20" t="s">
        <v>1875</v>
      </c>
      <c r="B534" s="22" t="s">
        <v>2608</v>
      </c>
      <c r="C534" s="14">
        <v>45693</v>
      </c>
      <c r="D534" s="13" t="s">
        <v>33</v>
      </c>
      <c r="E534" s="6" t="s">
        <v>1897</v>
      </c>
      <c r="F534" s="15" t="s">
        <v>11831</v>
      </c>
      <c r="G534" s="6" t="s">
        <v>1898</v>
      </c>
      <c r="I534" s="13" t="s">
        <v>25</v>
      </c>
      <c r="J534" s="13">
        <v>3</v>
      </c>
      <c r="K534" s="13" t="s">
        <v>1714</v>
      </c>
      <c r="L534" s="6" t="s">
        <v>1899</v>
      </c>
      <c r="M534" s="108"/>
      <c r="O534" s="13" t="s">
        <v>61</v>
      </c>
      <c r="P534" s="13" t="s">
        <v>9</v>
      </c>
      <c r="Q534" s="6" t="s">
        <v>1900</v>
      </c>
      <c r="R534" s="6" t="s">
        <v>1902</v>
      </c>
      <c r="S534" s="17" t="s">
        <v>6673</v>
      </c>
      <c r="T534" s="6" t="s">
        <v>1901</v>
      </c>
      <c r="U534" s="6" t="s">
        <v>1901</v>
      </c>
      <c r="V534" s="6" t="s">
        <v>1901</v>
      </c>
      <c r="X534" s="132">
        <v>531</v>
      </c>
      <c r="Y534" s="6"/>
    </row>
    <row r="535" spans="1:25" ht="15" customHeight="1" x14ac:dyDescent="0.2">
      <c r="A535" s="12" t="s">
        <v>1876</v>
      </c>
      <c r="B535" s="13" t="s">
        <v>4978</v>
      </c>
      <c r="C535" s="74">
        <v>47194</v>
      </c>
      <c r="D535" s="13" t="s">
        <v>33</v>
      </c>
      <c r="E535" s="6" t="s">
        <v>1903</v>
      </c>
      <c r="F535" s="15" t="s">
        <v>9522</v>
      </c>
      <c r="G535" s="6" t="s">
        <v>1904</v>
      </c>
      <c r="H535" s="6" t="s">
        <v>1904</v>
      </c>
      <c r="I535" s="13" t="s">
        <v>25</v>
      </c>
      <c r="J535" s="13">
        <v>3</v>
      </c>
      <c r="K535" s="13" t="s">
        <v>1714</v>
      </c>
      <c r="L535" s="6" t="s">
        <v>9523</v>
      </c>
      <c r="M535" s="108" t="s">
        <v>9524</v>
      </c>
      <c r="N535" s="13" t="s">
        <v>240</v>
      </c>
      <c r="O535" s="13" t="s">
        <v>240</v>
      </c>
      <c r="P535" s="13" t="s">
        <v>16</v>
      </c>
      <c r="Q535" s="6" t="s">
        <v>9525</v>
      </c>
      <c r="R535" s="6" t="s">
        <v>1905</v>
      </c>
      <c r="S535" s="17" t="s">
        <v>6674</v>
      </c>
      <c r="T535" s="6">
        <v>51</v>
      </c>
      <c r="U535" s="6">
        <v>46</v>
      </c>
      <c r="V535" s="6" t="s">
        <v>9526</v>
      </c>
      <c r="X535" s="132">
        <v>532</v>
      </c>
      <c r="Y535" s="6"/>
    </row>
    <row r="536" spans="1:25" ht="15" customHeight="1" x14ac:dyDescent="0.25">
      <c r="A536" s="12" t="s">
        <v>1877</v>
      </c>
      <c r="B536" s="13" t="s">
        <v>4978</v>
      </c>
      <c r="C536" s="74">
        <v>47148</v>
      </c>
      <c r="D536" s="13" t="s">
        <v>33</v>
      </c>
      <c r="E536" s="6" t="s">
        <v>1906</v>
      </c>
      <c r="F536" s="15" t="s">
        <v>1906</v>
      </c>
      <c r="G536" s="6" t="s">
        <v>9056</v>
      </c>
      <c r="H536" s="6" t="s">
        <v>9056</v>
      </c>
      <c r="I536" s="13" t="s">
        <v>25</v>
      </c>
      <c r="J536" s="13">
        <v>6</v>
      </c>
      <c r="K536" s="13" t="s">
        <v>1714</v>
      </c>
      <c r="L536" s="6" t="s">
        <v>9057</v>
      </c>
      <c r="M536" s="108" t="s">
        <v>9058</v>
      </c>
      <c r="N536" s="13" t="s">
        <v>9059</v>
      </c>
      <c r="O536" s="13" t="s">
        <v>2146</v>
      </c>
      <c r="P536" s="13" t="s">
        <v>68</v>
      </c>
      <c r="Q536" s="6" t="s">
        <v>9060</v>
      </c>
      <c r="R536" s="6" t="s">
        <v>1907</v>
      </c>
      <c r="S536" s="69" t="s">
        <v>9061</v>
      </c>
      <c r="T536" s="6">
        <v>12</v>
      </c>
      <c r="U536" s="6">
        <v>9</v>
      </c>
      <c r="V536" s="6" t="s">
        <v>9062</v>
      </c>
      <c r="X536" s="132">
        <v>533</v>
      </c>
      <c r="Y536" s="6"/>
    </row>
    <row r="537" spans="1:25" ht="15" customHeight="1" x14ac:dyDescent="0.2">
      <c r="A537" s="19" t="s">
        <v>1878</v>
      </c>
      <c r="B537" s="13" t="s">
        <v>4978</v>
      </c>
      <c r="C537" s="74">
        <v>47243</v>
      </c>
      <c r="D537" s="13" t="s">
        <v>33</v>
      </c>
      <c r="E537" s="6" t="s">
        <v>11674</v>
      </c>
      <c r="F537" s="15" t="s">
        <v>8815</v>
      </c>
      <c r="G537" s="6" t="s">
        <v>1908</v>
      </c>
      <c r="H537" s="6" t="s">
        <v>1908</v>
      </c>
      <c r="I537" s="13" t="s">
        <v>25</v>
      </c>
      <c r="J537" s="13">
        <v>3</v>
      </c>
      <c r="K537" s="13" t="s">
        <v>1714</v>
      </c>
      <c r="L537" s="6" t="s">
        <v>9787</v>
      </c>
      <c r="M537" s="108" t="s">
        <v>5973</v>
      </c>
      <c r="N537" s="13" t="s">
        <v>5974</v>
      </c>
      <c r="O537" s="13" t="s">
        <v>1055</v>
      </c>
      <c r="P537" s="13" t="s">
        <v>16</v>
      </c>
      <c r="Q537" s="6" t="s">
        <v>9788</v>
      </c>
      <c r="R537" s="6" t="s">
        <v>1909</v>
      </c>
      <c r="S537" s="17"/>
      <c r="T537" s="6">
        <v>25</v>
      </c>
      <c r="U537" s="6">
        <v>21</v>
      </c>
      <c r="V537" s="6" t="s">
        <v>9789</v>
      </c>
      <c r="X537" s="132">
        <v>534</v>
      </c>
      <c r="Y537" s="6"/>
    </row>
    <row r="538" spans="1:25" ht="15" customHeight="1" x14ac:dyDescent="0.2">
      <c r="A538" s="20" t="s">
        <v>1879</v>
      </c>
      <c r="B538" s="22" t="s">
        <v>2608</v>
      </c>
      <c r="C538" s="14">
        <v>44962</v>
      </c>
      <c r="D538" s="13" t="s">
        <v>33</v>
      </c>
      <c r="E538" s="6" t="s">
        <v>1910</v>
      </c>
      <c r="F538" s="15" t="s">
        <v>7905</v>
      </c>
      <c r="G538" s="6" t="s">
        <v>1913</v>
      </c>
      <c r="I538" s="13" t="s">
        <v>25</v>
      </c>
      <c r="J538" s="13">
        <v>3</v>
      </c>
      <c r="K538" s="13" t="s">
        <v>1714</v>
      </c>
      <c r="L538" s="6" t="s">
        <v>1914</v>
      </c>
      <c r="M538" s="108"/>
      <c r="O538" s="13" t="s">
        <v>11948</v>
      </c>
      <c r="P538" s="13" t="s">
        <v>68</v>
      </c>
      <c r="Q538" s="6" t="s">
        <v>1911</v>
      </c>
      <c r="R538" s="6" t="s">
        <v>1912</v>
      </c>
      <c r="S538" s="17" t="s">
        <v>6634</v>
      </c>
      <c r="T538" s="6">
        <v>13</v>
      </c>
      <c r="U538" s="6">
        <v>13</v>
      </c>
      <c r="V538" s="6">
        <v>13</v>
      </c>
      <c r="X538" s="132">
        <v>535</v>
      </c>
      <c r="Y538" s="6"/>
    </row>
    <row r="539" spans="1:25" ht="15" customHeight="1" x14ac:dyDescent="0.25">
      <c r="A539" s="12" t="s">
        <v>1917</v>
      </c>
      <c r="B539" s="13" t="s">
        <v>4978</v>
      </c>
      <c r="C539" s="74">
        <v>47026</v>
      </c>
      <c r="D539" s="13" t="s">
        <v>1533</v>
      </c>
      <c r="E539" s="6" t="s">
        <v>1915</v>
      </c>
      <c r="F539" s="15" t="s">
        <v>8253</v>
      </c>
      <c r="G539" s="6" t="s">
        <v>8254</v>
      </c>
      <c r="H539" s="6" t="s">
        <v>1916</v>
      </c>
      <c r="I539" s="13" t="s">
        <v>25</v>
      </c>
      <c r="J539" s="13">
        <v>6</v>
      </c>
      <c r="K539" s="13" t="s">
        <v>1714</v>
      </c>
      <c r="L539" s="6" t="s">
        <v>8257</v>
      </c>
      <c r="M539" s="108" t="s">
        <v>8255</v>
      </c>
      <c r="N539" s="13" t="s">
        <v>8256</v>
      </c>
      <c r="O539" s="13" t="s">
        <v>53</v>
      </c>
      <c r="P539" s="13" t="s">
        <v>54</v>
      </c>
      <c r="Q539" s="6" t="s">
        <v>8258</v>
      </c>
      <c r="R539" s="69" t="s">
        <v>8259</v>
      </c>
      <c r="S539" s="17" t="s">
        <v>6675</v>
      </c>
      <c r="T539" s="6">
        <v>22</v>
      </c>
      <c r="U539" s="6">
        <v>13</v>
      </c>
      <c r="V539" s="6" t="s">
        <v>8260</v>
      </c>
      <c r="X539" s="132">
        <v>536</v>
      </c>
      <c r="Y539" s="6"/>
    </row>
    <row r="540" spans="1:25" ht="15" customHeight="1" x14ac:dyDescent="0.25">
      <c r="A540" s="12" t="s">
        <v>1919</v>
      </c>
      <c r="B540" s="13" t="s">
        <v>4978</v>
      </c>
      <c r="C540" s="74">
        <v>47176</v>
      </c>
      <c r="D540" s="13" t="s">
        <v>1533</v>
      </c>
      <c r="E540" s="6" t="s">
        <v>1918</v>
      </c>
      <c r="F540" s="15" t="s">
        <v>9360</v>
      </c>
      <c r="G540" s="6" t="s">
        <v>1920</v>
      </c>
      <c r="H540" s="6" t="s">
        <v>1920</v>
      </c>
      <c r="I540" s="13" t="s">
        <v>25</v>
      </c>
      <c r="J540" s="13">
        <v>6</v>
      </c>
      <c r="K540" s="13" t="s">
        <v>1714</v>
      </c>
      <c r="L540" s="6" t="s">
        <v>9361</v>
      </c>
      <c r="M540" s="108" t="s">
        <v>9362</v>
      </c>
      <c r="N540" s="13" t="s">
        <v>9363</v>
      </c>
      <c r="O540" s="13" t="s">
        <v>204</v>
      </c>
      <c r="P540" s="13" t="s">
        <v>9</v>
      </c>
      <c r="Q540" s="6" t="s">
        <v>9364</v>
      </c>
      <c r="R540" s="69" t="s">
        <v>9365</v>
      </c>
      <c r="S540" s="69" t="s">
        <v>9366</v>
      </c>
      <c r="T540" s="6">
        <v>33</v>
      </c>
      <c r="U540" s="6">
        <v>25</v>
      </c>
      <c r="V540" s="6" t="s">
        <v>9367</v>
      </c>
      <c r="X540" s="132">
        <v>537</v>
      </c>
      <c r="Y540" s="6"/>
    </row>
    <row r="541" spans="1:25" ht="15" customHeight="1" x14ac:dyDescent="0.2">
      <c r="A541" s="12" t="s">
        <v>1921</v>
      </c>
      <c r="B541" s="13" t="s">
        <v>4978</v>
      </c>
      <c r="C541" s="74" t="s">
        <v>6469</v>
      </c>
      <c r="D541" s="13" t="s">
        <v>33</v>
      </c>
      <c r="E541" s="6" t="s">
        <v>1922</v>
      </c>
      <c r="F541" s="15" t="s">
        <v>6361</v>
      </c>
      <c r="G541" s="6" t="s">
        <v>1923</v>
      </c>
      <c r="H541" s="6" t="s">
        <v>1923</v>
      </c>
      <c r="I541" s="13" t="s">
        <v>25</v>
      </c>
      <c r="J541" s="13">
        <v>3</v>
      </c>
      <c r="K541" s="13" t="s">
        <v>1714</v>
      </c>
      <c r="L541" s="6" t="s">
        <v>6357</v>
      </c>
      <c r="M541" s="108" t="s">
        <v>6358</v>
      </c>
      <c r="N541" s="13" t="s">
        <v>61</v>
      </c>
      <c r="O541" s="13" t="s">
        <v>61</v>
      </c>
      <c r="P541" s="13" t="s">
        <v>9</v>
      </c>
      <c r="Q541" s="6" t="s">
        <v>6359</v>
      </c>
      <c r="R541" s="6" t="s">
        <v>6360</v>
      </c>
      <c r="S541" s="17" t="s">
        <v>6676</v>
      </c>
      <c r="T541" s="6">
        <v>16</v>
      </c>
      <c r="U541" s="6">
        <v>15</v>
      </c>
      <c r="V541" s="6" t="s">
        <v>6362</v>
      </c>
      <c r="X541" s="132">
        <v>538</v>
      </c>
      <c r="Y541" s="6"/>
    </row>
    <row r="542" spans="1:25" ht="15" customHeight="1" x14ac:dyDescent="0.2">
      <c r="A542" s="20" t="s">
        <v>1924</v>
      </c>
      <c r="B542" s="22" t="s">
        <v>2608</v>
      </c>
      <c r="C542" s="14">
        <v>45693</v>
      </c>
      <c r="D542" s="13" t="s">
        <v>33</v>
      </c>
      <c r="E542" s="6" t="s">
        <v>1934</v>
      </c>
      <c r="G542" s="6" t="s">
        <v>1935</v>
      </c>
      <c r="I542" s="13" t="s">
        <v>25</v>
      </c>
      <c r="J542" s="13">
        <v>3</v>
      </c>
      <c r="K542" s="13" t="s">
        <v>1714</v>
      </c>
      <c r="L542" s="6" t="s">
        <v>1936</v>
      </c>
      <c r="M542" s="108"/>
      <c r="O542" s="13" t="s">
        <v>15</v>
      </c>
      <c r="P542" s="13" t="s">
        <v>16</v>
      </c>
      <c r="Q542" s="6" t="s">
        <v>1937</v>
      </c>
      <c r="R542" s="6" t="s">
        <v>1938</v>
      </c>
      <c r="S542" s="17" t="s">
        <v>6634</v>
      </c>
      <c r="T542" s="6">
        <v>24</v>
      </c>
      <c r="U542" s="6">
        <v>14</v>
      </c>
      <c r="V542" s="6" t="s">
        <v>10766</v>
      </c>
      <c r="X542" s="132">
        <v>539</v>
      </c>
      <c r="Y542" s="6"/>
    </row>
    <row r="543" spans="1:25" ht="15" customHeight="1" x14ac:dyDescent="0.25">
      <c r="A543" s="12" t="s">
        <v>10757</v>
      </c>
      <c r="B543" s="13" t="s">
        <v>4978</v>
      </c>
      <c r="C543" s="102">
        <v>47406</v>
      </c>
      <c r="D543" s="79" t="s">
        <v>33</v>
      </c>
      <c r="E543" s="81" t="s">
        <v>10758</v>
      </c>
      <c r="F543" s="82" t="s">
        <v>10759</v>
      </c>
      <c r="G543" s="81" t="s">
        <v>10760</v>
      </c>
      <c r="H543" s="81" t="s">
        <v>10760</v>
      </c>
      <c r="I543" s="79" t="s">
        <v>25</v>
      </c>
      <c r="J543" s="79">
        <v>3</v>
      </c>
      <c r="K543" s="79" t="s">
        <v>1714</v>
      </c>
      <c r="L543" s="81" t="s">
        <v>10761</v>
      </c>
      <c r="M543" s="109" t="s">
        <v>10762</v>
      </c>
      <c r="N543" s="79" t="s">
        <v>2123</v>
      </c>
      <c r="O543" s="13" t="s">
        <v>15</v>
      </c>
      <c r="P543" s="13" t="s">
        <v>16</v>
      </c>
      <c r="Q543" s="81" t="s">
        <v>10763</v>
      </c>
      <c r="R543" s="69" t="s">
        <v>10764</v>
      </c>
      <c r="S543" s="69" t="s">
        <v>10765</v>
      </c>
      <c r="T543" s="85">
        <v>24</v>
      </c>
      <c r="U543" s="85">
        <v>17</v>
      </c>
      <c r="V543" s="79" t="s">
        <v>10766</v>
      </c>
      <c r="W543" s="81"/>
      <c r="X543" s="132">
        <v>540</v>
      </c>
      <c r="Y543" s="6"/>
    </row>
    <row r="544" spans="1:25" ht="15" customHeight="1" x14ac:dyDescent="0.25">
      <c r="A544" s="12" t="s">
        <v>1925</v>
      </c>
      <c r="B544" s="13" t="s">
        <v>4978</v>
      </c>
      <c r="C544" s="74">
        <v>47148</v>
      </c>
      <c r="D544" s="13" t="s">
        <v>33</v>
      </c>
      <c r="E544" s="6" t="s">
        <v>1939</v>
      </c>
      <c r="F544" s="15" t="s">
        <v>9127</v>
      </c>
      <c r="G544" s="6" t="s">
        <v>1940</v>
      </c>
      <c r="H544" s="6" t="s">
        <v>9128</v>
      </c>
      <c r="I544" s="13" t="s">
        <v>25</v>
      </c>
      <c r="J544" s="13">
        <v>3</v>
      </c>
      <c r="K544" s="13" t="s">
        <v>1714</v>
      </c>
      <c r="L544" s="6" t="s">
        <v>9129</v>
      </c>
      <c r="M544" s="108" t="s">
        <v>9130</v>
      </c>
      <c r="N544" s="13" t="s">
        <v>9131</v>
      </c>
      <c r="O544" s="13" t="s">
        <v>2146</v>
      </c>
      <c r="P544" s="13" t="s">
        <v>68</v>
      </c>
      <c r="Q544" s="6" t="s">
        <v>9132</v>
      </c>
      <c r="R544" s="6" t="s">
        <v>1941</v>
      </c>
      <c r="S544" s="69" t="s">
        <v>9133</v>
      </c>
      <c r="T544" s="6">
        <v>20</v>
      </c>
      <c r="U544" s="6">
        <v>17</v>
      </c>
      <c r="V544" s="6" t="s">
        <v>9134</v>
      </c>
      <c r="X544" s="132">
        <v>541</v>
      </c>
      <c r="Y544" s="6"/>
    </row>
    <row r="545" spans="1:25" ht="15" customHeight="1" x14ac:dyDescent="0.2">
      <c r="A545" s="12" t="s">
        <v>1926</v>
      </c>
      <c r="B545" s="13" t="s">
        <v>4978</v>
      </c>
      <c r="C545" s="74">
        <v>47406</v>
      </c>
      <c r="D545" s="13" t="s">
        <v>33</v>
      </c>
      <c r="E545" s="6" t="s">
        <v>1942</v>
      </c>
      <c r="F545" s="15" t="s">
        <v>10508</v>
      </c>
      <c r="G545" s="6" t="s">
        <v>10509</v>
      </c>
      <c r="H545" s="6" t="s">
        <v>10509</v>
      </c>
      <c r="I545" s="13" t="s">
        <v>25</v>
      </c>
      <c r="J545" s="13">
        <v>3</v>
      </c>
      <c r="K545" s="13" t="s">
        <v>1714</v>
      </c>
      <c r="L545" s="6" t="s">
        <v>10510</v>
      </c>
      <c r="M545" s="108" t="s">
        <v>10511</v>
      </c>
      <c r="N545" s="13" t="s">
        <v>3723</v>
      </c>
      <c r="O545" s="13" t="s">
        <v>172</v>
      </c>
      <c r="P545" s="13" t="s">
        <v>9</v>
      </c>
      <c r="Q545" s="6" t="s">
        <v>10512</v>
      </c>
      <c r="R545" s="6" t="s">
        <v>1943</v>
      </c>
      <c r="S545" s="17"/>
      <c r="T545" s="6">
        <v>27</v>
      </c>
      <c r="U545" s="6">
        <v>17</v>
      </c>
      <c r="V545" s="6" t="s">
        <v>10513</v>
      </c>
      <c r="X545" s="132">
        <v>542</v>
      </c>
      <c r="Y545" s="6"/>
    </row>
    <row r="546" spans="1:25" ht="15" customHeight="1" x14ac:dyDescent="0.2">
      <c r="A546" s="12" t="s">
        <v>1927</v>
      </c>
      <c r="B546" s="13" t="s">
        <v>4978</v>
      </c>
      <c r="C546" s="74">
        <v>46771</v>
      </c>
      <c r="D546" s="13" t="s">
        <v>33</v>
      </c>
      <c r="E546" s="6" t="s">
        <v>1944</v>
      </c>
      <c r="F546" s="15" t="s">
        <v>6712</v>
      </c>
      <c r="G546" s="6" t="s">
        <v>1945</v>
      </c>
      <c r="H546" s="6" t="s">
        <v>1945</v>
      </c>
      <c r="I546" s="13" t="s">
        <v>25</v>
      </c>
      <c r="J546" s="13">
        <v>3</v>
      </c>
      <c r="K546" s="13" t="s">
        <v>1714</v>
      </c>
      <c r="L546" s="6" t="s">
        <v>6707</v>
      </c>
      <c r="M546" s="108" t="s">
        <v>6708</v>
      </c>
      <c r="N546" s="13" t="s">
        <v>6709</v>
      </c>
      <c r="O546" s="13" t="s">
        <v>8</v>
      </c>
      <c r="P546" s="13" t="s">
        <v>9</v>
      </c>
      <c r="Q546" s="6" t="s">
        <v>6710</v>
      </c>
      <c r="R546" s="6" t="s">
        <v>1946</v>
      </c>
      <c r="S546" s="17" t="s">
        <v>6677</v>
      </c>
      <c r="T546" s="6">
        <v>31</v>
      </c>
      <c r="U546" s="6">
        <v>29</v>
      </c>
      <c r="V546" s="6" t="s">
        <v>6711</v>
      </c>
      <c r="X546" s="132">
        <v>543</v>
      </c>
      <c r="Y546" s="6"/>
    </row>
    <row r="547" spans="1:25" ht="15" customHeight="1" x14ac:dyDescent="0.2">
      <c r="A547" s="20" t="s">
        <v>1928</v>
      </c>
      <c r="B547" s="22" t="s">
        <v>2608</v>
      </c>
      <c r="C547" s="14">
        <v>45693</v>
      </c>
      <c r="D547" s="13" t="s">
        <v>33</v>
      </c>
      <c r="E547" s="6" t="s">
        <v>1947</v>
      </c>
      <c r="F547" s="15" t="s">
        <v>11832</v>
      </c>
      <c r="G547" s="6" t="s">
        <v>1948</v>
      </c>
      <c r="I547" s="13" t="s">
        <v>25</v>
      </c>
      <c r="J547" s="13">
        <v>3</v>
      </c>
      <c r="K547" s="13" t="s">
        <v>1714</v>
      </c>
      <c r="L547" s="6" t="s">
        <v>1949</v>
      </c>
      <c r="M547" s="108"/>
      <c r="O547" s="13" t="s">
        <v>172</v>
      </c>
      <c r="P547" s="13" t="s">
        <v>9</v>
      </c>
      <c r="Q547" s="6" t="s">
        <v>1950</v>
      </c>
      <c r="R547" s="6" t="s">
        <v>1951</v>
      </c>
      <c r="S547" s="17" t="s">
        <v>6678</v>
      </c>
      <c r="T547" s="6" t="s">
        <v>1901</v>
      </c>
      <c r="U547" s="6" t="s">
        <v>1901</v>
      </c>
      <c r="V547" s="6" t="s">
        <v>1901</v>
      </c>
      <c r="X547" s="132">
        <v>544</v>
      </c>
      <c r="Y547" s="6"/>
    </row>
    <row r="548" spans="1:25" ht="15" customHeight="1" x14ac:dyDescent="0.2">
      <c r="A548" s="20" t="s">
        <v>1929</v>
      </c>
      <c r="B548" s="22" t="s">
        <v>2608</v>
      </c>
      <c r="C548" s="14">
        <v>44962</v>
      </c>
      <c r="D548" s="13" t="s">
        <v>33</v>
      </c>
      <c r="E548" s="6" t="s">
        <v>1952</v>
      </c>
      <c r="G548" s="6" t="s">
        <v>1953</v>
      </c>
      <c r="I548" s="13" t="s">
        <v>25</v>
      </c>
      <c r="J548" s="13">
        <v>3</v>
      </c>
      <c r="K548" s="13" t="s">
        <v>1714</v>
      </c>
      <c r="L548" s="6" t="s">
        <v>1955</v>
      </c>
      <c r="M548" s="108"/>
      <c r="O548" s="13" t="s">
        <v>97</v>
      </c>
      <c r="P548" s="13" t="s">
        <v>4</v>
      </c>
      <c r="Q548" s="6" t="s">
        <v>1954</v>
      </c>
      <c r="R548" s="6" t="s">
        <v>1956</v>
      </c>
      <c r="S548" s="17" t="s">
        <v>6679</v>
      </c>
      <c r="T548" s="6">
        <v>13</v>
      </c>
      <c r="U548" s="6">
        <v>4</v>
      </c>
      <c r="V548" s="6">
        <v>4</v>
      </c>
      <c r="X548" s="132">
        <v>545</v>
      </c>
      <c r="Y548" s="6"/>
    </row>
    <row r="549" spans="1:25" ht="15" customHeight="1" x14ac:dyDescent="0.25">
      <c r="A549" s="12" t="s">
        <v>1930</v>
      </c>
      <c r="B549" s="13" t="s">
        <v>4978</v>
      </c>
      <c r="C549" s="74">
        <v>47406</v>
      </c>
      <c r="D549" s="13" t="s">
        <v>33</v>
      </c>
      <c r="E549" s="6" t="s">
        <v>10650</v>
      </c>
      <c r="F549" s="15" t="s">
        <v>10651</v>
      </c>
      <c r="G549" s="6" t="s">
        <v>1957</v>
      </c>
      <c r="H549" s="6" t="s">
        <v>1957</v>
      </c>
      <c r="I549" s="13" t="s">
        <v>25</v>
      </c>
      <c r="J549" s="13">
        <v>3</v>
      </c>
      <c r="K549" s="13" t="s">
        <v>1714</v>
      </c>
      <c r="L549" s="6" t="s">
        <v>10652</v>
      </c>
      <c r="M549" s="108" t="s">
        <v>5154</v>
      </c>
      <c r="N549" s="13" t="s">
        <v>2829</v>
      </c>
      <c r="O549" s="13" t="s">
        <v>1055</v>
      </c>
      <c r="P549" s="13" t="s">
        <v>16</v>
      </c>
      <c r="Q549" s="6" t="s">
        <v>10653</v>
      </c>
      <c r="R549" s="69" t="s">
        <v>10654</v>
      </c>
      <c r="S549" s="17"/>
      <c r="T549" s="6">
        <v>24</v>
      </c>
      <c r="U549" s="6">
        <v>24</v>
      </c>
      <c r="V549" s="6" t="s">
        <v>10655</v>
      </c>
      <c r="X549" s="132">
        <v>546</v>
      </c>
      <c r="Y549" s="6"/>
    </row>
    <row r="550" spans="1:25" ht="15" customHeight="1" x14ac:dyDescent="0.25">
      <c r="A550" s="12" t="s">
        <v>1931</v>
      </c>
      <c r="B550" s="13" t="s">
        <v>4978</v>
      </c>
      <c r="C550" s="74">
        <v>47176</v>
      </c>
      <c r="D550" s="13" t="s">
        <v>33</v>
      </c>
      <c r="E550" s="6" t="s">
        <v>1960</v>
      </c>
      <c r="F550" s="15" t="s">
        <v>9498</v>
      </c>
      <c r="G550" s="6" t="s">
        <v>1961</v>
      </c>
      <c r="H550" s="6" t="s">
        <v>1961</v>
      </c>
      <c r="I550" s="13" t="s">
        <v>25</v>
      </c>
      <c r="J550" s="13">
        <v>3</v>
      </c>
      <c r="K550" s="13" t="s">
        <v>1714</v>
      </c>
      <c r="L550" s="6" t="s">
        <v>9499</v>
      </c>
      <c r="M550" s="108" t="s">
        <v>9500</v>
      </c>
      <c r="N550" s="13" t="s">
        <v>2340</v>
      </c>
      <c r="O550" s="13" t="s">
        <v>1055</v>
      </c>
      <c r="P550" s="13" t="s">
        <v>16</v>
      </c>
      <c r="Q550" s="6" t="s">
        <v>3786</v>
      </c>
      <c r="R550" s="69" t="s">
        <v>4682</v>
      </c>
      <c r="S550" s="17"/>
      <c r="T550" s="6">
        <v>21</v>
      </c>
      <c r="U550" s="6">
        <v>19</v>
      </c>
      <c r="V550" s="6" t="s">
        <v>9501</v>
      </c>
      <c r="X550" s="132">
        <v>547</v>
      </c>
      <c r="Y550" s="6"/>
    </row>
    <row r="551" spans="1:25" ht="15" customHeight="1" x14ac:dyDescent="0.25">
      <c r="A551" s="12" t="s">
        <v>1932</v>
      </c>
      <c r="B551" s="13" t="s">
        <v>4978</v>
      </c>
      <c r="C551" s="74">
        <v>47209</v>
      </c>
      <c r="D551" s="13" t="s">
        <v>33</v>
      </c>
      <c r="E551" s="6" t="s">
        <v>1962</v>
      </c>
      <c r="F551" s="15" t="s">
        <v>9154</v>
      </c>
      <c r="G551" s="6" t="s">
        <v>1963</v>
      </c>
      <c r="H551" s="6" t="s">
        <v>1963</v>
      </c>
      <c r="I551" s="13" t="s">
        <v>25</v>
      </c>
      <c r="J551" s="13">
        <v>3</v>
      </c>
      <c r="K551" s="13" t="s">
        <v>1714</v>
      </c>
      <c r="L551" s="6" t="s">
        <v>9591</v>
      </c>
      <c r="M551" s="108" t="s">
        <v>2506</v>
      </c>
      <c r="N551" s="13" t="s">
        <v>2478</v>
      </c>
      <c r="O551" s="13" t="s">
        <v>61</v>
      </c>
      <c r="P551" s="13" t="s">
        <v>9</v>
      </c>
      <c r="Q551" s="6" t="s">
        <v>9592</v>
      </c>
      <c r="R551" s="6" t="s">
        <v>1964</v>
      </c>
      <c r="S551" s="69" t="s">
        <v>9593</v>
      </c>
      <c r="T551" s="6">
        <v>19</v>
      </c>
      <c r="U551" s="6">
        <v>19</v>
      </c>
      <c r="V551" s="6" t="s">
        <v>9594</v>
      </c>
      <c r="X551" s="132">
        <v>548</v>
      </c>
      <c r="Y551" s="6"/>
    </row>
    <row r="552" spans="1:25" ht="15" customHeight="1" x14ac:dyDescent="0.25">
      <c r="A552" s="12" t="s">
        <v>1933</v>
      </c>
      <c r="B552" s="13" t="s">
        <v>4978</v>
      </c>
      <c r="C552" s="74">
        <v>47148</v>
      </c>
      <c r="D552" s="13" t="s">
        <v>33</v>
      </c>
      <c r="E552" s="6" t="s">
        <v>1965</v>
      </c>
      <c r="F552" s="15" t="s">
        <v>9153</v>
      </c>
      <c r="G552" s="6" t="s">
        <v>9103</v>
      </c>
      <c r="H552" s="6" t="s">
        <v>9103</v>
      </c>
      <c r="I552" s="13" t="s">
        <v>25</v>
      </c>
      <c r="J552" s="13">
        <v>6</v>
      </c>
      <c r="K552" s="13" t="s">
        <v>1714</v>
      </c>
      <c r="L552" s="6" t="s">
        <v>9104</v>
      </c>
      <c r="M552" s="108" t="s">
        <v>6983</v>
      </c>
      <c r="N552" s="13" t="s">
        <v>6984</v>
      </c>
      <c r="O552" s="13" t="s">
        <v>27</v>
      </c>
      <c r="P552" s="13" t="s">
        <v>9</v>
      </c>
      <c r="Q552" s="6" t="s">
        <v>9105</v>
      </c>
      <c r="R552" s="6" t="s">
        <v>1966</v>
      </c>
      <c r="S552" s="69" t="s">
        <v>9106</v>
      </c>
      <c r="T552" s="6">
        <v>53</v>
      </c>
      <c r="U552" s="6">
        <v>41</v>
      </c>
      <c r="V552" s="6" t="s">
        <v>9107</v>
      </c>
      <c r="X552" s="132">
        <v>549</v>
      </c>
      <c r="Y552" s="6"/>
    </row>
    <row r="553" spans="1:25" ht="15" customHeight="1" x14ac:dyDescent="0.25">
      <c r="A553" s="12" t="s">
        <v>1967</v>
      </c>
      <c r="B553" s="13" t="s">
        <v>4978</v>
      </c>
      <c r="C553" s="74">
        <v>47209</v>
      </c>
      <c r="D553" s="13" t="s">
        <v>33</v>
      </c>
      <c r="E553" s="6" t="s">
        <v>1992</v>
      </c>
      <c r="F553" s="15" t="s">
        <v>9155</v>
      </c>
      <c r="G553" s="6" t="s">
        <v>1993</v>
      </c>
      <c r="H553" s="6" t="s">
        <v>1993</v>
      </c>
      <c r="I553" s="13" t="s">
        <v>25</v>
      </c>
      <c r="J553" s="13">
        <v>3</v>
      </c>
      <c r="K553" s="13" t="s">
        <v>1714</v>
      </c>
      <c r="L553" s="6" t="s">
        <v>1994</v>
      </c>
      <c r="M553" s="108" t="s">
        <v>9655</v>
      </c>
      <c r="N553" s="13" t="s">
        <v>2304</v>
      </c>
      <c r="O553" s="13" t="s">
        <v>36</v>
      </c>
      <c r="P553" s="13" t="s">
        <v>4</v>
      </c>
      <c r="Q553" s="6" t="s">
        <v>9656</v>
      </c>
      <c r="R553" s="6" t="s">
        <v>1995</v>
      </c>
      <c r="S553" s="69" t="s">
        <v>9657</v>
      </c>
      <c r="T553" s="36">
        <v>10</v>
      </c>
      <c r="U553" s="37">
        <v>6</v>
      </c>
      <c r="V553" s="37" t="s">
        <v>9658</v>
      </c>
      <c r="X553" s="132">
        <v>550</v>
      </c>
      <c r="Y553" s="6"/>
    </row>
    <row r="554" spans="1:25" ht="15" customHeight="1" x14ac:dyDescent="0.2">
      <c r="A554" s="12" t="s">
        <v>1968</v>
      </c>
      <c r="B554" s="13" t="s">
        <v>4978</v>
      </c>
      <c r="C554" s="100">
        <v>46537</v>
      </c>
      <c r="D554" s="13" t="s">
        <v>33</v>
      </c>
      <c r="E554" s="6" t="s">
        <v>1996</v>
      </c>
      <c r="F554" s="15" t="s">
        <v>1764</v>
      </c>
      <c r="G554" s="6" t="s">
        <v>1997</v>
      </c>
      <c r="H554" s="6" t="s">
        <v>1997</v>
      </c>
      <c r="I554" s="13" t="s">
        <v>25</v>
      </c>
      <c r="J554" s="13">
        <v>3</v>
      </c>
      <c r="K554" s="13" t="s">
        <v>1714</v>
      </c>
      <c r="L554" s="6" t="s">
        <v>5363</v>
      </c>
      <c r="M554" s="108" t="s">
        <v>4856</v>
      </c>
      <c r="N554" s="13" t="s">
        <v>4857</v>
      </c>
      <c r="O554" s="13" t="s">
        <v>165</v>
      </c>
      <c r="P554" s="13" t="s">
        <v>9</v>
      </c>
      <c r="Q554" s="6" t="s">
        <v>5364</v>
      </c>
      <c r="R554" s="6" t="s">
        <v>1998</v>
      </c>
      <c r="S554" s="17" t="s">
        <v>5365</v>
      </c>
      <c r="T554" s="36">
        <v>23</v>
      </c>
      <c r="U554" s="37">
        <v>18</v>
      </c>
      <c r="V554" s="37" t="s">
        <v>5366</v>
      </c>
      <c r="X554" s="132">
        <v>551</v>
      </c>
      <c r="Y554" s="6"/>
    </row>
    <row r="555" spans="1:25" ht="15" customHeight="1" x14ac:dyDescent="0.25">
      <c r="A555" s="19" t="s">
        <v>1969</v>
      </c>
      <c r="B555" s="13" t="s">
        <v>4978</v>
      </c>
      <c r="C555" s="74">
        <v>47253</v>
      </c>
      <c r="D555" s="13" t="s">
        <v>33</v>
      </c>
      <c r="E555" s="6" t="s">
        <v>1999</v>
      </c>
      <c r="F555" s="15" t="s">
        <v>9878</v>
      </c>
      <c r="G555" s="6" t="s">
        <v>2000</v>
      </c>
      <c r="H555" s="6" t="s">
        <v>2000</v>
      </c>
      <c r="I555" s="13" t="s">
        <v>25</v>
      </c>
      <c r="J555" s="13">
        <v>3</v>
      </c>
      <c r="K555" s="13" t="s">
        <v>1714</v>
      </c>
      <c r="L555" s="6" t="s">
        <v>2001</v>
      </c>
      <c r="M555" s="108" t="s">
        <v>9879</v>
      </c>
      <c r="N555" s="13" t="s">
        <v>9880</v>
      </c>
      <c r="O555" s="13" t="s">
        <v>2085</v>
      </c>
      <c r="P555" s="13" t="s">
        <v>68</v>
      </c>
      <c r="Q555" s="6" t="s">
        <v>9881</v>
      </c>
      <c r="R555" s="6" t="s">
        <v>2002</v>
      </c>
      <c r="S555" s="69" t="s">
        <v>9882</v>
      </c>
      <c r="T555" s="36">
        <v>25</v>
      </c>
      <c r="U555" s="37">
        <v>19</v>
      </c>
      <c r="V555" s="37" t="s">
        <v>9883</v>
      </c>
      <c r="X555" s="132">
        <v>552</v>
      </c>
      <c r="Y555" s="6"/>
    </row>
    <row r="556" spans="1:25" ht="15" customHeight="1" x14ac:dyDescent="0.2">
      <c r="A556" s="20" t="s">
        <v>1970</v>
      </c>
      <c r="B556" s="22" t="s">
        <v>2608</v>
      </c>
      <c r="C556" s="14">
        <v>45010</v>
      </c>
      <c r="D556" s="13" t="s">
        <v>33</v>
      </c>
      <c r="E556" s="6" t="s">
        <v>2003</v>
      </c>
      <c r="F556" s="15" t="s">
        <v>11833</v>
      </c>
      <c r="G556" s="6" t="s">
        <v>2004</v>
      </c>
      <c r="I556" s="13" t="s">
        <v>25</v>
      </c>
      <c r="J556" s="13">
        <v>3</v>
      </c>
      <c r="K556" s="13" t="s">
        <v>1714</v>
      </c>
      <c r="L556" s="6" t="s">
        <v>2005</v>
      </c>
      <c r="M556" s="108"/>
      <c r="O556" s="13" t="s">
        <v>61</v>
      </c>
      <c r="P556" s="13" t="s">
        <v>9</v>
      </c>
      <c r="Q556" s="6" t="s">
        <v>2006</v>
      </c>
      <c r="R556" s="6" t="s">
        <v>2007</v>
      </c>
      <c r="S556" s="17" t="s">
        <v>6639</v>
      </c>
      <c r="T556" s="36">
        <v>50</v>
      </c>
      <c r="U556" s="37">
        <v>29</v>
      </c>
      <c r="V556" s="37">
        <v>29</v>
      </c>
      <c r="X556" s="132">
        <v>553</v>
      </c>
      <c r="Y556" s="6"/>
    </row>
    <row r="557" spans="1:25" ht="15" customHeight="1" x14ac:dyDescent="0.25">
      <c r="A557" s="19" t="s">
        <v>1971</v>
      </c>
      <c r="B557" s="13" t="s">
        <v>4978</v>
      </c>
      <c r="C557" s="74">
        <v>47243</v>
      </c>
      <c r="D557" s="13" t="s">
        <v>33</v>
      </c>
      <c r="E557" s="6" t="s">
        <v>9824</v>
      </c>
      <c r="F557" s="15" t="s">
        <v>9825</v>
      </c>
      <c r="G557" s="6" t="s">
        <v>2008</v>
      </c>
      <c r="H557" s="6" t="s">
        <v>2008</v>
      </c>
      <c r="I557" s="13" t="s">
        <v>25</v>
      </c>
      <c r="J557" s="13">
        <v>3</v>
      </c>
      <c r="K557" s="13" t="s">
        <v>1714</v>
      </c>
      <c r="L557" s="6" t="s">
        <v>2009</v>
      </c>
      <c r="M557" s="108" t="s">
        <v>9826</v>
      </c>
      <c r="N557" s="13" t="s">
        <v>9831</v>
      </c>
      <c r="O557" s="13" t="s">
        <v>97</v>
      </c>
      <c r="P557" s="13" t="s">
        <v>4</v>
      </c>
      <c r="Q557" s="6" t="s">
        <v>9827</v>
      </c>
      <c r="R557" s="69" t="s">
        <v>9828</v>
      </c>
      <c r="S557" s="69" t="s">
        <v>9829</v>
      </c>
      <c r="T557" s="36">
        <v>23</v>
      </c>
      <c r="U557" s="37">
        <v>23</v>
      </c>
      <c r="V557" s="37" t="s">
        <v>9830</v>
      </c>
      <c r="X557" s="132">
        <v>554</v>
      </c>
      <c r="Y557" s="6"/>
    </row>
    <row r="558" spans="1:25" ht="15" customHeight="1" x14ac:dyDescent="0.25">
      <c r="A558" s="12" t="s">
        <v>1972</v>
      </c>
      <c r="B558" s="13" t="s">
        <v>4978</v>
      </c>
      <c r="C558" s="74">
        <v>47026</v>
      </c>
      <c r="D558" s="13" t="s">
        <v>33</v>
      </c>
      <c r="E558" s="6" t="s">
        <v>2010</v>
      </c>
      <c r="F558" s="15" t="s">
        <v>11834</v>
      </c>
      <c r="G558" s="6" t="s">
        <v>2011</v>
      </c>
      <c r="H558" s="6" t="s">
        <v>2011</v>
      </c>
      <c r="I558" s="13" t="s">
        <v>25</v>
      </c>
      <c r="J558" s="13">
        <v>3</v>
      </c>
      <c r="K558" s="13" t="s">
        <v>1714</v>
      </c>
      <c r="L558" s="6" t="s">
        <v>8212</v>
      </c>
      <c r="M558" s="108" t="s">
        <v>8213</v>
      </c>
      <c r="N558" s="13" t="s">
        <v>2478</v>
      </c>
      <c r="O558" s="13" t="s">
        <v>61</v>
      </c>
      <c r="P558" s="13" t="s">
        <v>9</v>
      </c>
      <c r="Q558" s="6" t="s">
        <v>8214</v>
      </c>
      <c r="R558" s="69" t="s">
        <v>8215</v>
      </c>
      <c r="S558" s="17"/>
      <c r="T558" s="36">
        <v>18</v>
      </c>
      <c r="U558" s="37">
        <v>16</v>
      </c>
      <c r="V558" s="37" t="s">
        <v>8216</v>
      </c>
      <c r="X558" s="132">
        <v>555</v>
      </c>
      <c r="Y558" s="6"/>
    </row>
    <row r="559" spans="1:25" ht="15" customHeight="1" x14ac:dyDescent="0.2">
      <c r="A559" s="12" t="s">
        <v>1973</v>
      </c>
      <c r="B559" s="13" t="s">
        <v>4978</v>
      </c>
      <c r="C559" s="74">
        <v>47406</v>
      </c>
      <c r="D559" s="13" t="s">
        <v>33</v>
      </c>
      <c r="E559" s="6" t="s">
        <v>10682</v>
      </c>
      <c r="F559" s="15" t="s">
        <v>10683</v>
      </c>
      <c r="G559" s="6" t="s">
        <v>2012</v>
      </c>
      <c r="H559" s="6" t="s">
        <v>2012</v>
      </c>
      <c r="I559" s="13" t="s">
        <v>25</v>
      </c>
      <c r="J559" s="13">
        <v>3</v>
      </c>
      <c r="K559" s="13" t="s">
        <v>1714</v>
      </c>
      <c r="L559" s="6" t="s">
        <v>2013</v>
      </c>
      <c r="M559" s="108" t="s">
        <v>5675</v>
      </c>
      <c r="N559" s="13" t="s">
        <v>2483</v>
      </c>
      <c r="O559" s="13" t="s">
        <v>172</v>
      </c>
      <c r="P559" s="13" t="s">
        <v>9</v>
      </c>
      <c r="Q559" s="6" t="s">
        <v>5676</v>
      </c>
      <c r="R559" s="6" t="s">
        <v>2014</v>
      </c>
      <c r="S559" s="17" t="s">
        <v>5677</v>
      </c>
      <c r="T559" s="36">
        <v>30</v>
      </c>
      <c r="U559" s="37">
        <v>17</v>
      </c>
      <c r="V559" s="37" t="s">
        <v>5678</v>
      </c>
      <c r="X559" s="132">
        <v>556</v>
      </c>
      <c r="Y559" s="6"/>
    </row>
    <row r="560" spans="1:25" ht="15" customHeight="1" x14ac:dyDescent="0.2">
      <c r="A560" s="20" t="s">
        <v>3776</v>
      </c>
      <c r="B560" s="22" t="s">
        <v>2608</v>
      </c>
      <c r="C560" s="14">
        <v>45010</v>
      </c>
      <c r="D560" s="13" t="s">
        <v>33</v>
      </c>
      <c r="E560" s="6" t="s">
        <v>2015</v>
      </c>
      <c r="F560" s="47" t="s">
        <v>5823</v>
      </c>
      <c r="G560" s="6" t="s">
        <v>2016</v>
      </c>
      <c r="H560" s="6" t="s">
        <v>2016</v>
      </c>
      <c r="I560" s="13" t="s">
        <v>25</v>
      </c>
      <c r="J560" s="13">
        <v>3</v>
      </c>
      <c r="K560" s="13" t="s">
        <v>1714</v>
      </c>
      <c r="L560" s="6" t="s">
        <v>2017</v>
      </c>
      <c r="M560" s="108" t="s">
        <v>5824</v>
      </c>
      <c r="N560" s="13" t="s">
        <v>2161</v>
      </c>
      <c r="O560" s="13" t="s">
        <v>1889</v>
      </c>
      <c r="P560" s="13" t="s">
        <v>68</v>
      </c>
      <c r="Q560" s="6" t="s">
        <v>5825</v>
      </c>
      <c r="R560" s="6" t="s">
        <v>2018</v>
      </c>
      <c r="S560" s="17" t="s">
        <v>6639</v>
      </c>
      <c r="T560" s="36">
        <v>32</v>
      </c>
      <c r="U560" s="37">
        <v>30</v>
      </c>
      <c r="V560" s="37" t="s">
        <v>5802</v>
      </c>
      <c r="X560" s="132">
        <v>557</v>
      </c>
      <c r="Y560" s="6"/>
    </row>
    <row r="561" spans="1:25" ht="15" customHeight="1" x14ac:dyDescent="0.2">
      <c r="A561" s="12" t="s">
        <v>3775</v>
      </c>
      <c r="B561" s="13" t="s">
        <v>4978</v>
      </c>
      <c r="C561" s="100">
        <v>47026</v>
      </c>
      <c r="D561" s="13" t="s">
        <v>33</v>
      </c>
      <c r="E561" s="6" t="s">
        <v>2015</v>
      </c>
      <c r="F561" s="47" t="s">
        <v>5823</v>
      </c>
      <c r="G561" s="6" t="s">
        <v>2016</v>
      </c>
      <c r="H561" s="6" t="s">
        <v>3774</v>
      </c>
      <c r="I561" s="13" t="s">
        <v>25</v>
      </c>
      <c r="J561" s="13">
        <v>3</v>
      </c>
      <c r="K561" s="13" t="s">
        <v>1714</v>
      </c>
      <c r="L561" s="6" t="s">
        <v>3777</v>
      </c>
      <c r="M561" s="108" t="s">
        <v>8234</v>
      </c>
      <c r="N561" s="13" t="s">
        <v>2161</v>
      </c>
      <c r="O561" s="13" t="s">
        <v>2146</v>
      </c>
      <c r="P561" s="13" t="s">
        <v>68</v>
      </c>
      <c r="Q561" s="6" t="s">
        <v>3778</v>
      </c>
      <c r="R561" s="6" t="s">
        <v>2018</v>
      </c>
      <c r="S561" s="17" t="s">
        <v>6639</v>
      </c>
      <c r="T561" s="18">
        <v>25</v>
      </c>
      <c r="U561" s="18">
        <v>19</v>
      </c>
      <c r="V561" s="13" t="s">
        <v>3779</v>
      </c>
      <c r="X561" s="132">
        <v>558</v>
      </c>
      <c r="Y561" s="6"/>
    </row>
    <row r="562" spans="1:25" ht="15" customHeight="1" x14ac:dyDescent="0.2">
      <c r="A562" s="12" t="s">
        <v>1974</v>
      </c>
      <c r="B562" s="13" t="s">
        <v>4978</v>
      </c>
      <c r="C562" s="74">
        <v>46705</v>
      </c>
      <c r="D562" s="13" t="s">
        <v>33</v>
      </c>
      <c r="E562" s="6" t="s">
        <v>2019</v>
      </c>
      <c r="F562" s="6" t="s">
        <v>2019</v>
      </c>
      <c r="G562" s="6" t="s">
        <v>2020</v>
      </c>
      <c r="H562" s="6" t="s">
        <v>2020</v>
      </c>
      <c r="I562" s="13" t="s">
        <v>25</v>
      </c>
      <c r="J562" s="13">
        <v>3</v>
      </c>
      <c r="K562" s="13" t="s">
        <v>1714</v>
      </c>
      <c r="L562" s="6" t="s">
        <v>6117</v>
      </c>
      <c r="M562" s="108" t="s">
        <v>2105</v>
      </c>
      <c r="N562" s="13" t="s">
        <v>6118</v>
      </c>
      <c r="O562" s="13" t="s">
        <v>172</v>
      </c>
      <c r="P562" s="13" t="s">
        <v>9</v>
      </c>
      <c r="Q562" s="6" t="s">
        <v>6119</v>
      </c>
      <c r="R562" s="17" t="s">
        <v>6120</v>
      </c>
      <c r="S562" s="17" t="s">
        <v>6634</v>
      </c>
      <c r="T562" s="36">
        <v>35</v>
      </c>
      <c r="U562" s="37">
        <v>32</v>
      </c>
      <c r="V562" s="37"/>
      <c r="X562" s="132">
        <v>559</v>
      </c>
      <c r="Y562" s="6"/>
    </row>
    <row r="563" spans="1:25" ht="15" customHeight="1" x14ac:dyDescent="0.25">
      <c r="A563" s="19" t="s">
        <v>1975</v>
      </c>
      <c r="B563" s="13" t="s">
        <v>4978</v>
      </c>
      <c r="C563" s="74">
        <v>47331</v>
      </c>
      <c r="D563" s="13" t="s">
        <v>33</v>
      </c>
      <c r="E563" s="6" t="s">
        <v>10381</v>
      </c>
      <c r="F563" s="15" t="s">
        <v>10375</v>
      </c>
      <c r="G563" s="6" t="s">
        <v>2021</v>
      </c>
      <c r="H563" s="6" t="s">
        <v>2021</v>
      </c>
      <c r="I563" s="13" t="s">
        <v>25</v>
      </c>
      <c r="J563" s="13">
        <v>3</v>
      </c>
      <c r="K563" s="13" t="s">
        <v>1714</v>
      </c>
      <c r="L563" s="6" t="s">
        <v>2022</v>
      </c>
      <c r="M563" s="108" t="s">
        <v>10376</v>
      </c>
      <c r="N563" s="13" t="s">
        <v>3789</v>
      </c>
      <c r="O563" s="13" t="s">
        <v>2085</v>
      </c>
      <c r="P563" s="13" t="s">
        <v>68</v>
      </c>
      <c r="Q563" s="6" t="s">
        <v>10377</v>
      </c>
      <c r="R563" s="69" t="s">
        <v>10378</v>
      </c>
      <c r="S563" s="69" t="s">
        <v>10379</v>
      </c>
      <c r="T563" s="36">
        <v>25</v>
      </c>
      <c r="U563" s="37">
        <v>20</v>
      </c>
      <c r="V563" s="37" t="s">
        <v>10380</v>
      </c>
      <c r="X563" s="132">
        <v>560</v>
      </c>
      <c r="Y563" s="6"/>
    </row>
    <row r="564" spans="1:25" ht="15" customHeight="1" x14ac:dyDescent="0.2">
      <c r="A564" s="20" t="s">
        <v>1976</v>
      </c>
      <c r="B564" s="22" t="s">
        <v>2608</v>
      </c>
      <c r="C564" s="14">
        <v>45741</v>
      </c>
      <c r="D564" s="13" t="s">
        <v>33</v>
      </c>
      <c r="E564" s="6" t="s">
        <v>2025</v>
      </c>
      <c r="F564" s="47" t="s">
        <v>11835</v>
      </c>
      <c r="G564" s="6" t="s">
        <v>2027</v>
      </c>
      <c r="I564" s="13" t="s">
        <v>25</v>
      </c>
      <c r="J564" s="13">
        <v>3</v>
      </c>
      <c r="K564" s="13" t="s">
        <v>1714</v>
      </c>
      <c r="L564" s="6" t="s">
        <v>2026</v>
      </c>
      <c r="M564" s="108"/>
      <c r="O564" s="13" t="s">
        <v>2085</v>
      </c>
      <c r="P564" s="13" t="s">
        <v>68</v>
      </c>
      <c r="Q564" s="6" t="s">
        <v>2023</v>
      </c>
      <c r="R564" s="6" t="s">
        <v>2024</v>
      </c>
      <c r="S564" s="17" t="s">
        <v>6634</v>
      </c>
      <c r="T564" s="36">
        <v>31</v>
      </c>
      <c r="U564" s="37">
        <v>22</v>
      </c>
      <c r="V564" s="37">
        <v>22</v>
      </c>
      <c r="X564" s="132">
        <v>561</v>
      </c>
      <c r="Y564" s="6"/>
    </row>
    <row r="565" spans="1:25" ht="15" customHeight="1" x14ac:dyDescent="0.2">
      <c r="A565" s="12" t="s">
        <v>1977</v>
      </c>
      <c r="B565" s="13" t="s">
        <v>4978</v>
      </c>
      <c r="C565" s="74">
        <v>47026</v>
      </c>
      <c r="D565" s="13" t="s">
        <v>33</v>
      </c>
      <c r="E565" s="6" t="s">
        <v>2028</v>
      </c>
      <c r="F565" s="47" t="s">
        <v>11836</v>
      </c>
      <c r="G565" s="6" t="s">
        <v>2029</v>
      </c>
      <c r="H565" s="6" t="s">
        <v>2029</v>
      </c>
      <c r="I565" s="13" t="s">
        <v>25</v>
      </c>
      <c r="J565" s="13">
        <v>3</v>
      </c>
      <c r="K565" s="13" t="s">
        <v>1714</v>
      </c>
      <c r="L565" s="6" t="s">
        <v>2030</v>
      </c>
      <c r="M565" s="108" t="s">
        <v>2834</v>
      </c>
      <c r="N565" s="13" t="s">
        <v>2470</v>
      </c>
      <c r="O565" s="13" t="s">
        <v>136</v>
      </c>
      <c r="P565" s="13" t="s">
        <v>4</v>
      </c>
      <c r="Q565" s="6" t="s">
        <v>2031</v>
      </c>
      <c r="R565" s="6" t="s">
        <v>2032</v>
      </c>
      <c r="S565" s="17" t="s">
        <v>6634</v>
      </c>
      <c r="T565" s="36">
        <v>29</v>
      </c>
      <c r="U565" s="37">
        <v>24</v>
      </c>
      <c r="V565" s="37" t="s">
        <v>8093</v>
      </c>
      <c r="X565" s="132">
        <v>562</v>
      </c>
      <c r="Y565" s="6"/>
    </row>
    <row r="566" spans="1:25" ht="15" customHeight="1" x14ac:dyDescent="0.2">
      <c r="A566" s="20" t="s">
        <v>1978</v>
      </c>
      <c r="B566" s="22" t="s">
        <v>2608</v>
      </c>
      <c r="C566" s="14">
        <v>45741</v>
      </c>
      <c r="D566" s="13" t="s">
        <v>33</v>
      </c>
      <c r="E566" s="6" t="s">
        <v>2033</v>
      </c>
      <c r="F566" s="47" t="s">
        <v>11837</v>
      </c>
      <c r="G566" s="6" t="s">
        <v>2034</v>
      </c>
      <c r="I566" s="13" t="s">
        <v>25</v>
      </c>
      <c r="J566" s="13">
        <v>3</v>
      </c>
      <c r="K566" s="13" t="s">
        <v>1714</v>
      </c>
      <c r="L566" s="6" t="s">
        <v>2035</v>
      </c>
      <c r="M566" s="108"/>
      <c r="O566" s="13" t="s">
        <v>1055</v>
      </c>
      <c r="P566" s="13" t="s">
        <v>16</v>
      </c>
      <c r="Q566" s="6" t="s">
        <v>2036</v>
      </c>
      <c r="R566" s="6" t="s">
        <v>2037</v>
      </c>
      <c r="S566" s="17" t="s">
        <v>3340</v>
      </c>
      <c r="T566" s="36">
        <v>20</v>
      </c>
      <c r="U566" s="37">
        <v>17</v>
      </c>
      <c r="V566" s="37">
        <v>17</v>
      </c>
      <c r="X566" s="132">
        <v>563</v>
      </c>
      <c r="Y566" s="6"/>
    </row>
    <row r="567" spans="1:25" s="31" customFormat="1" ht="15" customHeight="1" x14ac:dyDescent="0.2">
      <c r="A567" s="12" t="s">
        <v>1979</v>
      </c>
      <c r="B567" s="24" t="s">
        <v>4978</v>
      </c>
      <c r="C567" s="14">
        <v>47679</v>
      </c>
      <c r="D567" s="13" t="s">
        <v>33</v>
      </c>
      <c r="E567" s="6" t="s">
        <v>2038</v>
      </c>
      <c r="F567" s="47" t="s">
        <v>11838</v>
      </c>
      <c r="G567" s="6" t="s">
        <v>2039</v>
      </c>
      <c r="H567" s="6" t="s">
        <v>2039</v>
      </c>
      <c r="I567" s="13" t="s">
        <v>25</v>
      </c>
      <c r="J567" s="13">
        <v>3</v>
      </c>
      <c r="K567" s="13" t="s">
        <v>1714</v>
      </c>
      <c r="L567" s="6" t="s">
        <v>2040</v>
      </c>
      <c r="M567" s="108" t="s">
        <v>12133</v>
      </c>
      <c r="N567" s="13" t="s">
        <v>6794</v>
      </c>
      <c r="O567" s="13" t="s">
        <v>1889</v>
      </c>
      <c r="P567" s="13" t="s">
        <v>68</v>
      </c>
      <c r="Q567" s="6" t="s">
        <v>12134</v>
      </c>
      <c r="R567" s="6" t="s">
        <v>2041</v>
      </c>
      <c r="S567" s="17" t="s">
        <v>12135</v>
      </c>
      <c r="T567" s="36">
        <v>37</v>
      </c>
      <c r="U567" s="37">
        <v>33</v>
      </c>
      <c r="V567" s="37" t="s">
        <v>12136</v>
      </c>
      <c r="W567" s="6"/>
      <c r="X567" s="132">
        <v>564</v>
      </c>
    </row>
    <row r="568" spans="1:25" ht="15" customHeight="1" x14ac:dyDescent="0.2">
      <c r="A568" s="20" t="s">
        <v>1980</v>
      </c>
      <c r="B568" s="22" t="s">
        <v>2608</v>
      </c>
      <c r="C568" s="23">
        <v>45741</v>
      </c>
      <c r="D568" s="24" t="s">
        <v>33</v>
      </c>
      <c r="E568" s="31" t="s">
        <v>2042</v>
      </c>
      <c r="F568" s="48" t="s">
        <v>11839</v>
      </c>
      <c r="G568" s="31" t="s">
        <v>2043</v>
      </c>
      <c r="H568" s="31"/>
      <c r="I568" s="24" t="s">
        <v>25</v>
      </c>
      <c r="J568" s="13">
        <v>3</v>
      </c>
      <c r="K568" s="24" t="s">
        <v>1714</v>
      </c>
      <c r="L568" s="31" t="s">
        <v>2044</v>
      </c>
      <c r="M568" s="112"/>
      <c r="N568" s="24"/>
      <c r="O568" s="13" t="s">
        <v>1847</v>
      </c>
      <c r="P568" s="13" t="s">
        <v>68</v>
      </c>
      <c r="Q568" s="31" t="s">
        <v>2045</v>
      </c>
      <c r="R568" s="49"/>
      <c r="S568" s="49"/>
      <c r="T568" s="50">
        <v>22</v>
      </c>
      <c r="U568" s="51">
        <v>22</v>
      </c>
      <c r="V568" s="51">
        <v>22</v>
      </c>
      <c r="X568" s="132">
        <v>565</v>
      </c>
      <c r="Y568" s="6"/>
    </row>
    <row r="569" spans="1:25" ht="15" customHeight="1" x14ac:dyDescent="0.25">
      <c r="A569" s="19" t="s">
        <v>1981</v>
      </c>
      <c r="B569" s="13" t="s">
        <v>4978</v>
      </c>
      <c r="C569" s="74">
        <v>47253</v>
      </c>
      <c r="D569" s="13" t="s">
        <v>33</v>
      </c>
      <c r="E569" s="6" t="s">
        <v>2046</v>
      </c>
      <c r="F569" s="47" t="s">
        <v>9864</v>
      </c>
      <c r="G569" s="6" t="s">
        <v>2047</v>
      </c>
      <c r="H569" s="6" t="s">
        <v>2047</v>
      </c>
      <c r="I569" s="13" t="s">
        <v>25</v>
      </c>
      <c r="J569" s="13">
        <v>3</v>
      </c>
      <c r="K569" s="13" t="s">
        <v>1714</v>
      </c>
      <c r="L569" s="6" t="s">
        <v>2052</v>
      </c>
      <c r="M569" s="108" t="s">
        <v>9884</v>
      </c>
      <c r="N569" s="13" t="s">
        <v>4345</v>
      </c>
      <c r="O569" s="13" t="s">
        <v>97</v>
      </c>
      <c r="P569" s="13" t="s">
        <v>4</v>
      </c>
      <c r="Q569" s="6" t="s">
        <v>9865</v>
      </c>
      <c r="R569" s="69" t="s">
        <v>9866</v>
      </c>
      <c r="S569" s="17" t="s">
        <v>6680</v>
      </c>
      <c r="T569" s="36">
        <v>23</v>
      </c>
      <c r="U569" s="37">
        <v>20</v>
      </c>
      <c r="V569" s="37" t="s">
        <v>9867</v>
      </c>
      <c r="X569" s="132">
        <v>566</v>
      </c>
      <c r="Y569" s="6"/>
    </row>
    <row r="570" spans="1:25" ht="15" customHeight="1" x14ac:dyDescent="0.2">
      <c r="A570" s="12" t="s">
        <v>1982</v>
      </c>
      <c r="B570" s="13" t="s">
        <v>4977</v>
      </c>
      <c r="C570" s="14">
        <v>46158</v>
      </c>
      <c r="D570" s="13" t="s">
        <v>33</v>
      </c>
      <c r="E570" s="6" t="s">
        <v>11675</v>
      </c>
      <c r="F570" s="47" t="s">
        <v>11840</v>
      </c>
      <c r="G570" s="6" t="s">
        <v>2190</v>
      </c>
      <c r="H570" s="6" t="s">
        <v>2190</v>
      </c>
      <c r="I570" s="13" t="s">
        <v>25</v>
      </c>
      <c r="J570" s="13">
        <v>3</v>
      </c>
      <c r="K570" s="13" t="s">
        <v>1714</v>
      </c>
      <c r="L570" s="6" t="s">
        <v>2048</v>
      </c>
      <c r="M570" s="108" t="s">
        <v>2192</v>
      </c>
      <c r="N570" s="13" t="s">
        <v>2191</v>
      </c>
      <c r="O570" s="13" t="s">
        <v>1889</v>
      </c>
      <c r="P570" s="13" t="s">
        <v>68</v>
      </c>
      <c r="Q570" s="6" t="s">
        <v>7178</v>
      </c>
      <c r="R570" s="6" t="s">
        <v>2049</v>
      </c>
      <c r="T570" s="36">
        <v>30</v>
      </c>
      <c r="U570" s="37">
        <v>20</v>
      </c>
      <c r="V570" s="37" t="s">
        <v>7179</v>
      </c>
      <c r="X570" s="132">
        <v>567</v>
      </c>
      <c r="Y570" s="6"/>
    </row>
    <row r="571" spans="1:25" ht="15" customHeight="1" x14ac:dyDescent="0.2">
      <c r="A571" s="20" t="s">
        <v>1983</v>
      </c>
      <c r="B571" s="22" t="s">
        <v>2608</v>
      </c>
      <c r="C571" s="14">
        <v>45741</v>
      </c>
      <c r="D571" s="13" t="s">
        <v>33</v>
      </c>
      <c r="E571" s="6" t="s">
        <v>2050</v>
      </c>
      <c r="F571" s="47" t="s">
        <v>11841</v>
      </c>
      <c r="G571" s="6" t="s">
        <v>2051</v>
      </c>
      <c r="I571" s="13" t="s">
        <v>25</v>
      </c>
      <c r="J571" s="13">
        <v>3</v>
      </c>
      <c r="K571" s="13" t="s">
        <v>1714</v>
      </c>
      <c r="L571" s="6" t="s">
        <v>2053</v>
      </c>
      <c r="M571" s="108"/>
      <c r="O571" s="13" t="s">
        <v>48</v>
      </c>
      <c r="P571" s="13" t="s">
        <v>16</v>
      </c>
      <c r="Q571" s="6" t="s">
        <v>2054</v>
      </c>
      <c r="R571" s="6" t="s">
        <v>2055</v>
      </c>
      <c r="S571" s="17" t="s">
        <v>6639</v>
      </c>
      <c r="T571" s="36">
        <v>19</v>
      </c>
      <c r="U571" s="37">
        <v>14</v>
      </c>
      <c r="V571" s="37">
        <v>14</v>
      </c>
      <c r="X571" s="132">
        <v>568</v>
      </c>
      <c r="Y571" s="6"/>
    </row>
    <row r="572" spans="1:25" ht="15" customHeight="1" x14ac:dyDescent="0.2">
      <c r="A572" s="12" t="s">
        <v>1984</v>
      </c>
      <c r="B572" s="13" t="s">
        <v>4977</v>
      </c>
      <c r="C572" s="14">
        <v>46158</v>
      </c>
      <c r="D572" s="13" t="s">
        <v>33</v>
      </c>
      <c r="E572" s="6" t="s">
        <v>2056</v>
      </c>
      <c r="F572" s="52" t="s">
        <v>7238</v>
      </c>
      <c r="G572" s="6" t="s">
        <v>2058</v>
      </c>
      <c r="H572" s="6" t="s">
        <v>2058</v>
      </c>
      <c r="I572" s="13" t="s">
        <v>25</v>
      </c>
      <c r="J572" s="13">
        <v>3</v>
      </c>
      <c r="K572" s="13" t="s">
        <v>1714</v>
      </c>
      <c r="L572" s="6" t="s">
        <v>2057</v>
      </c>
      <c r="M572" s="108" t="s">
        <v>2531</v>
      </c>
      <c r="N572" s="13" t="s">
        <v>7239</v>
      </c>
      <c r="O572" s="13" t="s">
        <v>136</v>
      </c>
      <c r="P572" s="13" t="s">
        <v>4</v>
      </c>
      <c r="Q572" s="6" t="s">
        <v>7240</v>
      </c>
      <c r="R572" s="6" t="s">
        <v>2059</v>
      </c>
      <c r="S572" s="17" t="s">
        <v>6681</v>
      </c>
      <c r="T572" s="36">
        <v>35</v>
      </c>
      <c r="U572" s="37">
        <v>35</v>
      </c>
      <c r="V572" s="37" t="s">
        <v>7241</v>
      </c>
      <c r="X572" s="132">
        <v>569</v>
      </c>
      <c r="Y572" s="6"/>
    </row>
    <row r="573" spans="1:25" ht="15" customHeight="1" x14ac:dyDescent="0.2">
      <c r="A573" s="20" t="s">
        <v>1985</v>
      </c>
      <c r="B573" s="22" t="s">
        <v>2608</v>
      </c>
      <c r="C573" s="14">
        <v>45010</v>
      </c>
      <c r="D573" s="13" t="s">
        <v>33</v>
      </c>
      <c r="E573" s="41" t="s">
        <v>11676</v>
      </c>
      <c r="F573" s="15" t="s">
        <v>11842</v>
      </c>
      <c r="G573" s="6" t="s">
        <v>2060</v>
      </c>
      <c r="I573" s="13" t="s">
        <v>25</v>
      </c>
      <c r="J573" s="13">
        <v>3</v>
      </c>
      <c r="K573" s="13" t="s">
        <v>1714</v>
      </c>
      <c r="L573" s="6" t="s">
        <v>2061</v>
      </c>
      <c r="M573" s="108"/>
      <c r="O573" s="13" t="s">
        <v>2146</v>
      </c>
      <c r="P573" s="13" t="s">
        <v>68</v>
      </c>
      <c r="Q573" s="6" t="s">
        <v>2062</v>
      </c>
      <c r="R573" s="6" t="s">
        <v>2063</v>
      </c>
      <c r="S573" s="17" t="s">
        <v>6682</v>
      </c>
      <c r="T573" s="36">
        <v>14</v>
      </c>
      <c r="U573" s="37">
        <v>11</v>
      </c>
      <c r="V573" s="37">
        <v>11</v>
      </c>
      <c r="X573" s="132">
        <v>570</v>
      </c>
      <c r="Y573" s="6"/>
    </row>
    <row r="574" spans="1:25" ht="15" customHeight="1" x14ac:dyDescent="0.25">
      <c r="A574" s="12" t="s">
        <v>1986</v>
      </c>
      <c r="B574" s="13" t="s">
        <v>4978</v>
      </c>
      <c r="C574" s="74">
        <v>47268</v>
      </c>
      <c r="D574" s="13" t="s">
        <v>33</v>
      </c>
      <c r="E574" s="41" t="s">
        <v>11677</v>
      </c>
      <c r="F574" s="15" t="s">
        <v>10036</v>
      </c>
      <c r="G574" s="6" t="s">
        <v>2064</v>
      </c>
      <c r="H574" s="6" t="s">
        <v>2064</v>
      </c>
      <c r="I574" s="13" t="s">
        <v>25</v>
      </c>
      <c r="J574" s="13">
        <v>3</v>
      </c>
      <c r="K574" s="13" t="s">
        <v>1714</v>
      </c>
      <c r="L574" s="6" t="s">
        <v>2065</v>
      </c>
      <c r="M574" s="108" t="s">
        <v>10034</v>
      </c>
      <c r="N574" s="13" t="s">
        <v>3443</v>
      </c>
      <c r="O574" s="13" t="s">
        <v>2146</v>
      </c>
      <c r="P574" s="13" t="s">
        <v>68</v>
      </c>
      <c r="Q574" s="6" t="s">
        <v>10035</v>
      </c>
      <c r="R574" s="69" t="s">
        <v>2063</v>
      </c>
      <c r="S574" s="17" t="s">
        <v>6682</v>
      </c>
      <c r="T574" s="36">
        <v>20</v>
      </c>
      <c r="U574" s="37">
        <v>19</v>
      </c>
      <c r="V574" s="37" t="s">
        <v>10037</v>
      </c>
      <c r="X574" s="132">
        <v>571</v>
      </c>
      <c r="Y574" s="6"/>
    </row>
    <row r="575" spans="1:25" ht="15" customHeight="1" x14ac:dyDescent="0.25">
      <c r="A575" s="12" t="s">
        <v>1987</v>
      </c>
      <c r="B575" s="13" t="s">
        <v>4977</v>
      </c>
      <c r="C575" s="14">
        <v>46675</v>
      </c>
      <c r="D575" s="13" t="s">
        <v>33</v>
      </c>
      <c r="E575" s="6" t="s">
        <v>2066</v>
      </c>
      <c r="F575" s="47" t="s">
        <v>5826</v>
      </c>
      <c r="G575" s="6" t="s">
        <v>2067</v>
      </c>
      <c r="H575" s="6" t="s">
        <v>2067</v>
      </c>
      <c r="I575" s="13" t="s">
        <v>25</v>
      </c>
      <c r="J575" s="13">
        <v>3</v>
      </c>
      <c r="K575" s="13" t="s">
        <v>1714</v>
      </c>
      <c r="L575" s="6" t="s">
        <v>2068</v>
      </c>
      <c r="M575" s="108" t="s">
        <v>5827</v>
      </c>
      <c r="N575" s="13" t="s">
        <v>5828</v>
      </c>
      <c r="O575" s="13" t="s">
        <v>1847</v>
      </c>
      <c r="P575" s="13" t="s">
        <v>68</v>
      </c>
      <c r="Q575" s="6" t="s">
        <v>10597</v>
      </c>
      <c r="R575" s="69" t="s">
        <v>10598</v>
      </c>
      <c r="S575" s="69" t="s">
        <v>10599</v>
      </c>
      <c r="T575" s="36">
        <v>32</v>
      </c>
      <c r="U575" s="37">
        <v>25</v>
      </c>
      <c r="V575" s="37" t="s">
        <v>5829</v>
      </c>
      <c r="X575" s="132">
        <v>572</v>
      </c>
      <c r="Y575" s="6"/>
    </row>
    <row r="576" spans="1:25" ht="15" customHeight="1" x14ac:dyDescent="0.2">
      <c r="A576" s="20" t="s">
        <v>1988</v>
      </c>
      <c r="B576" s="22" t="s">
        <v>2608</v>
      </c>
      <c r="C576" s="14">
        <v>45010</v>
      </c>
      <c r="D576" s="13" t="s">
        <v>33</v>
      </c>
      <c r="E576" s="6" t="s">
        <v>2069</v>
      </c>
      <c r="F576" s="47" t="s">
        <v>11843</v>
      </c>
      <c r="G576" s="6" t="s">
        <v>2070</v>
      </c>
      <c r="I576" s="13" t="s">
        <v>25</v>
      </c>
      <c r="J576" s="13">
        <v>3</v>
      </c>
      <c r="K576" s="13" t="s">
        <v>1714</v>
      </c>
      <c r="L576" s="6" t="s">
        <v>2071</v>
      </c>
      <c r="M576" s="108"/>
      <c r="O576" s="13" t="s">
        <v>2146</v>
      </c>
      <c r="P576" s="13" t="s">
        <v>68</v>
      </c>
      <c r="Q576" s="6" t="s">
        <v>2072</v>
      </c>
      <c r="R576" s="6" t="s">
        <v>2073</v>
      </c>
      <c r="S576" s="17" t="s">
        <v>6634</v>
      </c>
      <c r="T576" s="36">
        <v>28</v>
      </c>
      <c r="U576" s="37">
        <v>17</v>
      </c>
      <c r="V576" s="37">
        <v>17</v>
      </c>
      <c r="X576" s="132">
        <v>573</v>
      </c>
      <c r="Y576" s="6"/>
    </row>
    <row r="577" spans="1:25" ht="15" customHeight="1" x14ac:dyDescent="0.2">
      <c r="A577" s="12" t="s">
        <v>1989</v>
      </c>
      <c r="B577" s="13" t="s">
        <v>4978</v>
      </c>
      <c r="C577" s="74">
        <v>46826</v>
      </c>
      <c r="D577" s="13" t="s">
        <v>33</v>
      </c>
      <c r="E577" s="6" t="s">
        <v>2074</v>
      </c>
      <c r="F577" s="47" t="s">
        <v>11844</v>
      </c>
      <c r="G577" s="6" t="s">
        <v>2077</v>
      </c>
      <c r="H577" s="6" t="s">
        <v>2077</v>
      </c>
      <c r="I577" s="13" t="s">
        <v>25</v>
      </c>
      <c r="J577" s="13">
        <v>3</v>
      </c>
      <c r="K577" s="13" t="s">
        <v>1714</v>
      </c>
      <c r="L577" s="6" t="s">
        <v>6938</v>
      </c>
      <c r="M577" s="108" t="s">
        <v>6939</v>
      </c>
      <c r="N577" s="13" t="s">
        <v>4175</v>
      </c>
      <c r="O577" s="13" t="s">
        <v>2146</v>
      </c>
      <c r="P577" s="13" t="s">
        <v>68</v>
      </c>
      <c r="Q577" s="6" t="s">
        <v>6940</v>
      </c>
      <c r="R577" s="6" t="s">
        <v>2075</v>
      </c>
      <c r="S577" s="17" t="s">
        <v>6683</v>
      </c>
      <c r="T577" s="36">
        <v>29</v>
      </c>
      <c r="U577" s="37">
        <v>26</v>
      </c>
      <c r="V577" s="37" t="s">
        <v>6941</v>
      </c>
      <c r="X577" s="132">
        <v>574</v>
      </c>
      <c r="Y577" s="6"/>
    </row>
    <row r="578" spans="1:25" ht="15" customHeight="1" x14ac:dyDescent="0.2">
      <c r="A578" s="20" t="s">
        <v>1990</v>
      </c>
      <c r="B578" s="22" t="s">
        <v>2608</v>
      </c>
      <c r="C578" s="14">
        <v>45741</v>
      </c>
      <c r="D578" s="13" t="s">
        <v>33</v>
      </c>
      <c r="E578" s="6" t="s">
        <v>2076</v>
      </c>
      <c r="F578" s="47" t="s">
        <v>11845</v>
      </c>
      <c r="G578" s="6" t="s">
        <v>2079</v>
      </c>
      <c r="I578" s="13" t="s">
        <v>25</v>
      </c>
      <c r="J578" s="13">
        <v>3</v>
      </c>
      <c r="K578" s="13" t="s">
        <v>1714</v>
      </c>
      <c r="L578" s="6" t="s">
        <v>2078</v>
      </c>
      <c r="M578" s="108"/>
      <c r="O578" s="13" t="s">
        <v>1847</v>
      </c>
      <c r="P578" s="13" t="s">
        <v>68</v>
      </c>
      <c r="Q578" s="6" t="s">
        <v>2080</v>
      </c>
      <c r="R578" s="6" t="s">
        <v>2081</v>
      </c>
      <c r="S578" s="17" t="s">
        <v>6634</v>
      </c>
      <c r="T578" s="36">
        <v>23</v>
      </c>
      <c r="U578" s="37">
        <v>17</v>
      </c>
      <c r="V578" s="37">
        <v>17</v>
      </c>
      <c r="X578" s="132">
        <v>575</v>
      </c>
      <c r="Y578" s="6"/>
    </row>
    <row r="579" spans="1:25" ht="15" customHeight="1" x14ac:dyDescent="0.25">
      <c r="A579" s="19" t="s">
        <v>1991</v>
      </c>
      <c r="B579" s="13" t="s">
        <v>4978</v>
      </c>
      <c r="C579" s="74">
        <v>47243</v>
      </c>
      <c r="D579" s="13" t="s">
        <v>1533</v>
      </c>
      <c r="E579" s="41" t="s">
        <v>9859</v>
      </c>
      <c r="F579" s="15" t="s">
        <v>9858</v>
      </c>
      <c r="G579" s="6" t="s">
        <v>2082</v>
      </c>
      <c r="H579" s="6" t="s">
        <v>9852</v>
      </c>
      <c r="I579" s="13" t="s">
        <v>7931</v>
      </c>
      <c r="J579" s="13">
        <v>9</v>
      </c>
      <c r="K579" s="13" t="s">
        <v>6603</v>
      </c>
      <c r="L579" s="6" t="s">
        <v>9853</v>
      </c>
      <c r="M579" s="108" t="s">
        <v>9854</v>
      </c>
      <c r="N579" s="13" t="s">
        <v>177</v>
      </c>
      <c r="O579" s="13" t="s">
        <v>177</v>
      </c>
      <c r="P579" s="13" t="s">
        <v>9</v>
      </c>
      <c r="Q579" s="6" t="s">
        <v>9855</v>
      </c>
      <c r="R579" s="69" t="s">
        <v>9856</v>
      </c>
      <c r="S579" s="17" t="s">
        <v>6684</v>
      </c>
      <c r="T579" s="36">
        <v>30</v>
      </c>
      <c r="U579" s="37">
        <v>30</v>
      </c>
      <c r="V579" s="37" t="s">
        <v>9857</v>
      </c>
      <c r="X579" s="132">
        <v>576</v>
      </c>
      <c r="Y579" s="6"/>
    </row>
    <row r="580" spans="1:25" ht="15" customHeight="1" x14ac:dyDescent="0.2">
      <c r="A580" s="19" t="s">
        <v>2089</v>
      </c>
      <c r="B580" s="13" t="s">
        <v>4977</v>
      </c>
      <c r="C580" s="14">
        <v>46568</v>
      </c>
      <c r="D580" s="13" t="s">
        <v>1533</v>
      </c>
      <c r="E580" s="6" t="s">
        <v>2179</v>
      </c>
      <c r="F580" s="15" t="s">
        <v>10190</v>
      </c>
      <c r="G580" s="6" t="s">
        <v>2180</v>
      </c>
      <c r="H580" s="6" t="s">
        <v>2180</v>
      </c>
      <c r="I580" s="13" t="s">
        <v>39</v>
      </c>
      <c r="J580" s="13">
        <v>12</v>
      </c>
      <c r="K580" s="13" t="s">
        <v>1714</v>
      </c>
      <c r="L580" s="6" t="s">
        <v>2181</v>
      </c>
      <c r="M580" s="108" t="s">
        <v>2182</v>
      </c>
      <c r="N580" s="13" t="s">
        <v>2340</v>
      </c>
      <c r="O580" s="13" t="s">
        <v>1055</v>
      </c>
      <c r="P580" s="13" t="s">
        <v>16</v>
      </c>
      <c r="Q580" s="6" t="s">
        <v>10191</v>
      </c>
      <c r="R580" s="17" t="s">
        <v>5548</v>
      </c>
      <c r="S580" s="17" t="s">
        <v>5549</v>
      </c>
      <c r="T580" s="36">
        <v>1400</v>
      </c>
      <c r="U580" s="37">
        <v>600</v>
      </c>
      <c r="V580" s="37" t="s">
        <v>3692</v>
      </c>
      <c r="X580" s="132">
        <v>577</v>
      </c>
      <c r="Y580" s="6"/>
    </row>
    <row r="581" spans="1:25" ht="15" customHeight="1" x14ac:dyDescent="0.2">
      <c r="A581" s="12" t="s">
        <v>2193</v>
      </c>
      <c r="B581" s="24" t="s">
        <v>4977</v>
      </c>
      <c r="C581" s="14">
        <v>46885</v>
      </c>
      <c r="D581" s="13" t="s">
        <v>1533</v>
      </c>
      <c r="E581" s="6" t="s">
        <v>2183</v>
      </c>
      <c r="F581" s="15" t="s">
        <v>11521</v>
      </c>
      <c r="G581" s="6" t="s">
        <v>2184</v>
      </c>
      <c r="H581" s="6" t="s">
        <v>2184</v>
      </c>
      <c r="I581" s="13" t="s">
        <v>39</v>
      </c>
      <c r="J581" s="13">
        <v>12</v>
      </c>
      <c r="K581" s="13" t="s">
        <v>1714</v>
      </c>
      <c r="L581" s="6" t="s">
        <v>2185</v>
      </c>
      <c r="M581" s="108" t="s">
        <v>2186</v>
      </c>
      <c r="N581" s="13" t="s">
        <v>2187</v>
      </c>
      <c r="O581" s="13" t="s">
        <v>53</v>
      </c>
      <c r="P581" s="13" t="s">
        <v>54</v>
      </c>
      <c r="Q581" s="6" t="s">
        <v>3899</v>
      </c>
      <c r="R581" s="6" t="s">
        <v>2188</v>
      </c>
      <c r="S581" s="6" t="s">
        <v>2189</v>
      </c>
      <c r="T581" s="36">
        <v>150</v>
      </c>
      <c r="U581" s="37"/>
      <c r="V581" s="37" t="s">
        <v>11522</v>
      </c>
      <c r="X581" s="132">
        <v>578</v>
      </c>
      <c r="Y581" s="6"/>
    </row>
    <row r="582" spans="1:25" ht="15" customHeight="1" x14ac:dyDescent="0.2">
      <c r="A582" s="12" t="s">
        <v>2194</v>
      </c>
      <c r="B582" s="24" t="s">
        <v>4977</v>
      </c>
      <c r="C582" s="14">
        <v>46885</v>
      </c>
      <c r="D582" s="13" t="s">
        <v>1533</v>
      </c>
      <c r="E582" s="6" t="s">
        <v>2183</v>
      </c>
      <c r="F582" s="15" t="s">
        <v>11523</v>
      </c>
      <c r="G582" s="6" t="s">
        <v>2184</v>
      </c>
      <c r="H582" s="6" t="s">
        <v>2184</v>
      </c>
      <c r="I582" s="13" t="s">
        <v>39</v>
      </c>
      <c r="J582" s="13">
        <v>12</v>
      </c>
      <c r="K582" s="13" t="s">
        <v>1714</v>
      </c>
      <c r="L582" s="6" t="s">
        <v>2185</v>
      </c>
      <c r="M582" s="108" t="s">
        <v>2186</v>
      </c>
      <c r="N582" s="13" t="s">
        <v>2187</v>
      </c>
      <c r="O582" s="13" t="s">
        <v>53</v>
      </c>
      <c r="P582" s="13" t="s">
        <v>54</v>
      </c>
      <c r="Q582" s="6" t="s">
        <v>3899</v>
      </c>
      <c r="R582" s="6" t="s">
        <v>2188</v>
      </c>
      <c r="S582" s="6" t="s">
        <v>2189</v>
      </c>
      <c r="T582" s="36">
        <v>70</v>
      </c>
      <c r="U582" s="37"/>
      <c r="V582" s="37" t="s">
        <v>11522</v>
      </c>
      <c r="X582" s="132">
        <v>579</v>
      </c>
      <c r="Y582" s="6"/>
    </row>
    <row r="583" spans="1:25" ht="15" customHeight="1" x14ac:dyDescent="0.2">
      <c r="A583" s="20" t="s">
        <v>2195</v>
      </c>
      <c r="B583" s="22" t="s">
        <v>2608</v>
      </c>
      <c r="C583" s="14">
        <v>45775</v>
      </c>
      <c r="D583" s="13" t="s">
        <v>1533</v>
      </c>
      <c r="E583" s="6" t="s">
        <v>2183</v>
      </c>
      <c r="F583" s="15" t="s">
        <v>11846</v>
      </c>
      <c r="G583" s="6" t="s">
        <v>2184</v>
      </c>
      <c r="H583" s="6" t="s">
        <v>2184</v>
      </c>
      <c r="I583" s="13" t="s">
        <v>39</v>
      </c>
      <c r="J583" s="13">
        <v>12</v>
      </c>
      <c r="K583" s="13" t="s">
        <v>1714</v>
      </c>
      <c r="L583" s="6" t="s">
        <v>2185</v>
      </c>
      <c r="M583" s="108" t="s">
        <v>2186</v>
      </c>
      <c r="N583" s="13" t="s">
        <v>2187</v>
      </c>
      <c r="O583" s="13" t="s">
        <v>53</v>
      </c>
      <c r="P583" s="13" t="s">
        <v>54</v>
      </c>
      <c r="Q583" s="6" t="s">
        <v>3899</v>
      </c>
      <c r="R583" s="6" t="s">
        <v>2188</v>
      </c>
      <c r="S583" s="6" t="s">
        <v>2189</v>
      </c>
      <c r="T583" s="36"/>
      <c r="U583" s="37">
        <v>222</v>
      </c>
      <c r="V583" s="37" t="s">
        <v>11522</v>
      </c>
      <c r="X583" s="132">
        <v>580</v>
      </c>
      <c r="Y583" s="6"/>
    </row>
    <row r="584" spans="1:25" ht="15" customHeight="1" x14ac:dyDescent="0.2">
      <c r="A584" s="91" t="s">
        <v>2196</v>
      </c>
      <c r="B584" s="22" t="s">
        <v>2608</v>
      </c>
      <c r="C584" s="14">
        <v>45042</v>
      </c>
      <c r="D584" s="13" t="s">
        <v>1533</v>
      </c>
      <c r="E584" s="6" t="s">
        <v>2183</v>
      </c>
      <c r="F584" s="15" t="s">
        <v>11847</v>
      </c>
      <c r="G584" s="6" t="s">
        <v>2184</v>
      </c>
      <c r="H584" s="6" t="s">
        <v>2184</v>
      </c>
      <c r="I584" s="13" t="s">
        <v>39</v>
      </c>
      <c r="J584" s="13">
        <v>12</v>
      </c>
      <c r="K584" s="13" t="s">
        <v>1714</v>
      </c>
      <c r="L584" s="6" t="s">
        <v>2185</v>
      </c>
      <c r="M584" s="108" t="s">
        <v>2186</v>
      </c>
      <c r="N584" s="13" t="s">
        <v>2187</v>
      </c>
      <c r="O584" s="13" t="s">
        <v>53</v>
      </c>
      <c r="P584" s="13" t="s">
        <v>54</v>
      </c>
      <c r="Q584" s="6" t="s">
        <v>3899</v>
      </c>
      <c r="R584" s="6" t="s">
        <v>2188</v>
      </c>
      <c r="S584" s="6" t="s">
        <v>2189</v>
      </c>
      <c r="T584" s="36"/>
      <c r="U584" s="37">
        <v>251</v>
      </c>
      <c r="V584" s="37">
        <v>251</v>
      </c>
      <c r="X584" s="132">
        <v>581</v>
      </c>
      <c r="Y584" s="6"/>
    </row>
    <row r="585" spans="1:25" ht="15" customHeight="1" x14ac:dyDescent="0.2">
      <c r="A585" s="70" t="s">
        <v>3897</v>
      </c>
      <c r="B585" s="13" t="s">
        <v>4978</v>
      </c>
      <c r="C585" s="74">
        <v>47026</v>
      </c>
      <c r="D585" s="13" t="s">
        <v>1533</v>
      </c>
      <c r="E585" s="6" t="s">
        <v>2183</v>
      </c>
      <c r="F585" s="15" t="s">
        <v>11848</v>
      </c>
      <c r="G585" s="6" t="s">
        <v>2184</v>
      </c>
      <c r="H585" s="6" t="s">
        <v>2184</v>
      </c>
      <c r="I585" s="13" t="s">
        <v>13</v>
      </c>
      <c r="J585" s="13">
        <v>7</v>
      </c>
      <c r="K585" s="13" t="s">
        <v>6603</v>
      </c>
      <c r="L585" s="6" t="s">
        <v>2185</v>
      </c>
      <c r="M585" s="108" t="s">
        <v>2186</v>
      </c>
      <c r="N585" s="13" t="s">
        <v>2187</v>
      </c>
      <c r="O585" s="13" t="s">
        <v>53</v>
      </c>
      <c r="P585" s="13" t="s">
        <v>54</v>
      </c>
      <c r="Q585" s="6" t="s">
        <v>3899</v>
      </c>
      <c r="R585" s="6" t="s">
        <v>2188</v>
      </c>
      <c r="S585" s="6" t="s">
        <v>2189</v>
      </c>
      <c r="T585" s="18">
        <v>120</v>
      </c>
      <c r="U585" s="18">
        <v>120</v>
      </c>
      <c r="V585" s="13" t="s">
        <v>3900</v>
      </c>
      <c r="X585" s="132">
        <v>582</v>
      </c>
      <c r="Y585" s="6"/>
    </row>
    <row r="586" spans="1:25" ht="15" customHeight="1" x14ac:dyDescent="0.2">
      <c r="A586" s="70" t="s">
        <v>3898</v>
      </c>
      <c r="B586" s="13" t="s">
        <v>4977</v>
      </c>
      <c r="C586" s="14">
        <v>46295</v>
      </c>
      <c r="D586" s="13" t="s">
        <v>1533</v>
      </c>
      <c r="E586" s="6" t="s">
        <v>2183</v>
      </c>
      <c r="F586" s="15" t="s">
        <v>11849</v>
      </c>
      <c r="G586" s="6" t="s">
        <v>2184</v>
      </c>
      <c r="H586" s="6" t="s">
        <v>2184</v>
      </c>
      <c r="I586" s="13" t="s">
        <v>39</v>
      </c>
      <c r="J586" s="13">
        <v>12</v>
      </c>
      <c r="K586" s="13" t="s">
        <v>1714</v>
      </c>
      <c r="L586" s="6" t="s">
        <v>2185</v>
      </c>
      <c r="M586" s="108" t="s">
        <v>2186</v>
      </c>
      <c r="N586" s="13" t="s">
        <v>2187</v>
      </c>
      <c r="O586" s="13" t="s">
        <v>53</v>
      </c>
      <c r="P586" s="13" t="s">
        <v>54</v>
      </c>
      <c r="Q586" s="6" t="s">
        <v>3899</v>
      </c>
      <c r="R586" s="6" t="s">
        <v>2188</v>
      </c>
      <c r="S586" s="6" t="s">
        <v>2189</v>
      </c>
      <c r="T586" s="18">
        <v>24</v>
      </c>
      <c r="U586" s="18">
        <v>24</v>
      </c>
      <c r="V586" s="13" t="s">
        <v>3900</v>
      </c>
      <c r="X586" s="132">
        <v>583</v>
      </c>
      <c r="Y586" s="6"/>
    </row>
    <row r="587" spans="1:25" ht="15" customHeight="1" x14ac:dyDescent="0.25">
      <c r="A587" s="70" t="s">
        <v>11489</v>
      </c>
      <c r="B587" s="79" t="s">
        <v>4977</v>
      </c>
      <c r="C587" s="80">
        <v>46885</v>
      </c>
      <c r="D587" s="79" t="s">
        <v>1533</v>
      </c>
      <c r="E587" s="81" t="s">
        <v>2183</v>
      </c>
      <c r="F587" s="82" t="s">
        <v>11490</v>
      </c>
      <c r="G587" s="81" t="s">
        <v>2184</v>
      </c>
      <c r="H587" s="81" t="s">
        <v>2184</v>
      </c>
      <c r="I587" s="79" t="s">
        <v>39</v>
      </c>
      <c r="J587" s="79">
        <v>12</v>
      </c>
      <c r="K587" s="79" t="s">
        <v>7032</v>
      </c>
      <c r="L587" s="81" t="s">
        <v>11491</v>
      </c>
      <c r="M587" s="109" t="s">
        <v>2186</v>
      </c>
      <c r="N587" s="79" t="s">
        <v>2187</v>
      </c>
      <c r="O587" s="13" t="s">
        <v>53</v>
      </c>
      <c r="P587" s="13" t="s">
        <v>54</v>
      </c>
      <c r="Q587" s="81" t="s">
        <v>3899</v>
      </c>
      <c r="R587" s="69" t="s">
        <v>2188</v>
      </c>
      <c r="S587" s="69" t="s">
        <v>2189</v>
      </c>
      <c r="T587" s="85">
        <v>500</v>
      </c>
      <c r="U587" s="85">
        <v>500</v>
      </c>
      <c r="V587" s="79" t="s">
        <v>3900</v>
      </c>
      <c r="W587" s="81"/>
      <c r="X587" s="132">
        <v>584</v>
      </c>
      <c r="Y587" s="6"/>
    </row>
    <row r="588" spans="1:25" ht="15" customHeight="1" x14ac:dyDescent="0.25">
      <c r="A588" s="12" t="s">
        <v>11417</v>
      </c>
      <c r="B588" s="24" t="s">
        <v>4977</v>
      </c>
      <c r="C588" s="14">
        <v>46822</v>
      </c>
      <c r="D588" s="13" t="s">
        <v>1533</v>
      </c>
      <c r="E588" s="6" t="s">
        <v>2197</v>
      </c>
      <c r="F588" s="15" t="s">
        <v>11414</v>
      </c>
      <c r="G588" s="6" t="s">
        <v>2198</v>
      </c>
      <c r="H588" s="6" t="s">
        <v>2198</v>
      </c>
      <c r="I588" s="13" t="s">
        <v>13</v>
      </c>
      <c r="J588" s="13">
        <v>8</v>
      </c>
      <c r="K588" s="13" t="s">
        <v>1714</v>
      </c>
      <c r="L588" s="6" t="s">
        <v>11415</v>
      </c>
      <c r="M588" s="108" t="s">
        <v>11416</v>
      </c>
      <c r="N588" s="13" t="s">
        <v>11418</v>
      </c>
      <c r="O588" s="13" t="s">
        <v>177</v>
      </c>
      <c r="P588" s="13" t="s">
        <v>9</v>
      </c>
      <c r="Q588" s="6" t="s">
        <v>7072</v>
      </c>
      <c r="R588" s="69" t="s">
        <v>9733</v>
      </c>
      <c r="S588" s="17" t="s">
        <v>2200</v>
      </c>
      <c r="T588" s="36">
        <v>300</v>
      </c>
      <c r="U588" s="37">
        <v>279</v>
      </c>
      <c r="V588" s="37" t="s">
        <v>5185</v>
      </c>
      <c r="X588" s="132">
        <v>585</v>
      </c>
      <c r="Y588" s="6"/>
    </row>
    <row r="589" spans="1:25" ht="15" customHeight="1" x14ac:dyDescent="0.25">
      <c r="A589" s="20" t="s">
        <v>6121</v>
      </c>
      <c r="B589" s="22" t="s">
        <v>2608</v>
      </c>
      <c r="C589" s="14">
        <v>45975</v>
      </c>
      <c r="D589" s="13" t="s">
        <v>1533</v>
      </c>
      <c r="E589" s="6" t="s">
        <v>2197</v>
      </c>
      <c r="F589" s="15" t="s">
        <v>6261</v>
      </c>
      <c r="G589" s="6" t="s">
        <v>2198</v>
      </c>
      <c r="H589" s="6" t="s">
        <v>2198</v>
      </c>
      <c r="I589" s="13" t="s">
        <v>39</v>
      </c>
      <c r="J589" s="13">
        <v>12</v>
      </c>
      <c r="K589" s="13" t="s">
        <v>1714</v>
      </c>
      <c r="L589" s="6" t="s">
        <v>6122</v>
      </c>
      <c r="M589" s="108" t="s">
        <v>6123</v>
      </c>
      <c r="N589" s="13" t="s">
        <v>4232</v>
      </c>
      <c r="O589" s="13" t="s">
        <v>177</v>
      </c>
      <c r="P589" s="13" t="s">
        <v>9</v>
      </c>
      <c r="Q589" s="6" t="s">
        <v>6124</v>
      </c>
      <c r="R589" s="69" t="s">
        <v>9733</v>
      </c>
      <c r="S589" s="30" t="s">
        <v>2200</v>
      </c>
      <c r="T589" s="18">
        <v>300</v>
      </c>
      <c r="U589" s="18">
        <v>230</v>
      </c>
      <c r="V589" s="37" t="s">
        <v>5185</v>
      </c>
      <c r="X589" s="132">
        <v>586</v>
      </c>
      <c r="Y589" s="6"/>
    </row>
    <row r="590" spans="1:25" ht="15" customHeight="1" x14ac:dyDescent="0.25">
      <c r="A590" s="12" t="s">
        <v>7040</v>
      </c>
      <c r="B590" s="22" t="s">
        <v>2608</v>
      </c>
      <c r="C590" s="14">
        <v>46117</v>
      </c>
      <c r="D590" s="13" t="s">
        <v>1533</v>
      </c>
      <c r="E590" s="6" t="s">
        <v>2197</v>
      </c>
      <c r="F590" s="15" t="s">
        <v>7071</v>
      </c>
      <c r="G590" s="6" t="s">
        <v>2198</v>
      </c>
      <c r="H590" s="6" t="s">
        <v>2198</v>
      </c>
      <c r="I590" s="13" t="s">
        <v>39</v>
      </c>
      <c r="J590" s="13">
        <v>12</v>
      </c>
      <c r="K590" s="13" t="s">
        <v>6574</v>
      </c>
      <c r="L590" s="6" t="s">
        <v>7636</v>
      </c>
      <c r="M590" s="108"/>
      <c r="N590" s="13" t="s">
        <v>7637</v>
      </c>
      <c r="O590" s="13" t="s">
        <v>177</v>
      </c>
      <c r="P590" s="13" t="s">
        <v>9</v>
      </c>
      <c r="Q590" s="6" t="s">
        <v>7072</v>
      </c>
      <c r="R590" s="69" t="s">
        <v>9733</v>
      </c>
      <c r="S590" s="30" t="s">
        <v>2200</v>
      </c>
      <c r="T590" s="18">
        <v>300</v>
      </c>
      <c r="U590" s="18">
        <v>237</v>
      </c>
      <c r="V590" s="13" t="s">
        <v>5185</v>
      </c>
      <c r="X590" s="132">
        <v>587</v>
      </c>
      <c r="Y590" s="6"/>
    </row>
    <row r="591" spans="1:25" ht="15" customHeight="1" x14ac:dyDescent="0.25">
      <c r="A591" s="12" t="s">
        <v>9731</v>
      </c>
      <c r="B591" s="13" t="s">
        <v>4977</v>
      </c>
      <c r="C591" s="14">
        <v>46492</v>
      </c>
      <c r="D591" s="13" t="s">
        <v>1533</v>
      </c>
      <c r="E591" s="6" t="s">
        <v>2197</v>
      </c>
      <c r="F591" s="15" t="s">
        <v>9732</v>
      </c>
      <c r="G591" s="6" t="s">
        <v>2198</v>
      </c>
      <c r="H591" s="6" t="s">
        <v>2198</v>
      </c>
      <c r="I591" s="13" t="s">
        <v>39</v>
      </c>
      <c r="J591" s="13">
        <v>12</v>
      </c>
      <c r="K591" s="13" t="s">
        <v>6574</v>
      </c>
      <c r="L591" s="6" t="s">
        <v>8934</v>
      </c>
      <c r="M591" s="108"/>
      <c r="N591" s="13" t="s">
        <v>4232</v>
      </c>
      <c r="O591" s="13" t="s">
        <v>177</v>
      </c>
      <c r="P591" s="13" t="s">
        <v>9</v>
      </c>
      <c r="Q591" s="6" t="s">
        <v>7072</v>
      </c>
      <c r="R591" s="69" t="s">
        <v>9733</v>
      </c>
      <c r="S591" s="69" t="s">
        <v>2200</v>
      </c>
      <c r="T591" s="18">
        <v>300</v>
      </c>
      <c r="U591" s="18">
        <v>279</v>
      </c>
      <c r="V591" s="13" t="s">
        <v>9734</v>
      </c>
      <c r="X591" s="132">
        <v>588</v>
      </c>
      <c r="Y591" s="6"/>
    </row>
    <row r="592" spans="1:25" ht="15" customHeight="1" x14ac:dyDescent="0.25">
      <c r="A592" s="12" t="s">
        <v>9735</v>
      </c>
      <c r="B592" s="13" t="s">
        <v>4977</v>
      </c>
      <c r="C592" s="14">
        <v>46492</v>
      </c>
      <c r="D592" s="13" t="s">
        <v>1533</v>
      </c>
      <c r="E592" s="6" t="s">
        <v>2197</v>
      </c>
      <c r="F592" s="15" t="s">
        <v>9736</v>
      </c>
      <c r="G592" s="6" t="s">
        <v>2198</v>
      </c>
      <c r="H592" s="6" t="s">
        <v>2198</v>
      </c>
      <c r="I592" s="13" t="s">
        <v>39</v>
      </c>
      <c r="J592" s="13">
        <v>12</v>
      </c>
      <c r="K592" s="13" t="s">
        <v>6574</v>
      </c>
      <c r="L592" s="6" t="s">
        <v>8934</v>
      </c>
      <c r="M592" s="108"/>
      <c r="N592" s="13" t="s">
        <v>4232</v>
      </c>
      <c r="O592" s="13" t="s">
        <v>177</v>
      </c>
      <c r="P592" s="13" t="s">
        <v>9</v>
      </c>
      <c r="Q592" s="6" t="s">
        <v>7072</v>
      </c>
      <c r="R592" s="69" t="s">
        <v>9733</v>
      </c>
      <c r="S592" s="69" t="s">
        <v>2200</v>
      </c>
      <c r="T592" s="18">
        <v>300</v>
      </c>
      <c r="U592" s="18">
        <v>120</v>
      </c>
      <c r="V592" s="13" t="s">
        <v>9737</v>
      </c>
      <c r="X592" s="132">
        <v>589</v>
      </c>
      <c r="Y592" s="6"/>
    </row>
    <row r="593" spans="1:25" ht="15" customHeight="1" x14ac:dyDescent="0.2">
      <c r="A593" s="20" t="s">
        <v>2090</v>
      </c>
      <c r="B593" s="22" t="s">
        <v>2608</v>
      </c>
      <c r="C593" s="14">
        <v>45866</v>
      </c>
      <c r="D593" s="13" t="s">
        <v>33</v>
      </c>
      <c r="E593" s="6" t="s">
        <v>2201</v>
      </c>
      <c r="G593" s="6" t="s">
        <v>2207</v>
      </c>
      <c r="H593" s="6" t="s">
        <v>2207</v>
      </c>
      <c r="I593" s="13" t="s">
        <v>25</v>
      </c>
      <c r="J593" s="13">
        <v>3</v>
      </c>
      <c r="K593" s="13" t="s">
        <v>1714</v>
      </c>
      <c r="L593" s="6" t="s">
        <v>2208</v>
      </c>
      <c r="M593" s="108" t="s">
        <v>2209</v>
      </c>
      <c r="N593" s="13" t="s">
        <v>61</v>
      </c>
      <c r="O593" s="13" t="s">
        <v>61</v>
      </c>
      <c r="P593" s="13" t="s">
        <v>9</v>
      </c>
      <c r="Q593" s="6" t="s">
        <v>5748</v>
      </c>
      <c r="R593" s="17" t="s">
        <v>5749</v>
      </c>
      <c r="S593" s="17" t="s">
        <v>5750</v>
      </c>
      <c r="T593" s="36">
        <v>21</v>
      </c>
      <c r="U593" s="37">
        <v>17</v>
      </c>
      <c r="V593" s="37" t="s">
        <v>5751</v>
      </c>
      <c r="X593" s="132">
        <v>590</v>
      </c>
      <c r="Y593" s="6"/>
    </row>
    <row r="594" spans="1:25" ht="15" customHeight="1" x14ac:dyDescent="0.25">
      <c r="A594" s="12" t="s">
        <v>2091</v>
      </c>
      <c r="B594" s="13" t="s">
        <v>4978</v>
      </c>
      <c r="C594" s="74">
        <v>47268</v>
      </c>
      <c r="D594" s="13" t="s">
        <v>33</v>
      </c>
      <c r="E594" s="78" t="s">
        <v>11678</v>
      </c>
      <c r="F594" s="15" t="s">
        <v>10047</v>
      </c>
      <c r="G594" s="6" t="s">
        <v>2210</v>
      </c>
      <c r="H594" s="6" t="s">
        <v>2210</v>
      </c>
      <c r="I594" s="13" t="s">
        <v>25</v>
      </c>
      <c r="J594" s="13">
        <v>3</v>
      </c>
      <c r="K594" s="13" t="s">
        <v>1714</v>
      </c>
      <c r="L594" s="6" t="s">
        <v>2211</v>
      </c>
      <c r="M594" s="108" t="s">
        <v>2212</v>
      </c>
      <c r="N594" s="13" t="s">
        <v>2213</v>
      </c>
      <c r="O594" s="13" t="s">
        <v>925</v>
      </c>
      <c r="P594" s="13" t="s">
        <v>16</v>
      </c>
      <c r="Q594" s="6" t="s">
        <v>10048</v>
      </c>
      <c r="R594" s="69" t="s">
        <v>10049</v>
      </c>
      <c r="S594" s="17"/>
      <c r="T594" s="36">
        <v>24</v>
      </c>
      <c r="U594" s="37">
        <v>24</v>
      </c>
      <c r="V594" s="37" t="s">
        <v>10050</v>
      </c>
      <c r="X594" s="132">
        <v>591</v>
      </c>
      <c r="Y594" s="6"/>
    </row>
    <row r="595" spans="1:25" ht="15" customHeight="1" x14ac:dyDescent="0.25">
      <c r="A595" s="12" t="s">
        <v>2092</v>
      </c>
      <c r="B595" s="13" t="s">
        <v>4978</v>
      </c>
      <c r="C595" s="74">
        <v>47615</v>
      </c>
      <c r="D595" s="13" t="s">
        <v>1533</v>
      </c>
      <c r="E595" s="6" t="s">
        <v>2202</v>
      </c>
      <c r="F595" s="15" t="s">
        <v>11429</v>
      </c>
      <c r="G595" s="6" t="s">
        <v>11430</v>
      </c>
      <c r="H595" s="6" t="s">
        <v>2214</v>
      </c>
      <c r="I595" s="13" t="s">
        <v>13</v>
      </c>
      <c r="J595" s="13">
        <v>7</v>
      </c>
      <c r="K595" s="13" t="s">
        <v>6603</v>
      </c>
      <c r="L595" s="6" t="s">
        <v>2215</v>
      </c>
      <c r="M595" s="108" t="s">
        <v>2216</v>
      </c>
      <c r="N595" s="13" t="s">
        <v>2217</v>
      </c>
      <c r="O595" s="13" t="s">
        <v>2085</v>
      </c>
      <c r="P595" s="13" t="s">
        <v>68</v>
      </c>
      <c r="Q595" s="6" t="s">
        <v>2218</v>
      </c>
      <c r="R595" s="69" t="s">
        <v>11431</v>
      </c>
      <c r="S595" s="6" t="s">
        <v>2219</v>
      </c>
      <c r="T595" s="36">
        <v>200</v>
      </c>
      <c r="U595" s="37">
        <v>200</v>
      </c>
      <c r="V595" s="37" t="s">
        <v>11432</v>
      </c>
      <c r="X595" s="132">
        <v>592</v>
      </c>
      <c r="Y595" s="6"/>
    </row>
    <row r="596" spans="1:25" ht="15" customHeight="1" x14ac:dyDescent="0.2">
      <c r="A596" s="20" t="s">
        <v>2093</v>
      </c>
      <c r="B596" s="22" t="s">
        <v>2608</v>
      </c>
      <c r="C596" s="14">
        <v>45042</v>
      </c>
      <c r="D596" s="13" t="s">
        <v>33</v>
      </c>
      <c r="E596" s="6" t="s">
        <v>2203</v>
      </c>
      <c r="F596" s="15" t="s">
        <v>11850</v>
      </c>
      <c r="G596" s="6" t="s">
        <v>2220</v>
      </c>
      <c r="I596" s="13" t="s">
        <v>25</v>
      </c>
      <c r="J596" s="13">
        <v>3</v>
      </c>
      <c r="K596" s="13" t="s">
        <v>1714</v>
      </c>
      <c r="L596" s="6" t="s">
        <v>2221</v>
      </c>
      <c r="M596" s="108" t="s">
        <v>2222</v>
      </c>
      <c r="N596" s="13" t="s">
        <v>2223</v>
      </c>
      <c r="O596" s="13" t="s">
        <v>21</v>
      </c>
      <c r="P596" s="13" t="s">
        <v>9</v>
      </c>
      <c r="Q596" s="6" t="s">
        <v>2224</v>
      </c>
      <c r="R596" s="6" t="s">
        <v>2225</v>
      </c>
      <c r="S596" s="17" t="s">
        <v>6632</v>
      </c>
      <c r="T596" s="36">
        <v>37</v>
      </c>
      <c r="U596" s="37">
        <v>33</v>
      </c>
      <c r="V596" s="37">
        <v>33</v>
      </c>
      <c r="X596" s="132">
        <v>593</v>
      </c>
      <c r="Y596" s="6"/>
    </row>
    <row r="597" spans="1:25" ht="15" customHeight="1" x14ac:dyDescent="0.2">
      <c r="A597" s="12" t="s">
        <v>2094</v>
      </c>
      <c r="B597" s="13" t="s">
        <v>4978</v>
      </c>
      <c r="C597" s="74">
        <v>47359</v>
      </c>
      <c r="D597" s="13" t="s">
        <v>33</v>
      </c>
      <c r="E597" s="6" t="s">
        <v>2204</v>
      </c>
      <c r="F597" s="15" t="s">
        <v>10481</v>
      </c>
      <c r="G597" s="6" t="s">
        <v>2226</v>
      </c>
      <c r="H597" s="6" t="s">
        <v>2226</v>
      </c>
      <c r="I597" s="13" t="s">
        <v>25</v>
      </c>
      <c r="J597" s="13">
        <v>3</v>
      </c>
      <c r="K597" s="13" t="s">
        <v>1714</v>
      </c>
      <c r="L597" s="6" t="s">
        <v>2227</v>
      </c>
      <c r="M597" s="108" t="s">
        <v>2228</v>
      </c>
      <c r="N597" s="13" t="s">
        <v>2229</v>
      </c>
      <c r="O597" s="13" t="s">
        <v>36</v>
      </c>
      <c r="P597" s="13" t="s">
        <v>4</v>
      </c>
      <c r="Q597" s="6" t="s">
        <v>10482</v>
      </c>
      <c r="R597" s="6" t="s">
        <v>2230</v>
      </c>
      <c r="S597" s="6" t="s">
        <v>2231</v>
      </c>
      <c r="T597" s="36">
        <v>35</v>
      </c>
      <c r="U597" s="37">
        <v>23</v>
      </c>
      <c r="V597" s="37" t="s">
        <v>10483</v>
      </c>
      <c r="X597" s="132">
        <v>594</v>
      </c>
      <c r="Y597" s="6"/>
    </row>
    <row r="598" spans="1:25" ht="15" customHeight="1" x14ac:dyDescent="0.25">
      <c r="A598" s="12" t="s">
        <v>10514</v>
      </c>
      <c r="B598" s="13" t="s">
        <v>4978</v>
      </c>
      <c r="C598" s="102">
        <v>47406</v>
      </c>
      <c r="D598" s="79" t="s">
        <v>33</v>
      </c>
      <c r="E598" s="81" t="s">
        <v>2204</v>
      </c>
      <c r="F598" s="82" t="s">
        <v>10515</v>
      </c>
      <c r="G598" s="81" t="s">
        <v>10516</v>
      </c>
      <c r="H598" s="81" t="s">
        <v>10516</v>
      </c>
      <c r="I598" s="79" t="s">
        <v>25</v>
      </c>
      <c r="J598" s="79">
        <v>3</v>
      </c>
      <c r="K598" s="79" t="s">
        <v>1714</v>
      </c>
      <c r="L598" s="81" t="s">
        <v>10517</v>
      </c>
      <c r="M598" s="109" t="s">
        <v>10518</v>
      </c>
      <c r="N598" s="79" t="s">
        <v>2229</v>
      </c>
      <c r="O598" s="13" t="s">
        <v>36</v>
      </c>
      <c r="P598" s="13" t="s">
        <v>4</v>
      </c>
      <c r="Q598" s="81" t="s">
        <v>10519</v>
      </c>
      <c r="R598" s="69" t="s">
        <v>10520</v>
      </c>
      <c r="S598" s="69" t="s">
        <v>10521</v>
      </c>
      <c r="T598" s="85">
        <v>20</v>
      </c>
      <c r="U598" s="85">
        <v>12</v>
      </c>
      <c r="V598" s="79" t="s">
        <v>10483</v>
      </c>
      <c r="W598" s="81"/>
      <c r="X598" s="132">
        <v>595</v>
      </c>
      <c r="Y598" s="6"/>
    </row>
    <row r="599" spans="1:25" ht="15" customHeight="1" x14ac:dyDescent="0.2">
      <c r="A599" s="20" t="s">
        <v>2095</v>
      </c>
      <c r="B599" s="22" t="s">
        <v>2608</v>
      </c>
      <c r="C599" s="14">
        <v>45042</v>
      </c>
      <c r="D599" s="13" t="s">
        <v>33</v>
      </c>
      <c r="E599" s="6" t="s">
        <v>2205</v>
      </c>
      <c r="F599" s="15" t="s">
        <v>11851</v>
      </c>
      <c r="G599" s="6" t="s">
        <v>2232</v>
      </c>
      <c r="I599" s="13" t="s">
        <v>25</v>
      </c>
      <c r="J599" s="13">
        <v>3</v>
      </c>
      <c r="K599" s="13" t="s">
        <v>1714</v>
      </c>
      <c r="L599" s="6" t="s">
        <v>2233</v>
      </c>
      <c r="M599" s="108" t="s">
        <v>2234</v>
      </c>
      <c r="N599" s="13" t="s">
        <v>2235</v>
      </c>
      <c r="O599" s="13" t="s">
        <v>2146</v>
      </c>
      <c r="P599" s="13" t="s">
        <v>68</v>
      </c>
      <c r="Q599" s="6" t="s">
        <v>2236</v>
      </c>
      <c r="R599" s="6" t="s">
        <v>2237</v>
      </c>
      <c r="S599" s="6" t="s">
        <v>2238</v>
      </c>
      <c r="T599" s="36">
        <v>24</v>
      </c>
      <c r="U599" s="37">
        <v>8</v>
      </c>
      <c r="V599" s="37">
        <v>8</v>
      </c>
      <c r="X599" s="132">
        <v>596</v>
      </c>
      <c r="Y599" s="6"/>
    </row>
    <row r="600" spans="1:25" ht="15" customHeight="1" x14ac:dyDescent="0.25">
      <c r="A600" s="12" t="s">
        <v>2096</v>
      </c>
      <c r="B600" s="13" t="s">
        <v>4978</v>
      </c>
      <c r="C600" s="74">
        <v>47285</v>
      </c>
      <c r="D600" s="13" t="s">
        <v>1533</v>
      </c>
      <c r="E600" s="6" t="s">
        <v>2206</v>
      </c>
      <c r="F600" s="15" t="s">
        <v>10163</v>
      </c>
      <c r="G600" s="6" t="s">
        <v>2239</v>
      </c>
      <c r="H600" s="6" t="s">
        <v>10164</v>
      </c>
      <c r="I600" s="13" t="s">
        <v>13</v>
      </c>
      <c r="J600" s="13">
        <v>7</v>
      </c>
      <c r="K600" s="13" t="s">
        <v>6603</v>
      </c>
      <c r="L600" s="6" t="s">
        <v>2240</v>
      </c>
      <c r="M600" s="108" t="s">
        <v>10165</v>
      </c>
      <c r="N600" s="13" t="s">
        <v>2241</v>
      </c>
      <c r="O600" s="13" t="s">
        <v>15</v>
      </c>
      <c r="P600" s="13" t="s">
        <v>16</v>
      </c>
      <c r="Q600" s="6" t="s">
        <v>10166</v>
      </c>
      <c r="R600" s="69" t="s">
        <v>10167</v>
      </c>
      <c r="S600" s="6" t="s">
        <v>2242</v>
      </c>
      <c r="T600" s="36">
        <v>130</v>
      </c>
      <c r="U600" s="37">
        <v>182</v>
      </c>
      <c r="V600" s="37" t="s">
        <v>10168</v>
      </c>
      <c r="X600" s="132">
        <v>597</v>
      </c>
      <c r="Y600" s="6"/>
    </row>
    <row r="601" spans="1:25" ht="15" customHeight="1" x14ac:dyDescent="0.2">
      <c r="A601" s="20" t="s">
        <v>2097</v>
      </c>
      <c r="B601" s="22" t="s">
        <v>2608</v>
      </c>
      <c r="C601" s="14">
        <v>45042</v>
      </c>
      <c r="D601" s="13" t="s">
        <v>33</v>
      </c>
      <c r="E601" s="6" t="s">
        <v>2102</v>
      </c>
      <c r="F601" s="15" t="s">
        <v>11852</v>
      </c>
      <c r="G601" s="6" t="s">
        <v>2103</v>
      </c>
      <c r="I601" s="13" t="s">
        <v>25</v>
      </c>
      <c r="J601" s="13">
        <v>3</v>
      </c>
      <c r="K601" s="13" t="s">
        <v>1714</v>
      </c>
      <c r="L601" s="6" t="s">
        <v>2104</v>
      </c>
      <c r="M601" s="108" t="s">
        <v>2105</v>
      </c>
      <c r="N601" s="13" t="s">
        <v>172</v>
      </c>
      <c r="O601" s="13" t="s">
        <v>172</v>
      </c>
      <c r="P601" s="13" t="s">
        <v>9</v>
      </c>
      <c r="Q601" s="16">
        <v>11974498813</v>
      </c>
      <c r="R601" s="17" t="s">
        <v>4309</v>
      </c>
      <c r="S601" s="17" t="s">
        <v>6634</v>
      </c>
      <c r="T601" s="36">
        <v>25</v>
      </c>
      <c r="U601" s="37">
        <v>22</v>
      </c>
      <c r="V601" s="37">
        <v>22</v>
      </c>
      <c r="X601" s="132">
        <v>598</v>
      </c>
      <c r="Y601" s="6"/>
    </row>
    <row r="602" spans="1:25" ht="15" customHeight="1" x14ac:dyDescent="0.2">
      <c r="A602" s="20" t="s">
        <v>2098</v>
      </c>
      <c r="B602" s="22" t="s">
        <v>2608</v>
      </c>
      <c r="C602" s="14">
        <v>45773</v>
      </c>
      <c r="D602" s="13" t="s">
        <v>33</v>
      </c>
      <c r="E602" s="6" t="s">
        <v>2113</v>
      </c>
      <c r="F602" s="15" t="s">
        <v>2279</v>
      </c>
      <c r="G602" s="6" t="s">
        <v>2106</v>
      </c>
      <c r="I602" s="13" t="s">
        <v>25</v>
      </c>
      <c r="J602" s="13">
        <v>3</v>
      </c>
      <c r="K602" s="13" t="s">
        <v>1714</v>
      </c>
      <c r="L602" s="6" t="s">
        <v>2107</v>
      </c>
      <c r="M602" s="108" t="s">
        <v>2108</v>
      </c>
      <c r="N602" s="13" t="s">
        <v>2109</v>
      </c>
      <c r="O602" s="13" t="s">
        <v>136</v>
      </c>
      <c r="P602" s="13" t="s">
        <v>4</v>
      </c>
      <c r="Q602" s="6" t="s">
        <v>2110</v>
      </c>
      <c r="R602" s="35" t="s">
        <v>2111</v>
      </c>
      <c r="S602" s="17" t="s">
        <v>2112</v>
      </c>
      <c r="T602" s="36" t="s">
        <v>1901</v>
      </c>
      <c r="U602" s="37" t="s">
        <v>1901</v>
      </c>
      <c r="V602" s="37" t="s">
        <v>1901</v>
      </c>
      <c r="X602" s="132">
        <v>599</v>
      </c>
      <c r="Y602" s="6"/>
    </row>
    <row r="603" spans="1:25" ht="15" customHeight="1" x14ac:dyDescent="0.25">
      <c r="A603" s="19" t="s">
        <v>2099</v>
      </c>
      <c r="B603" s="13" t="s">
        <v>4978</v>
      </c>
      <c r="C603" s="74">
        <v>47253</v>
      </c>
      <c r="D603" s="13" t="s">
        <v>33</v>
      </c>
      <c r="E603" s="6" t="s">
        <v>2119</v>
      </c>
      <c r="F603" s="15" t="s">
        <v>9922</v>
      </c>
      <c r="G603" s="6" t="s">
        <v>2120</v>
      </c>
      <c r="H603" s="6" t="s">
        <v>2120</v>
      </c>
      <c r="I603" s="13" t="s">
        <v>25</v>
      </c>
      <c r="J603" s="13">
        <v>3</v>
      </c>
      <c r="K603" s="13" t="s">
        <v>1714</v>
      </c>
      <c r="L603" s="6" t="s">
        <v>2121</v>
      </c>
      <c r="M603" s="108" t="s">
        <v>2122</v>
      </c>
      <c r="N603" s="13" t="s">
        <v>2123</v>
      </c>
      <c r="O603" s="13" t="s">
        <v>15</v>
      </c>
      <c r="P603" s="13" t="s">
        <v>16</v>
      </c>
      <c r="Q603" s="6" t="s">
        <v>9894</v>
      </c>
      <c r="R603" s="69" t="s">
        <v>9896</v>
      </c>
      <c r="S603" s="17" t="s">
        <v>2124</v>
      </c>
      <c r="T603" s="36">
        <v>30</v>
      </c>
      <c r="U603" s="37">
        <v>30</v>
      </c>
      <c r="V603" s="37" t="s">
        <v>9895</v>
      </c>
      <c r="X603" s="132">
        <v>600</v>
      </c>
      <c r="Y603" s="6"/>
    </row>
    <row r="604" spans="1:25" ht="15" customHeight="1" x14ac:dyDescent="0.2">
      <c r="A604" s="20" t="s">
        <v>4308</v>
      </c>
      <c r="B604" s="22" t="s">
        <v>2608</v>
      </c>
      <c r="C604" s="14">
        <v>45042</v>
      </c>
      <c r="D604" s="13" t="s">
        <v>33</v>
      </c>
      <c r="E604" s="6" t="s">
        <v>2125</v>
      </c>
      <c r="F604" s="15" t="s">
        <v>11853</v>
      </c>
      <c r="G604" s="6" t="s">
        <v>2126</v>
      </c>
      <c r="I604" s="13" t="s">
        <v>25</v>
      </c>
      <c r="J604" s="13">
        <v>3</v>
      </c>
      <c r="K604" s="13" t="s">
        <v>1714</v>
      </c>
      <c r="L604" s="6" t="s">
        <v>2128</v>
      </c>
      <c r="M604" s="108" t="s">
        <v>2129</v>
      </c>
      <c r="N604" s="13" t="s">
        <v>2130</v>
      </c>
      <c r="O604" s="13" t="s">
        <v>1889</v>
      </c>
      <c r="P604" s="13" t="s">
        <v>68</v>
      </c>
      <c r="Q604" s="6" t="s">
        <v>2131</v>
      </c>
      <c r="R604" s="121" t="s">
        <v>2133</v>
      </c>
      <c r="S604" s="17" t="s">
        <v>2132</v>
      </c>
      <c r="T604" s="36">
        <v>49</v>
      </c>
      <c r="U604" s="37">
        <v>44</v>
      </c>
      <c r="V604" s="37">
        <v>44</v>
      </c>
      <c r="X604" s="132">
        <v>601</v>
      </c>
      <c r="Y604" s="6"/>
    </row>
    <row r="605" spans="1:25" ht="15" customHeight="1" x14ac:dyDescent="0.2">
      <c r="A605" s="20" t="s">
        <v>4307</v>
      </c>
      <c r="B605" s="22" t="s">
        <v>2608</v>
      </c>
      <c r="C605" s="14">
        <v>45042</v>
      </c>
      <c r="D605" s="13" t="s">
        <v>33</v>
      </c>
      <c r="E605" s="6" t="s">
        <v>2125</v>
      </c>
      <c r="F605" s="15" t="s">
        <v>11854</v>
      </c>
      <c r="G605" s="6" t="s">
        <v>2127</v>
      </c>
      <c r="I605" s="13" t="s">
        <v>25</v>
      </c>
      <c r="J605" s="13">
        <v>3</v>
      </c>
      <c r="K605" s="13" t="s">
        <v>1714</v>
      </c>
      <c r="L605" s="6" t="s">
        <v>2134</v>
      </c>
      <c r="M605" s="108" t="s">
        <v>2129</v>
      </c>
      <c r="N605" s="13" t="s">
        <v>2130</v>
      </c>
      <c r="O605" s="13" t="s">
        <v>1889</v>
      </c>
      <c r="P605" s="13" t="s">
        <v>68</v>
      </c>
      <c r="Q605" s="6" t="s">
        <v>2131</v>
      </c>
      <c r="R605" s="17" t="s">
        <v>2133</v>
      </c>
      <c r="S605" s="17" t="s">
        <v>2132</v>
      </c>
      <c r="T605" s="36">
        <v>36</v>
      </c>
      <c r="U605" s="37">
        <v>36</v>
      </c>
      <c r="V605" s="37">
        <v>36</v>
      </c>
      <c r="X605" s="132">
        <v>602</v>
      </c>
      <c r="Y605" s="6"/>
    </row>
    <row r="606" spans="1:25" ht="15" customHeight="1" x14ac:dyDescent="0.25">
      <c r="A606" s="12" t="s">
        <v>4306</v>
      </c>
      <c r="B606" s="13" t="s">
        <v>4978</v>
      </c>
      <c r="C606" s="74">
        <v>47223</v>
      </c>
      <c r="D606" s="13" t="s">
        <v>1533</v>
      </c>
      <c r="E606" s="6" t="s">
        <v>2135</v>
      </c>
      <c r="F606" s="32" t="s">
        <v>9775</v>
      </c>
      <c r="G606" s="6" t="s">
        <v>2136</v>
      </c>
      <c r="H606" s="6" t="s">
        <v>2136</v>
      </c>
      <c r="I606" s="13" t="s">
        <v>7931</v>
      </c>
      <c r="J606" s="13">
        <v>9</v>
      </c>
      <c r="K606" s="13" t="s">
        <v>6603</v>
      </c>
      <c r="L606" s="6" t="s">
        <v>2137</v>
      </c>
      <c r="M606" s="108" t="s">
        <v>2138</v>
      </c>
      <c r="N606" s="13" t="s">
        <v>2139</v>
      </c>
      <c r="O606" s="13" t="s">
        <v>97</v>
      </c>
      <c r="P606" s="13" t="s">
        <v>4</v>
      </c>
      <c r="Q606" s="6" t="s">
        <v>9722</v>
      </c>
      <c r="R606" s="17" t="s">
        <v>2140</v>
      </c>
      <c r="S606" s="69" t="s">
        <v>9774</v>
      </c>
      <c r="T606" s="36">
        <v>30</v>
      </c>
      <c r="U606" s="37">
        <v>30</v>
      </c>
      <c r="V606" s="37" t="s">
        <v>9723</v>
      </c>
      <c r="X606" s="132">
        <v>603</v>
      </c>
      <c r="Y606" s="6"/>
    </row>
    <row r="607" spans="1:25" ht="15" customHeight="1" x14ac:dyDescent="0.25">
      <c r="A607" s="12" t="s">
        <v>2100</v>
      </c>
      <c r="B607" s="13" t="s">
        <v>4978</v>
      </c>
      <c r="C607" s="74">
        <v>47285</v>
      </c>
      <c r="D607" s="13" t="s">
        <v>1533</v>
      </c>
      <c r="E607" s="6" t="s">
        <v>10154</v>
      </c>
      <c r="F607" s="15" t="s">
        <v>2141</v>
      </c>
      <c r="G607" s="6" t="s">
        <v>2142</v>
      </c>
      <c r="H607" s="6" t="s">
        <v>2142</v>
      </c>
      <c r="I607" s="13" t="s">
        <v>25</v>
      </c>
      <c r="J607" s="13">
        <v>6</v>
      </c>
      <c r="K607" s="13" t="s">
        <v>1714</v>
      </c>
      <c r="L607" s="6" t="s">
        <v>2143</v>
      </c>
      <c r="M607" s="108" t="s">
        <v>2144</v>
      </c>
      <c r="N607" s="13" t="s">
        <v>10118</v>
      </c>
      <c r="O607" s="13" t="s">
        <v>2146</v>
      </c>
      <c r="P607" s="13" t="s">
        <v>68</v>
      </c>
      <c r="Q607" s="6" t="s">
        <v>10119</v>
      </c>
      <c r="R607" s="69" t="s">
        <v>10120</v>
      </c>
      <c r="S607" s="17"/>
      <c r="T607" s="36">
        <v>10</v>
      </c>
      <c r="U607" s="37">
        <v>7</v>
      </c>
      <c r="V607" s="37" t="s">
        <v>10121</v>
      </c>
      <c r="X607" s="132">
        <v>604</v>
      </c>
      <c r="Y607" s="6"/>
    </row>
    <row r="608" spans="1:25" ht="15" customHeight="1" x14ac:dyDescent="0.2">
      <c r="A608" s="12" t="s">
        <v>2101</v>
      </c>
      <c r="B608" s="13" t="s">
        <v>4978</v>
      </c>
      <c r="C608" s="74">
        <v>47345</v>
      </c>
      <c r="D608" s="13" t="s">
        <v>33</v>
      </c>
      <c r="E608" s="6" t="s">
        <v>2147</v>
      </c>
      <c r="F608" s="15" t="s">
        <v>10445</v>
      </c>
      <c r="G608" s="6" t="s">
        <v>2148</v>
      </c>
      <c r="H608" s="6" t="s">
        <v>2148</v>
      </c>
      <c r="I608" s="13" t="s">
        <v>25</v>
      </c>
      <c r="J608" s="13">
        <v>3</v>
      </c>
      <c r="K608" s="13" t="s">
        <v>1714</v>
      </c>
      <c r="L608" s="6" t="s">
        <v>2150</v>
      </c>
      <c r="M608" s="108" t="s">
        <v>2151</v>
      </c>
      <c r="N608" s="13" t="s">
        <v>2152</v>
      </c>
      <c r="O608" s="13" t="s">
        <v>1847</v>
      </c>
      <c r="P608" s="13" t="s">
        <v>68</v>
      </c>
      <c r="Q608" s="6" t="s">
        <v>10446</v>
      </c>
      <c r="R608" s="17" t="s">
        <v>2153</v>
      </c>
      <c r="S608" s="17"/>
      <c r="T608" s="36">
        <v>22</v>
      </c>
      <c r="U608" s="37">
        <v>7</v>
      </c>
      <c r="V608" s="37" t="s">
        <v>10447</v>
      </c>
      <c r="X608" s="132">
        <v>605</v>
      </c>
      <c r="Y608" s="6"/>
    </row>
    <row r="609" spans="1:25" ht="15" customHeight="1" x14ac:dyDescent="0.2">
      <c r="A609" s="12" t="s">
        <v>2149</v>
      </c>
      <c r="B609" s="13" t="s">
        <v>4977</v>
      </c>
      <c r="C609" s="14">
        <v>46478</v>
      </c>
      <c r="D609" s="13" t="s">
        <v>1533</v>
      </c>
      <c r="E609" s="6" t="s">
        <v>2178</v>
      </c>
      <c r="F609" s="15" t="s">
        <v>9659</v>
      </c>
      <c r="G609" s="6" t="s">
        <v>5186</v>
      </c>
      <c r="H609" s="6" t="s">
        <v>2155</v>
      </c>
      <c r="I609" s="13" t="s">
        <v>13</v>
      </c>
      <c r="J609" s="13">
        <v>8</v>
      </c>
      <c r="K609" s="13" t="s">
        <v>1714</v>
      </c>
      <c r="L609" s="6" t="s">
        <v>9660</v>
      </c>
      <c r="M609" s="108" t="s">
        <v>2156</v>
      </c>
      <c r="N609" s="13" t="s">
        <v>240</v>
      </c>
      <c r="O609" s="13" t="s">
        <v>240</v>
      </c>
      <c r="P609" s="13" t="s">
        <v>16</v>
      </c>
      <c r="Q609" s="6" t="s">
        <v>9661</v>
      </c>
      <c r="R609" s="17" t="s">
        <v>5187</v>
      </c>
      <c r="S609" s="17" t="s">
        <v>2157</v>
      </c>
      <c r="T609" s="36">
        <v>150</v>
      </c>
      <c r="U609" s="37">
        <v>100</v>
      </c>
      <c r="V609" s="37" t="s">
        <v>5188</v>
      </c>
      <c r="X609" s="132">
        <v>606</v>
      </c>
      <c r="Y609" s="6"/>
    </row>
    <row r="610" spans="1:25" ht="15" customHeight="1" x14ac:dyDescent="0.25">
      <c r="A610" s="12" t="s">
        <v>2154</v>
      </c>
      <c r="B610" s="13" t="s">
        <v>4978</v>
      </c>
      <c r="C610" s="74">
        <v>47285</v>
      </c>
      <c r="D610" s="13" t="s">
        <v>33</v>
      </c>
      <c r="E610" s="6" t="s">
        <v>10058</v>
      </c>
      <c r="F610" s="15" t="s">
        <v>10059</v>
      </c>
      <c r="G610" s="6" t="s">
        <v>6475</v>
      </c>
      <c r="H610" s="6" t="s">
        <v>6475</v>
      </c>
      <c r="I610" s="13" t="s">
        <v>25</v>
      </c>
      <c r="J610" s="13">
        <v>3</v>
      </c>
      <c r="K610" s="13" t="s">
        <v>1714</v>
      </c>
      <c r="L610" s="6" t="s">
        <v>2159</v>
      </c>
      <c r="M610" s="108" t="s">
        <v>2160</v>
      </c>
      <c r="N610" s="13" t="s">
        <v>2161</v>
      </c>
      <c r="O610" s="13" t="s">
        <v>2146</v>
      </c>
      <c r="P610" s="13" t="s">
        <v>68</v>
      </c>
      <c r="Q610" s="6" t="s">
        <v>10060</v>
      </c>
      <c r="R610" s="69" t="s">
        <v>10061</v>
      </c>
      <c r="S610" s="69" t="s">
        <v>10063</v>
      </c>
      <c r="T610" s="36">
        <v>25</v>
      </c>
      <c r="U610" s="37">
        <v>22</v>
      </c>
      <c r="V610" s="37" t="s">
        <v>10062</v>
      </c>
      <c r="X610" s="132">
        <v>607</v>
      </c>
      <c r="Y610" s="6"/>
    </row>
    <row r="611" spans="1:25" ht="15" customHeight="1" x14ac:dyDescent="0.2">
      <c r="A611" s="19" t="s">
        <v>2158</v>
      </c>
      <c r="B611" s="13" t="s">
        <v>1197</v>
      </c>
      <c r="D611" s="13"/>
      <c r="E611" s="6" t="s">
        <v>1197</v>
      </c>
      <c r="G611" s="6" t="s">
        <v>1323</v>
      </c>
      <c r="K611" s="13"/>
      <c r="L611" s="6"/>
      <c r="M611" s="108"/>
      <c r="Q611" s="6"/>
      <c r="R611" s="30"/>
      <c r="S611" s="30"/>
      <c r="T611" s="18"/>
      <c r="U611" s="18"/>
      <c r="V611" s="13"/>
      <c r="X611" s="132">
        <v>608</v>
      </c>
      <c r="Y611" s="6"/>
    </row>
    <row r="612" spans="1:25" ht="15" customHeight="1" x14ac:dyDescent="0.2">
      <c r="A612" s="12" t="s">
        <v>2280</v>
      </c>
      <c r="B612" s="13" t="s">
        <v>4977</v>
      </c>
      <c r="C612" s="14">
        <v>46158</v>
      </c>
      <c r="D612" s="13" t="s">
        <v>33</v>
      </c>
      <c r="E612" s="6" t="s">
        <v>7242</v>
      </c>
      <c r="F612" s="15" t="s">
        <v>7243</v>
      </c>
      <c r="G612" s="6" t="s">
        <v>2415</v>
      </c>
      <c r="H612" s="6" t="s">
        <v>2415</v>
      </c>
      <c r="I612" s="13" t="s">
        <v>25</v>
      </c>
      <c r="J612" s="13">
        <v>3</v>
      </c>
      <c r="K612" s="13" t="s">
        <v>1714</v>
      </c>
      <c r="L612" s="6" t="s">
        <v>7180</v>
      </c>
      <c r="M612" s="108" t="s">
        <v>2414</v>
      </c>
      <c r="N612" s="13" t="s">
        <v>7181</v>
      </c>
      <c r="O612" s="13" t="s">
        <v>27</v>
      </c>
      <c r="P612" s="13" t="s">
        <v>9</v>
      </c>
      <c r="Q612" s="6" t="s">
        <v>7182</v>
      </c>
      <c r="R612" s="17" t="s">
        <v>7183</v>
      </c>
      <c r="S612" s="17"/>
      <c r="T612" s="18">
        <v>45</v>
      </c>
      <c r="U612" s="13">
        <v>45</v>
      </c>
      <c r="V612" s="13" t="s">
        <v>7184</v>
      </c>
      <c r="X612" s="132">
        <v>609</v>
      </c>
      <c r="Y612" s="6"/>
    </row>
    <row r="613" spans="1:25" ht="15" customHeight="1" x14ac:dyDescent="0.25">
      <c r="A613" s="12" t="s">
        <v>2281</v>
      </c>
      <c r="B613" s="13" t="s">
        <v>4978</v>
      </c>
      <c r="C613" s="74">
        <v>47345</v>
      </c>
      <c r="D613" s="13" t="s">
        <v>33</v>
      </c>
      <c r="E613" s="6" t="s">
        <v>10439</v>
      </c>
      <c r="F613" s="15" t="s">
        <v>10440</v>
      </c>
      <c r="G613" s="6" t="s">
        <v>2418</v>
      </c>
      <c r="H613" s="6" t="s">
        <v>2418</v>
      </c>
      <c r="I613" s="13" t="s">
        <v>25</v>
      </c>
      <c r="J613" s="13">
        <v>3</v>
      </c>
      <c r="K613" s="13" t="s">
        <v>1714</v>
      </c>
      <c r="L613" s="6" t="s">
        <v>2416</v>
      </c>
      <c r="M613" s="108" t="s">
        <v>2419</v>
      </c>
      <c r="N613" s="13" t="s">
        <v>2417</v>
      </c>
      <c r="O613" s="13" t="s">
        <v>9664</v>
      </c>
      <c r="P613" s="13" t="s">
        <v>68</v>
      </c>
      <c r="Q613" s="6" t="s">
        <v>10441</v>
      </c>
      <c r="R613" s="69" t="s">
        <v>10442</v>
      </c>
      <c r="S613" s="69" t="s">
        <v>10443</v>
      </c>
      <c r="T613" s="18">
        <v>48</v>
      </c>
      <c r="U613" s="13">
        <v>38</v>
      </c>
      <c r="V613" s="13" t="s">
        <v>10444</v>
      </c>
      <c r="X613" s="132">
        <v>610</v>
      </c>
      <c r="Y613" s="6"/>
    </row>
    <row r="614" spans="1:25" ht="15" customHeight="1" x14ac:dyDescent="0.25">
      <c r="A614" s="12" t="s">
        <v>2282</v>
      </c>
      <c r="B614" s="13" t="s">
        <v>4978</v>
      </c>
      <c r="C614" s="74">
        <v>47268</v>
      </c>
      <c r="D614" s="13" t="s">
        <v>1533</v>
      </c>
      <c r="E614" s="6" t="s">
        <v>2408</v>
      </c>
      <c r="F614" s="15" t="s">
        <v>10011</v>
      </c>
      <c r="G614" s="6" t="s">
        <v>2420</v>
      </c>
      <c r="H614" s="6" t="s">
        <v>2420</v>
      </c>
      <c r="I614" s="13" t="s">
        <v>13</v>
      </c>
      <c r="J614" s="13">
        <v>7</v>
      </c>
      <c r="K614" s="13" t="s">
        <v>6603</v>
      </c>
      <c r="L614" s="6" t="s">
        <v>2421</v>
      </c>
      <c r="M614" s="108" t="s">
        <v>2423</v>
      </c>
      <c r="N614" s="13" t="s">
        <v>2422</v>
      </c>
      <c r="O614" s="13" t="s">
        <v>5556</v>
      </c>
      <c r="P614" s="13" t="s">
        <v>9</v>
      </c>
      <c r="Q614" s="6" t="s">
        <v>10012</v>
      </c>
      <c r="R614" s="69" t="s">
        <v>2424</v>
      </c>
      <c r="S614" s="69" t="s">
        <v>10013</v>
      </c>
      <c r="T614" s="18">
        <v>100</v>
      </c>
      <c r="U614" s="13">
        <v>133</v>
      </c>
      <c r="V614" s="13" t="s">
        <v>10014</v>
      </c>
      <c r="X614" s="132">
        <v>611</v>
      </c>
      <c r="Y614" s="6"/>
    </row>
    <row r="615" spans="1:25" ht="15" customHeight="1" x14ac:dyDescent="0.2">
      <c r="A615" s="12" t="s">
        <v>2283</v>
      </c>
      <c r="B615" s="13" t="s">
        <v>4978</v>
      </c>
      <c r="C615" s="74">
        <v>47464</v>
      </c>
      <c r="D615" s="13" t="s">
        <v>33</v>
      </c>
      <c r="E615" s="6" t="s">
        <v>2409</v>
      </c>
      <c r="F615" s="15" t="s">
        <v>11038</v>
      </c>
      <c r="G615" s="6" t="s">
        <v>2425</v>
      </c>
      <c r="H615" s="6" t="s">
        <v>2425</v>
      </c>
      <c r="I615" s="13" t="s">
        <v>25</v>
      </c>
      <c r="J615" s="13">
        <v>3</v>
      </c>
      <c r="K615" s="13" t="s">
        <v>1714</v>
      </c>
      <c r="L615" s="6" t="s">
        <v>2426</v>
      </c>
      <c r="M615" s="108" t="s">
        <v>2427</v>
      </c>
      <c r="N615" s="13" t="s">
        <v>136</v>
      </c>
      <c r="O615" s="13" t="s">
        <v>136</v>
      </c>
      <c r="P615" s="13" t="s">
        <v>4</v>
      </c>
      <c r="Q615" s="6" t="s">
        <v>11039</v>
      </c>
      <c r="R615" s="6" t="s">
        <v>2428</v>
      </c>
      <c r="S615" s="17"/>
      <c r="T615" s="18">
        <v>45</v>
      </c>
      <c r="U615" s="13">
        <v>39</v>
      </c>
      <c r="V615" s="13" t="s">
        <v>11040</v>
      </c>
      <c r="X615" s="132">
        <v>612</v>
      </c>
      <c r="Y615" s="6"/>
    </row>
    <row r="616" spans="1:25" ht="15" customHeight="1" x14ac:dyDescent="0.2">
      <c r="A616" s="20" t="s">
        <v>2284</v>
      </c>
      <c r="B616" s="22" t="s">
        <v>2608</v>
      </c>
      <c r="C616" s="14">
        <v>45071</v>
      </c>
      <c r="D616" s="13" t="s">
        <v>33</v>
      </c>
      <c r="E616" s="6" t="s">
        <v>2410</v>
      </c>
      <c r="F616" s="15" t="s">
        <v>9219</v>
      </c>
      <c r="G616" s="6" t="s">
        <v>2429</v>
      </c>
      <c r="I616" s="13" t="s">
        <v>25</v>
      </c>
      <c r="J616" s="13">
        <v>3</v>
      </c>
      <c r="K616" s="13" t="s">
        <v>1714</v>
      </c>
      <c r="L616" s="6" t="s">
        <v>2430</v>
      </c>
      <c r="M616" s="108" t="s">
        <v>2432</v>
      </c>
      <c r="N616" s="13" t="s">
        <v>2431</v>
      </c>
      <c r="O616" s="13" t="s">
        <v>172</v>
      </c>
      <c r="P616" s="13" t="s">
        <v>9</v>
      </c>
      <c r="Q616" s="6" t="s">
        <v>2433</v>
      </c>
      <c r="R616" s="17" t="s">
        <v>3694</v>
      </c>
      <c r="S616" s="17" t="s">
        <v>6639</v>
      </c>
      <c r="T616" s="18">
        <v>19</v>
      </c>
      <c r="U616" s="13">
        <v>15</v>
      </c>
      <c r="V616" s="13">
        <v>15</v>
      </c>
      <c r="X616" s="132">
        <v>613</v>
      </c>
      <c r="Y616" s="6"/>
    </row>
    <row r="617" spans="1:25" ht="15" customHeight="1" x14ac:dyDescent="0.2">
      <c r="A617" s="12" t="s">
        <v>2285</v>
      </c>
      <c r="B617" s="13" t="s">
        <v>4978</v>
      </c>
      <c r="C617" s="74">
        <v>47026</v>
      </c>
      <c r="D617" s="13" t="s">
        <v>33</v>
      </c>
      <c r="E617" s="6" t="s">
        <v>2411</v>
      </c>
      <c r="F617" s="15" t="s">
        <v>11855</v>
      </c>
      <c r="G617" s="6" t="s">
        <v>2434</v>
      </c>
      <c r="H617" s="6" t="s">
        <v>2434</v>
      </c>
      <c r="I617" s="13" t="s">
        <v>25</v>
      </c>
      <c r="J617" s="13">
        <v>3</v>
      </c>
      <c r="K617" s="13" t="s">
        <v>1714</v>
      </c>
      <c r="L617" s="6" t="s">
        <v>2435</v>
      </c>
      <c r="M617" s="108" t="s">
        <v>2437</v>
      </c>
      <c r="N617" s="13" t="s">
        <v>2436</v>
      </c>
      <c r="O617" s="13" t="s">
        <v>2146</v>
      </c>
      <c r="P617" s="13" t="s">
        <v>68</v>
      </c>
      <c r="Q617" s="6" t="s">
        <v>2438</v>
      </c>
      <c r="R617" s="6" t="s">
        <v>2439</v>
      </c>
      <c r="S617" s="6" t="s">
        <v>2440</v>
      </c>
      <c r="T617" s="18">
        <v>32</v>
      </c>
      <c r="U617" s="13">
        <v>30</v>
      </c>
      <c r="V617" s="13" t="s">
        <v>8116</v>
      </c>
      <c r="X617" s="132">
        <v>614</v>
      </c>
      <c r="Y617" s="6"/>
    </row>
    <row r="618" spans="1:25" ht="15" customHeight="1" x14ac:dyDescent="0.2">
      <c r="A618" s="12" t="s">
        <v>2286</v>
      </c>
      <c r="B618" s="13" t="s">
        <v>4978</v>
      </c>
      <c r="C618" s="74">
        <v>46705</v>
      </c>
      <c r="D618" s="13" t="s">
        <v>33</v>
      </c>
      <c r="E618" s="6" t="s">
        <v>2412</v>
      </c>
      <c r="F618" s="15" t="s">
        <v>11856</v>
      </c>
      <c r="G618" s="6" t="s">
        <v>2441</v>
      </c>
      <c r="H618" s="6" t="s">
        <v>2441</v>
      </c>
      <c r="I618" s="13" t="s">
        <v>25</v>
      </c>
      <c r="J618" s="13">
        <v>3</v>
      </c>
      <c r="K618" s="13" t="s">
        <v>1714</v>
      </c>
      <c r="L618" s="6" t="s">
        <v>2442</v>
      </c>
      <c r="M618" s="108" t="s">
        <v>2444</v>
      </c>
      <c r="N618" s="13" t="s">
        <v>2443</v>
      </c>
      <c r="O618" s="13" t="s">
        <v>8</v>
      </c>
      <c r="P618" s="13" t="s">
        <v>9</v>
      </c>
      <c r="Q618" s="6" t="s">
        <v>2445</v>
      </c>
      <c r="R618" s="6" t="s">
        <v>2446</v>
      </c>
      <c r="S618" s="6" t="s">
        <v>2447</v>
      </c>
      <c r="T618" s="18">
        <v>24</v>
      </c>
      <c r="U618" s="13">
        <v>6</v>
      </c>
      <c r="V618" s="13">
        <v>6</v>
      </c>
      <c r="X618" s="132">
        <v>615</v>
      </c>
      <c r="Y618" s="6"/>
    </row>
    <row r="619" spans="1:25" ht="15" customHeight="1" x14ac:dyDescent="0.2">
      <c r="A619" s="12" t="s">
        <v>2287</v>
      </c>
      <c r="B619" s="13" t="s">
        <v>4978</v>
      </c>
      <c r="C619" s="74">
        <v>46705</v>
      </c>
      <c r="D619" s="13" t="s">
        <v>33</v>
      </c>
      <c r="E619" s="6" t="s">
        <v>2413</v>
      </c>
      <c r="F619" s="15" t="s">
        <v>11857</v>
      </c>
      <c r="G619" s="6" t="s">
        <v>2448</v>
      </c>
      <c r="H619" s="6" t="s">
        <v>2448</v>
      </c>
      <c r="I619" s="13" t="s">
        <v>25</v>
      </c>
      <c r="J619" s="13">
        <v>3</v>
      </c>
      <c r="K619" s="13" t="s">
        <v>1714</v>
      </c>
      <c r="L619" s="6" t="s">
        <v>2449</v>
      </c>
      <c r="M619" s="108" t="s">
        <v>2451</v>
      </c>
      <c r="N619" s="13" t="s">
        <v>2450</v>
      </c>
      <c r="O619" s="13" t="s">
        <v>128</v>
      </c>
      <c r="P619" s="13" t="s">
        <v>16</v>
      </c>
      <c r="Q619" s="6" t="s">
        <v>2452</v>
      </c>
      <c r="R619" s="6" t="s">
        <v>2453</v>
      </c>
      <c r="S619" s="17" t="s">
        <v>6634</v>
      </c>
      <c r="T619" s="18">
        <v>28</v>
      </c>
      <c r="U619" s="13">
        <v>27</v>
      </c>
      <c r="V619" s="13">
        <v>27</v>
      </c>
      <c r="X619" s="132">
        <v>616</v>
      </c>
      <c r="Y619" s="6"/>
    </row>
    <row r="620" spans="1:25" ht="15" customHeight="1" x14ac:dyDescent="0.2">
      <c r="A620" s="12" t="s">
        <v>2316</v>
      </c>
      <c r="B620" s="13" t="s">
        <v>4978</v>
      </c>
      <c r="C620" s="74">
        <v>46889</v>
      </c>
      <c r="D620" s="13" t="s">
        <v>33</v>
      </c>
      <c r="E620" s="6" t="s">
        <v>2322</v>
      </c>
      <c r="F620" s="15" t="s">
        <v>11858</v>
      </c>
      <c r="G620" s="6" t="s">
        <v>2323</v>
      </c>
      <c r="I620" s="13" t="s">
        <v>25</v>
      </c>
      <c r="J620" s="13">
        <v>3</v>
      </c>
      <c r="K620" s="13" t="s">
        <v>1714</v>
      </c>
      <c r="L620" s="6" t="s">
        <v>2324</v>
      </c>
      <c r="M620" s="108" t="s">
        <v>2325</v>
      </c>
      <c r="N620" s="13" t="s">
        <v>2326</v>
      </c>
      <c r="O620" s="13" t="s">
        <v>128</v>
      </c>
      <c r="P620" s="13" t="s">
        <v>16</v>
      </c>
      <c r="Q620" s="6" t="s">
        <v>1958</v>
      </c>
      <c r="R620" s="17" t="s">
        <v>1959</v>
      </c>
      <c r="S620" s="17" t="s">
        <v>6631</v>
      </c>
      <c r="T620" s="18" t="s">
        <v>1901</v>
      </c>
      <c r="U620" s="13" t="s">
        <v>1901</v>
      </c>
      <c r="V620" s="13" t="s">
        <v>7607</v>
      </c>
      <c r="X620" s="132">
        <v>617</v>
      </c>
      <c r="Y620" s="6"/>
    </row>
    <row r="621" spans="1:25" ht="15" customHeight="1" x14ac:dyDescent="0.2">
      <c r="A621" s="20" t="s">
        <v>2327</v>
      </c>
      <c r="B621" s="22" t="s">
        <v>2608</v>
      </c>
      <c r="C621" s="14">
        <v>45071</v>
      </c>
      <c r="D621" s="13" t="s">
        <v>33</v>
      </c>
      <c r="E621" s="6" t="s">
        <v>2330</v>
      </c>
      <c r="G621" s="6" t="s">
        <v>2328</v>
      </c>
      <c r="I621" s="13" t="s">
        <v>25</v>
      </c>
      <c r="J621" s="13">
        <v>3</v>
      </c>
      <c r="K621" s="13" t="s">
        <v>1714</v>
      </c>
      <c r="L621" s="6" t="s">
        <v>2331</v>
      </c>
      <c r="M621" s="108" t="s">
        <v>2332</v>
      </c>
      <c r="N621" s="13" t="s">
        <v>2333</v>
      </c>
      <c r="O621" s="13" t="s">
        <v>1055</v>
      </c>
      <c r="P621" s="13" t="s">
        <v>16</v>
      </c>
      <c r="Q621" s="6" t="s">
        <v>2334</v>
      </c>
      <c r="R621" s="17" t="s">
        <v>2335</v>
      </c>
      <c r="S621" s="17" t="s">
        <v>6642</v>
      </c>
      <c r="T621" s="18">
        <v>30</v>
      </c>
      <c r="U621" s="13">
        <v>18</v>
      </c>
      <c r="V621" s="13">
        <v>18</v>
      </c>
      <c r="X621" s="132">
        <v>618</v>
      </c>
      <c r="Y621" s="6"/>
    </row>
    <row r="622" spans="1:25" ht="15" customHeight="1" x14ac:dyDescent="0.2">
      <c r="A622" s="20" t="s">
        <v>2329</v>
      </c>
      <c r="B622" s="22" t="s">
        <v>2608</v>
      </c>
      <c r="C622" s="14">
        <v>45071</v>
      </c>
      <c r="D622" s="13" t="s">
        <v>33</v>
      </c>
      <c r="E622" s="6" t="s">
        <v>2336</v>
      </c>
      <c r="F622" s="15" t="s">
        <v>5639</v>
      </c>
      <c r="G622" s="6" t="s">
        <v>2337</v>
      </c>
      <c r="I622" s="13" t="s">
        <v>25</v>
      </c>
      <c r="J622" s="13">
        <v>3</v>
      </c>
      <c r="K622" s="13" t="s">
        <v>1714</v>
      </c>
      <c r="L622" s="6" t="s">
        <v>2338</v>
      </c>
      <c r="M622" s="108" t="s">
        <v>2339</v>
      </c>
      <c r="N622" s="13" t="s">
        <v>2340</v>
      </c>
      <c r="O622" s="13" t="s">
        <v>1055</v>
      </c>
      <c r="P622" s="13" t="s">
        <v>16</v>
      </c>
      <c r="Q622" s="6" t="s">
        <v>2341</v>
      </c>
      <c r="R622" s="17" t="s">
        <v>2342</v>
      </c>
      <c r="S622" s="17" t="s">
        <v>2343</v>
      </c>
      <c r="T622" s="18">
        <v>23</v>
      </c>
      <c r="U622" s="13">
        <v>18</v>
      </c>
      <c r="V622" s="13">
        <v>18</v>
      </c>
      <c r="X622" s="132">
        <v>619</v>
      </c>
      <c r="Y622" s="6"/>
    </row>
    <row r="623" spans="1:25" ht="15" customHeight="1" x14ac:dyDescent="0.2">
      <c r="A623" s="20" t="s">
        <v>2344</v>
      </c>
      <c r="B623" s="22" t="s">
        <v>2608</v>
      </c>
      <c r="C623" s="14">
        <v>45802</v>
      </c>
      <c r="D623" s="13" t="s">
        <v>33</v>
      </c>
      <c r="E623" s="6" t="s">
        <v>2345</v>
      </c>
      <c r="F623" s="15" t="s">
        <v>11859</v>
      </c>
      <c r="G623" s="6" t="s">
        <v>2346</v>
      </c>
      <c r="I623" s="13" t="s">
        <v>25</v>
      </c>
      <c r="J623" s="13">
        <v>3</v>
      </c>
      <c r="K623" s="13" t="s">
        <v>1714</v>
      </c>
      <c r="L623" s="6" t="s">
        <v>2347</v>
      </c>
      <c r="M623" s="108" t="s">
        <v>2348</v>
      </c>
      <c r="N623" s="13" t="s">
        <v>2349</v>
      </c>
      <c r="O623" s="13" t="s">
        <v>97</v>
      </c>
      <c r="P623" s="13" t="s">
        <v>4</v>
      </c>
      <c r="Q623" s="6" t="s">
        <v>2350</v>
      </c>
      <c r="R623" s="17" t="s">
        <v>2351</v>
      </c>
      <c r="S623" s="17" t="s">
        <v>6634</v>
      </c>
      <c r="T623" s="18">
        <v>18</v>
      </c>
      <c r="U623" s="13">
        <v>18</v>
      </c>
      <c r="V623" s="13">
        <v>18</v>
      </c>
      <c r="X623" s="132">
        <v>620</v>
      </c>
      <c r="Y623" s="6"/>
    </row>
    <row r="624" spans="1:25" ht="15" customHeight="1" x14ac:dyDescent="0.25">
      <c r="A624" s="12" t="s">
        <v>2353</v>
      </c>
      <c r="B624" s="13" t="s">
        <v>4978</v>
      </c>
      <c r="C624" s="74">
        <v>46889</v>
      </c>
      <c r="D624" s="13" t="s">
        <v>33</v>
      </c>
      <c r="E624" s="6" t="s">
        <v>2352</v>
      </c>
      <c r="F624" s="15" t="s">
        <v>7202</v>
      </c>
      <c r="G624" s="6" t="s">
        <v>2354</v>
      </c>
      <c r="H624" s="6" t="s">
        <v>2354</v>
      </c>
      <c r="I624" s="13" t="s">
        <v>25</v>
      </c>
      <c r="J624" s="13">
        <v>3</v>
      </c>
      <c r="K624" s="13" t="s">
        <v>1714</v>
      </c>
      <c r="L624" s="6" t="s">
        <v>2355</v>
      </c>
      <c r="M624" s="108" t="s">
        <v>2356</v>
      </c>
      <c r="N624" s="13" t="s">
        <v>2357</v>
      </c>
      <c r="O624" s="13" t="s">
        <v>2146</v>
      </c>
      <c r="P624" s="13" t="s">
        <v>68</v>
      </c>
      <c r="Q624" s="6" t="s">
        <v>7244</v>
      </c>
      <c r="R624" s="69" t="s">
        <v>7245</v>
      </c>
      <c r="S624" s="17"/>
      <c r="T624" s="18">
        <v>11</v>
      </c>
      <c r="U624" s="13">
        <v>11</v>
      </c>
      <c r="V624" s="13" t="s">
        <v>7246</v>
      </c>
      <c r="X624" s="132">
        <v>621</v>
      </c>
      <c r="Y624" s="6"/>
    </row>
    <row r="625" spans="1:25" ht="15" customHeight="1" x14ac:dyDescent="0.2">
      <c r="A625" s="20" t="s">
        <v>2358</v>
      </c>
      <c r="B625" s="22" t="s">
        <v>2608</v>
      </c>
      <c r="C625" s="14">
        <v>45071</v>
      </c>
      <c r="D625" s="13" t="s">
        <v>33</v>
      </c>
      <c r="E625" s="6" t="s">
        <v>2359</v>
      </c>
      <c r="F625" s="15" t="s">
        <v>11860</v>
      </c>
      <c r="G625" s="6" t="s">
        <v>2360</v>
      </c>
      <c r="I625" s="13" t="s">
        <v>25</v>
      </c>
      <c r="J625" s="13">
        <v>3</v>
      </c>
      <c r="K625" s="13" t="s">
        <v>1714</v>
      </c>
      <c r="L625" s="6" t="s">
        <v>2361</v>
      </c>
      <c r="M625" s="108" t="s">
        <v>2362</v>
      </c>
      <c r="N625" s="13" t="s">
        <v>2363</v>
      </c>
      <c r="O625" s="13" t="s">
        <v>2146</v>
      </c>
      <c r="P625" s="13" t="s">
        <v>68</v>
      </c>
      <c r="Q625" s="6" t="s">
        <v>2364</v>
      </c>
      <c r="R625" s="17" t="s">
        <v>2365</v>
      </c>
      <c r="S625" s="17" t="s">
        <v>6632</v>
      </c>
      <c r="T625" s="18">
        <v>9</v>
      </c>
      <c r="U625" s="13">
        <v>5</v>
      </c>
      <c r="V625" s="13">
        <v>5</v>
      </c>
      <c r="X625" s="132">
        <v>622</v>
      </c>
      <c r="Y625" s="6"/>
    </row>
    <row r="626" spans="1:25" ht="15" customHeight="1" x14ac:dyDescent="0.2">
      <c r="A626" s="20" t="s">
        <v>2366</v>
      </c>
      <c r="B626" s="22" t="s">
        <v>2608</v>
      </c>
      <c r="C626" s="14">
        <v>45802</v>
      </c>
      <c r="D626" s="13" t="s">
        <v>33</v>
      </c>
      <c r="E626" s="6" t="s">
        <v>2380</v>
      </c>
      <c r="F626" s="15" t="s">
        <v>11861</v>
      </c>
      <c r="G626" s="6" t="s">
        <v>2367</v>
      </c>
      <c r="I626" s="13" t="s">
        <v>25</v>
      </c>
      <c r="J626" s="13">
        <v>3</v>
      </c>
      <c r="K626" s="13" t="s">
        <v>1714</v>
      </c>
      <c r="L626" s="6" t="s">
        <v>2368</v>
      </c>
      <c r="M626" s="108" t="s">
        <v>2369</v>
      </c>
      <c r="N626" s="13" t="s">
        <v>2370</v>
      </c>
      <c r="O626" s="13" t="s">
        <v>15</v>
      </c>
      <c r="P626" s="13" t="s">
        <v>16</v>
      </c>
      <c r="Q626" s="6" t="s">
        <v>2371</v>
      </c>
      <c r="R626" s="17" t="s">
        <v>2372</v>
      </c>
      <c r="S626" s="17" t="s">
        <v>6632</v>
      </c>
      <c r="T626" s="18">
        <v>22</v>
      </c>
      <c r="U626" s="13">
        <v>9</v>
      </c>
      <c r="V626" s="13">
        <v>9</v>
      </c>
      <c r="X626" s="132">
        <v>623</v>
      </c>
      <c r="Y626" s="6"/>
    </row>
    <row r="627" spans="1:25" ht="15" customHeight="1" x14ac:dyDescent="0.2">
      <c r="A627" s="20" t="s">
        <v>2454</v>
      </c>
      <c r="B627" s="22" t="s">
        <v>2608</v>
      </c>
      <c r="C627" s="14">
        <v>45833</v>
      </c>
      <c r="D627" s="13" t="s">
        <v>1533</v>
      </c>
      <c r="E627" s="6" t="s">
        <v>2459</v>
      </c>
      <c r="F627" s="15" t="s">
        <v>7482</v>
      </c>
      <c r="G627" s="6" t="s">
        <v>7481</v>
      </c>
      <c r="H627" s="6" t="s">
        <v>2639</v>
      </c>
      <c r="I627" s="13" t="s">
        <v>25</v>
      </c>
      <c r="J627" s="13">
        <v>6</v>
      </c>
      <c r="K627" s="13" t="s">
        <v>1714</v>
      </c>
      <c r="L627" s="6" t="s">
        <v>2640</v>
      </c>
      <c r="M627" s="108" t="s">
        <v>2641</v>
      </c>
      <c r="N627" s="13" t="s">
        <v>445</v>
      </c>
      <c r="O627" s="13" t="s">
        <v>445</v>
      </c>
      <c r="P627" s="13" t="s">
        <v>16</v>
      </c>
      <c r="Q627" s="6" t="s">
        <v>2642</v>
      </c>
      <c r="R627" s="6" t="s">
        <v>2643</v>
      </c>
      <c r="S627" s="6" t="s">
        <v>2644</v>
      </c>
      <c r="T627" s="18">
        <v>77</v>
      </c>
      <c r="U627" s="13">
        <v>57</v>
      </c>
      <c r="V627" s="13"/>
      <c r="X627" s="132">
        <v>624</v>
      </c>
      <c r="Y627" s="6"/>
    </row>
    <row r="628" spans="1:25" ht="15" customHeight="1" x14ac:dyDescent="0.2">
      <c r="A628" s="12" t="s">
        <v>7480</v>
      </c>
      <c r="B628" s="13" t="s">
        <v>4977</v>
      </c>
      <c r="C628" s="14">
        <v>46186</v>
      </c>
      <c r="D628" s="13" t="s">
        <v>1533</v>
      </c>
      <c r="E628" s="6" t="s">
        <v>2459</v>
      </c>
      <c r="F628" s="15" t="s">
        <v>7482</v>
      </c>
      <c r="G628" s="6" t="s">
        <v>7481</v>
      </c>
      <c r="H628" s="6" t="s">
        <v>7481</v>
      </c>
      <c r="I628" s="13" t="s">
        <v>39</v>
      </c>
      <c r="J628" s="13">
        <v>12</v>
      </c>
      <c r="K628" s="13" t="s">
        <v>7032</v>
      </c>
      <c r="L628" s="6" t="s">
        <v>2640</v>
      </c>
      <c r="M628" s="108" t="s">
        <v>2641</v>
      </c>
      <c r="N628" s="13" t="s">
        <v>445</v>
      </c>
      <c r="O628" s="13" t="s">
        <v>445</v>
      </c>
      <c r="P628" s="13" t="s">
        <v>16</v>
      </c>
      <c r="Q628" s="6" t="s">
        <v>2642</v>
      </c>
      <c r="R628" s="30" t="s">
        <v>7483</v>
      </c>
      <c r="S628" s="30" t="s">
        <v>7484</v>
      </c>
      <c r="T628" s="18">
        <v>65</v>
      </c>
      <c r="U628" s="18">
        <v>65</v>
      </c>
      <c r="V628" s="13" t="s">
        <v>7485</v>
      </c>
      <c r="X628" s="132">
        <v>625</v>
      </c>
      <c r="Y628" s="6"/>
    </row>
    <row r="629" spans="1:25" ht="15" customHeight="1" x14ac:dyDescent="0.2">
      <c r="A629" s="12" t="s">
        <v>9844</v>
      </c>
      <c r="B629" s="13" t="s">
        <v>4978</v>
      </c>
      <c r="C629" s="74">
        <v>46645</v>
      </c>
      <c r="D629" s="13" t="s">
        <v>33</v>
      </c>
      <c r="E629" s="6" t="s">
        <v>2460</v>
      </c>
      <c r="F629" s="15" t="s">
        <v>9851</v>
      </c>
      <c r="G629" s="6" t="s">
        <v>2645</v>
      </c>
      <c r="H629" s="6" t="s">
        <v>2645</v>
      </c>
      <c r="I629" s="13" t="s">
        <v>25</v>
      </c>
      <c r="J629" s="13">
        <v>3</v>
      </c>
      <c r="K629" s="13" t="s">
        <v>1714</v>
      </c>
      <c r="L629" s="6" t="s">
        <v>2646</v>
      </c>
      <c r="M629" s="108" t="s">
        <v>2648</v>
      </c>
      <c r="N629" s="13" t="s">
        <v>2647</v>
      </c>
      <c r="O629" s="13" t="s">
        <v>2146</v>
      </c>
      <c r="P629" s="13" t="s">
        <v>68</v>
      </c>
      <c r="Q629" s="6" t="s">
        <v>2649</v>
      </c>
      <c r="R629" s="6" t="s">
        <v>2650</v>
      </c>
      <c r="S629" s="17" t="s">
        <v>6016</v>
      </c>
      <c r="T629" s="18">
        <v>21</v>
      </c>
      <c r="U629" s="13">
        <v>15</v>
      </c>
      <c r="V629" s="13" t="s">
        <v>6015</v>
      </c>
      <c r="X629" s="132">
        <v>626</v>
      </c>
      <c r="Y629" s="6"/>
    </row>
    <row r="630" spans="1:25" ht="15" customHeight="1" x14ac:dyDescent="0.25">
      <c r="A630" s="19" t="s">
        <v>9845</v>
      </c>
      <c r="B630" s="13" t="s">
        <v>4977</v>
      </c>
      <c r="C630" s="14">
        <v>46512</v>
      </c>
      <c r="D630" s="13" t="s">
        <v>33</v>
      </c>
      <c r="E630" s="6" t="s">
        <v>9846</v>
      </c>
      <c r="F630" s="15" t="s">
        <v>9851</v>
      </c>
      <c r="G630" s="6" t="s">
        <v>9847</v>
      </c>
      <c r="H630" s="6" t="s">
        <v>9847</v>
      </c>
      <c r="I630" s="13" t="s">
        <v>25</v>
      </c>
      <c r="J630" s="13">
        <v>3</v>
      </c>
      <c r="K630" s="13" t="s">
        <v>1714</v>
      </c>
      <c r="L630" s="6" t="s">
        <v>9848</v>
      </c>
      <c r="M630" s="108" t="s">
        <v>2648</v>
      </c>
      <c r="N630" s="13" t="s">
        <v>2647</v>
      </c>
      <c r="O630" s="13" t="s">
        <v>2146</v>
      </c>
      <c r="P630" s="13" t="s">
        <v>68</v>
      </c>
      <c r="Q630" s="6" t="s">
        <v>9849</v>
      </c>
      <c r="R630" s="69" t="s">
        <v>2650</v>
      </c>
      <c r="S630" s="69" t="s">
        <v>6016</v>
      </c>
      <c r="T630" s="18">
        <v>8</v>
      </c>
      <c r="U630" s="18">
        <v>8</v>
      </c>
      <c r="V630" s="13" t="s">
        <v>9850</v>
      </c>
      <c r="X630" s="132">
        <v>627</v>
      </c>
      <c r="Y630" s="6"/>
    </row>
    <row r="631" spans="1:25" ht="15" customHeight="1" x14ac:dyDescent="0.2">
      <c r="A631" s="12" t="s">
        <v>2455</v>
      </c>
      <c r="B631" s="13" t="s">
        <v>4978</v>
      </c>
      <c r="C631" s="100">
        <v>46564</v>
      </c>
      <c r="D631" s="13" t="s">
        <v>33</v>
      </c>
      <c r="E631" s="6" t="s">
        <v>2461</v>
      </c>
      <c r="F631" s="15" t="s">
        <v>11862</v>
      </c>
      <c r="G631" s="6" t="s">
        <v>2651</v>
      </c>
      <c r="H631" s="6" t="s">
        <v>2651</v>
      </c>
      <c r="I631" s="13" t="s">
        <v>25</v>
      </c>
      <c r="J631" s="13">
        <v>3</v>
      </c>
      <c r="K631" s="13" t="s">
        <v>1714</v>
      </c>
      <c r="L631" s="6" t="s">
        <v>2652</v>
      </c>
      <c r="M631" s="108" t="s">
        <v>2653</v>
      </c>
      <c r="N631" s="13" t="s">
        <v>2654</v>
      </c>
      <c r="O631" s="13" t="s">
        <v>36</v>
      </c>
      <c r="P631" s="13" t="s">
        <v>4</v>
      </c>
      <c r="Q631" s="6" t="s">
        <v>5560</v>
      </c>
      <c r="R631" s="17" t="s">
        <v>5561</v>
      </c>
      <c r="S631" s="17" t="s">
        <v>5562</v>
      </c>
      <c r="T631" s="18">
        <v>22</v>
      </c>
      <c r="U631" s="13">
        <v>20</v>
      </c>
      <c r="V631" s="13" t="s">
        <v>5563</v>
      </c>
      <c r="X631" s="132">
        <v>628</v>
      </c>
      <c r="Y631" s="6"/>
    </row>
    <row r="632" spans="1:25" ht="15" customHeight="1" x14ac:dyDescent="0.25">
      <c r="A632" s="12" t="s">
        <v>2456</v>
      </c>
      <c r="B632" s="13" t="s">
        <v>4977</v>
      </c>
      <c r="C632" s="14">
        <v>46614</v>
      </c>
      <c r="D632" s="13" t="s">
        <v>1533</v>
      </c>
      <c r="E632" s="6" t="s">
        <v>2462</v>
      </c>
      <c r="F632" s="15" t="s">
        <v>10423</v>
      </c>
      <c r="G632" s="6" t="s">
        <v>2655</v>
      </c>
      <c r="H632" s="6" t="s">
        <v>2655</v>
      </c>
      <c r="I632" s="13" t="s">
        <v>13</v>
      </c>
      <c r="J632" s="13">
        <v>8</v>
      </c>
      <c r="K632" s="13" t="s">
        <v>1714</v>
      </c>
      <c r="L632" s="6" t="s">
        <v>2656</v>
      </c>
      <c r="M632" s="108" t="s">
        <v>2657</v>
      </c>
      <c r="N632" s="13" t="s">
        <v>240</v>
      </c>
      <c r="O632" s="13" t="s">
        <v>240</v>
      </c>
      <c r="P632" s="13" t="s">
        <v>16</v>
      </c>
      <c r="Q632" s="6" t="s">
        <v>10424</v>
      </c>
      <c r="R632" s="69" t="s">
        <v>10425</v>
      </c>
      <c r="S632" s="30" t="s">
        <v>2658</v>
      </c>
      <c r="T632" s="18">
        <v>370</v>
      </c>
      <c r="U632" s="13">
        <v>370</v>
      </c>
      <c r="V632" s="13" t="s">
        <v>10258</v>
      </c>
      <c r="X632" s="132">
        <v>629</v>
      </c>
      <c r="Y632" s="6"/>
    </row>
    <row r="633" spans="1:25" ht="15" customHeight="1" x14ac:dyDescent="0.2">
      <c r="A633" s="12" t="s">
        <v>2457</v>
      </c>
      <c r="B633" s="13" t="s">
        <v>4978</v>
      </c>
      <c r="C633" s="74">
        <v>47345</v>
      </c>
      <c r="D633" s="13" t="s">
        <v>33</v>
      </c>
      <c r="E633" s="6" t="s">
        <v>10419</v>
      </c>
      <c r="F633" s="15" t="s">
        <v>10420</v>
      </c>
      <c r="G633" s="6" t="s">
        <v>2659</v>
      </c>
      <c r="H633" s="6" t="s">
        <v>2659</v>
      </c>
      <c r="I633" s="13" t="s">
        <v>25</v>
      </c>
      <c r="J633" s="13">
        <v>3</v>
      </c>
      <c r="K633" s="13" t="s">
        <v>1714</v>
      </c>
      <c r="L633" s="6" t="s">
        <v>2660</v>
      </c>
      <c r="M633" s="108" t="s">
        <v>2661</v>
      </c>
      <c r="N633" s="13" t="s">
        <v>136</v>
      </c>
      <c r="O633" s="13" t="s">
        <v>136</v>
      </c>
      <c r="P633" s="13" t="s">
        <v>4</v>
      </c>
      <c r="Q633" s="6" t="s">
        <v>10421</v>
      </c>
      <c r="R633" s="6" t="s">
        <v>2662</v>
      </c>
      <c r="S633" s="17"/>
      <c r="T633" s="18">
        <v>22</v>
      </c>
      <c r="U633" s="13">
        <v>20</v>
      </c>
      <c r="V633" s="13" t="s">
        <v>10422</v>
      </c>
      <c r="X633" s="132">
        <v>630</v>
      </c>
      <c r="Y633" s="6"/>
    </row>
    <row r="634" spans="1:25" ht="15" customHeight="1" x14ac:dyDescent="0.2">
      <c r="A634" s="20" t="s">
        <v>2458</v>
      </c>
      <c r="B634" s="22" t="s">
        <v>2608</v>
      </c>
      <c r="C634" s="14">
        <v>45833</v>
      </c>
      <c r="D634" s="13" t="s">
        <v>33</v>
      </c>
      <c r="E634" s="6" t="s">
        <v>2463</v>
      </c>
      <c r="F634" s="15" t="s">
        <v>11863</v>
      </c>
      <c r="G634" s="6" t="s">
        <v>2663</v>
      </c>
      <c r="I634" s="13" t="s">
        <v>25</v>
      </c>
      <c r="J634" s="13">
        <v>3</v>
      </c>
      <c r="K634" s="13" t="s">
        <v>1714</v>
      </c>
      <c r="L634" s="6" t="s">
        <v>2664</v>
      </c>
      <c r="M634" s="108" t="s">
        <v>2665</v>
      </c>
      <c r="N634" s="13" t="s">
        <v>2667</v>
      </c>
      <c r="O634" s="13" t="s">
        <v>177</v>
      </c>
      <c r="P634" s="13" t="s">
        <v>9</v>
      </c>
      <c r="Q634" s="6" t="s">
        <v>2666</v>
      </c>
      <c r="R634" s="6" t="s">
        <v>1446</v>
      </c>
      <c r="S634" s="17" t="s">
        <v>6627</v>
      </c>
      <c r="T634" s="18">
        <v>30</v>
      </c>
      <c r="U634" s="13">
        <v>14</v>
      </c>
      <c r="V634" s="13"/>
      <c r="X634" s="132">
        <v>631</v>
      </c>
      <c r="Y634" s="6"/>
    </row>
    <row r="635" spans="1:25" ht="15" customHeight="1" x14ac:dyDescent="0.2">
      <c r="A635" s="12" t="s">
        <v>2619</v>
      </c>
      <c r="B635" s="13" t="s">
        <v>4978</v>
      </c>
      <c r="C635" s="74">
        <v>47615</v>
      </c>
      <c r="D635" s="13" t="s">
        <v>33</v>
      </c>
      <c r="E635" s="6" t="s">
        <v>2464</v>
      </c>
      <c r="F635" s="15" t="s">
        <v>11557</v>
      </c>
      <c r="G635" s="6" t="s">
        <v>2668</v>
      </c>
      <c r="H635" s="6" t="s">
        <v>2668</v>
      </c>
      <c r="I635" s="13" t="s">
        <v>25</v>
      </c>
      <c r="J635" s="13">
        <v>3</v>
      </c>
      <c r="K635" s="13" t="s">
        <v>1714</v>
      </c>
      <c r="L635" s="6" t="s">
        <v>2669</v>
      </c>
      <c r="M635" s="108" t="s">
        <v>2670</v>
      </c>
      <c r="N635" s="13" t="s">
        <v>704</v>
      </c>
      <c r="O635" s="13" t="s">
        <v>704</v>
      </c>
      <c r="P635" s="13" t="s">
        <v>16</v>
      </c>
      <c r="Q635" s="6" t="s">
        <v>6830</v>
      </c>
      <c r="R635" s="6" t="s">
        <v>2590</v>
      </c>
      <c r="T635" s="18">
        <v>22</v>
      </c>
      <c r="U635" s="13">
        <v>18</v>
      </c>
      <c r="V635" s="13" t="s">
        <v>6831</v>
      </c>
      <c r="X635" s="132">
        <v>632</v>
      </c>
      <c r="Y635" s="6"/>
    </row>
    <row r="636" spans="1:25" ht="15" customHeight="1" x14ac:dyDescent="0.2">
      <c r="A636" s="12" t="s">
        <v>2618</v>
      </c>
      <c r="B636" s="13" t="s">
        <v>4978</v>
      </c>
      <c r="C636" s="74">
        <v>46705</v>
      </c>
      <c r="D636" s="13" t="s">
        <v>33</v>
      </c>
      <c r="E636" s="6" t="s">
        <v>2464</v>
      </c>
      <c r="F636" s="15" t="s">
        <v>733</v>
      </c>
      <c r="G636" s="6" t="s">
        <v>2668</v>
      </c>
      <c r="H636" s="6" t="s">
        <v>2587</v>
      </c>
      <c r="I636" s="13" t="s">
        <v>25</v>
      </c>
      <c r="J636" s="13">
        <v>3</v>
      </c>
      <c r="K636" s="13" t="s">
        <v>1714</v>
      </c>
      <c r="L636" s="6" t="s">
        <v>2588</v>
      </c>
      <c r="M636" s="108" t="s">
        <v>2589</v>
      </c>
      <c r="N636" s="13" t="s">
        <v>704</v>
      </c>
      <c r="O636" s="13" t="s">
        <v>704</v>
      </c>
      <c r="P636" s="13" t="s">
        <v>16</v>
      </c>
      <c r="Q636" s="6" t="s">
        <v>6107</v>
      </c>
      <c r="R636" s="17" t="s">
        <v>2590</v>
      </c>
      <c r="S636" s="17" t="s">
        <v>2591</v>
      </c>
      <c r="T636" s="18">
        <v>37</v>
      </c>
      <c r="U636" s="13">
        <v>32</v>
      </c>
      <c r="V636" s="13" t="s">
        <v>2592</v>
      </c>
      <c r="X636" s="132">
        <v>633</v>
      </c>
      <c r="Y636" s="6"/>
    </row>
    <row r="637" spans="1:25" ht="15" customHeight="1" x14ac:dyDescent="0.2">
      <c r="A637" s="20" t="s">
        <v>2466</v>
      </c>
      <c r="B637" s="22" t="s">
        <v>2608</v>
      </c>
      <c r="C637" s="14">
        <v>45102</v>
      </c>
      <c r="D637" s="13" t="s">
        <v>33</v>
      </c>
      <c r="E637" s="6" t="s">
        <v>2465</v>
      </c>
      <c r="F637" s="15" t="s">
        <v>11864</v>
      </c>
      <c r="G637" s="6" t="s">
        <v>2467</v>
      </c>
      <c r="I637" s="13" t="s">
        <v>25</v>
      </c>
      <c r="J637" s="13">
        <v>3</v>
      </c>
      <c r="K637" s="13" t="s">
        <v>1714</v>
      </c>
      <c r="L637" s="6" t="s">
        <v>2468</v>
      </c>
      <c r="M637" s="108" t="s">
        <v>2469</v>
      </c>
      <c r="N637" s="13" t="s">
        <v>2470</v>
      </c>
      <c r="O637" s="13" t="s">
        <v>136</v>
      </c>
      <c r="P637" s="13" t="s">
        <v>4</v>
      </c>
      <c r="Q637" s="6" t="s">
        <v>2471</v>
      </c>
      <c r="R637" s="17" t="s">
        <v>2472</v>
      </c>
      <c r="S637" s="17" t="s">
        <v>6685</v>
      </c>
      <c r="T637" s="18">
        <v>32</v>
      </c>
      <c r="U637" s="13">
        <v>20</v>
      </c>
      <c r="V637" s="13" t="s">
        <v>2518</v>
      </c>
      <c r="X637" s="132">
        <v>634</v>
      </c>
      <c r="Y637" s="6"/>
    </row>
    <row r="638" spans="1:25" ht="15" customHeight="1" x14ac:dyDescent="0.2">
      <c r="A638" s="12" t="s">
        <v>2473</v>
      </c>
      <c r="B638" s="13" t="s">
        <v>4978</v>
      </c>
      <c r="C638" s="74">
        <v>47552</v>
      </c>
      <c r="D638" s="13" t="s">
        <v>33</v>
      </c>
      <c r="E638" s="6" t="s">
        <v>2474</v>
      </c>
      <c r="F638" s="15" t="s">
        <v>11191</v>
      </c>
      <c r="G638" s="6" t="s">
        <v>2475</v>
      </c>
      <c r="H638" s="6" t="s">
        <v>2475</v>
      </c>
      <c r="I638" s="13" t="s">
        <v>25</v>
      </c>
      <c r="J638" s="13">
        <v>3</v>
      </c>
      <c r="K638" s="13" t="s">
        <v>1714</v>
      </c>
      <c r="L638" s="6" t="s">
        <v>2476</v>
      </c>
      <c r="M638" s="108" t="s">
        <v>2477</v>
      </c>
      <c r="N638" s="13" t="s">
        <v>2478</v>
      </c>
      <c r="O638" s="13" t="s">
        <v>61</v>
      </c>
      <c r="P638" s="13" t="s">
        <v>9</v>
      </c>
      <c r="Q638" s="6" t="s">
        <v>11192</v>
      </c>
      <c r="R638" s="17" t="s">
        <v>2479</v>
      </c>
      <c r="S638" s="17" t="s">
        <v>11193</v>
      </c>
      <c r="T638" s="18">
        <v>24</v>
      </c>
      <c r="U638" s="13">
        <v>22</v>
      </c>
      <c r="V638" s="13" t="s">
        <v>6050</v>
      </c>
      <c r="W638" s="13" t="s">
        <v>2516</v>
      </c>
      <c r="X638" s="132">
        <v>635</v>
      </c>
      <c r="Y638" s="6"/>
    </row>
    <row r="639" spans="1:25" ht="15" customHeight="1" x14ac:dyDescent="0.2">
      <c r="A639" s="12" t="s">
        <v>2489</v>
      </c>
      <c r="B639" s="13" t="s">
        <v>4978</v>
      </c>
      <c r="C639" s="74">
        <v>47315</v>
      </c>
      <c r="D639" s="13" t="s">
        <v>33</v>
      </c>
      <c r="E639" s="6" t="s">
        <v>2490</v>
      </c>
      <c r="F639" s="15" t="s">
        <v>10341</v>
      </c>
      <c r="G639" s="6" t="s">
        <v>2491</v>
      </c>
      <c r="H639" s="6" t="s">
        <v>2491</v>
      </c>
      <c r="I639" s="13" t="s">
        <v>25</v>
      </c>
      <c r="J639" s="13">
        <v>3</v>
      </c>
      <c r="K639" s="13" t="s">
        <v>1714</v>
      </c>
      <c r="L639" s="6" t="s">
        <v>2492</v>
      </c>
      <c r="M639" s="108" t="s">
        <v>2493</v>
      </c>
      <c r="N639" s="13" t="s">
        <v>2494</v>
      </c>
      <c r="O639" s="13" t="s">
        <v>136</v>
      </c>
      <c r="P639" s="13" t="s">
        <v>4</v>
      </c>
      <c r="Q639" s="6" t="s">
        <v>10342</v>
      </c>
      <c r="R639" s="17" t="s">
        <v>2495</v>
      </c>
      <c r="S639" s="17" t="s">
        <v>2514</v>
      </c>
      <c r="T639" s="18">
        <v>26</v>
      </c>
      <c r="U639" s="13">
        <v>24</v>
      </c>
      <c r="V639" s="13" t="s">
        <v>2517</v>
      </c>
      <c r="X639" s="132">
        <v>636</v>
      </c>
      <c r="Y639" s="6"/>
    </row>
    <row r="640" spans="1:25" ht="15" customHeight="1" x14ac:dyDescent="0.25">
      <c r="A640" s="12" t="s">
        <v>2510</v>
      </c>
      <c r="B640" s="13" t="s">
        <v>4978</v>
      </c>
      <c r="C640" s="74">
        <v>47268</v>
      </c>
      <c r="D640" s="13" t="s">
        <v>1533</v>
      </c>
      <c r="E640" s="6" t="s">
        <v>11679</v>
      </c>
      <c r="F640" s="15" t="s">
        <v>9983</v>
      </c>
      <c r="G640" s="6" t="s">
        <v>2511</v>
      </c>
      <c r="H640" s="6" t="s">
        <v>2511</v>
      </c>
      <c r="I640" s="13" t="s">
        <v>13</v>
      </c>
      <c r="J640" s="13">
        <v>7</v>
      </c>
      <c r="K640" s="13" t="s">
        <v>6603</v>
      </c>
      <c r="L640" s="6" t="s">
        <v>2512</v>
      </c>
      <c r="M640" s="108" t="s">
        <v>9984</v>
      </c>
      <c r="N640" s="13" t="s">
        <v>2513</v>
      </c>
      <c r="O640" s="13" t="s">
        <v>5556</v>
      </c>
      <c r="P640" s="13" t="s">
        <v>9</v>
      </c>
      <c r="Q640" s="6" t="s">
        <v>9985</v>
      </c>
      <c r="R640" s="69" t="s">
        <v>9987</v>
      </c>
      <c r="S640" s="69" t="s">
        <v>9986</v>
      </c>
      <c r="T640" s="18">
        <v>100</v>
      </c>
      <c r="U640" s="13">
        <v>100</v>
      </c>
      <c r="V640" s="13" t="s">
        <v>2515</v>
      </c>
      <c r="X640" s="132">
        <v>637</v>
      </c>
      <c r="Y640" s="6"/>
    </row>
    <row r="641" spans="1:25" ht="15" customHeight="1" x14ac:dyDescent="0.2">
      <c r="A641" s="19" t="s">
        <v>2519</v>
      </c>
      <c r="B641" s="13" t="s">
        <v>4978</v>
      </c>
      <c r="C641" s="74">
        <v>47299</v>
      </c>
      <c r="D641" s="13" t="s">
        <v>33</v>
      </c>
      <c r="E641" s="6" t="s">
        <v>2533</v>
      </c>
      <c r="F641" s="15" t="s">
        <v>10215</v>
      </c>
      <c r="G641" s="6" t="s">
        <v>2534</v>
      </c>
      <c r="H641" s="6" t="s">
        <v>2534</v>
      </c>
      <c r="I641" s="13" t="s">
        <v>25</v>
      </c>
      <c r="J641" s="13">
        <v>3</v>
      </c>
      <c r="K641" s="13" t="s">
        <v>1714</v>
      </c>
      <c r="L641" s="6" t="s">
        <v>2535</v>
      </c>
      <c r="M641" s="108" t="s">
        <v>2537</v>
      </c>
      <c r="N641" s="13" t="s">
        <v>2536</v>
      </c>
      <c r="O641" s="13" t="s">
        <v>128</v>
      </c>
      <c r="P641" s="13" t="s">
        <v>16</v>
      </c>
      <c r="Q641" s="6" t="s">
        <v>10216</v>
      </c>
      <c r="R641" s="17" t="s">
        <v>2538</v>
      </c>
      <c r="S641" s="17" t="s">
        <v>2539</v>
      </c>
      <c r="T641" s="18">
        <v>31</v>
      </c>
      <c r="U641" s="13">
        <v>31</v>
      </c>
      <c r="V641" s="13" t="s">
        <v>10217</v>
      </c>
      <c r="X641" s="132">
        <v>638</v>
      </c>
      <c r="Y641" s="6"/>
    </row>
    <row r="642" spans="1:25" ht="15" customHeight="1" x14ac:dyDescent="0.2">
      <c r="A642" s="12" t="s">
        <v>2547</v>
      </c>
      <c r="B642" s="13" t="s">
        <v>4978</v>
      </c>
      <c r="C642" s="74">
        <v>47552</v>
      </c>
      <c r="D642" s="13" t="s">
        <v>33</v>
      </c>
      <c r="E642" s="6" t="s">
        <v>2548</v>
      </c>
      <c r="F642" s="15" t="s">
        <v>6259</v>
      </c>
      <c r="G642" s="6" t="s">
        <v>2549</v>
      </c>
      <c r="H642" s="6" t="s">
        <v>2549</v>
      </c>
      <c r="I642" s="13" t="s">
        <v>25</v>
      </c>
      <c r="J642" s="13">
        <v>3</v>
      </c>
      <c r="K642" s="13" t="s">
        <v>1714</v>
      </c>
      <c r="L642" s="6" t="s">
        <v>2550</v>
      </c>
      <c r="M642" s="108" t="s">
        <v>2551</v>
      </c>
      <c r="N642" s="13" t="s">
        <v>2552</v>
      </c>
      <c r="O642" s="13" t="s">
        <v>128</v>
      </c>
      <c r="P642" s="13" t="s">
        <v>16</v>
      </c>
      <c r="Q642" s="6" t="s">
        <v>11419</v>
      </c>
      <c r="R642" s="17" t="s">
        <v>2553</v>
      </c>
      <c r="S642" s="17" t="s">
        <v>2554</v>
      </c>
      <c r="T642" s="18">
        <v>21</v>
      </c>
      <c r="U642" s="13">
        <v>20</v>
      </c>
      <c r="V642" s="13" t="s">
        <v>6067</v>
      </c>
      <c r="X642" s="132">
        <v>639</v>
      </c>
      <c r="Y642" s="6"/>
    </row>
    <row r="643" spans="1:25" ht="15" customHeight="1" x14ac:dyDescent="0.25">
      <c r="A643" s="19" t="s">
        <v>2575</v>
      </c>
      <c r="B643" s="13" t="s">
        <v>4978</v>
      </c>
      <c r="C643" s="74">
        <v>47331</v>
      </c>
      <c r="D643" s="13" t="s">
        <v>1533</v>
      </c>
      <c r="E643" s="6" t="s">
        <v>10363</v>
      </c>
      <c r="F643" s="15" t="s">
        <v>10360</v>
      </c>
      <c r="G643" s="6" t="s">
        <v>2576</v>
      </c>
      <c r="H643" s="6" t="s">
        <v>2576</v>
      </c>
      <c r="I643" s="13" t="s">
        <v>25</v>
      </c>
      <c r="J643" s="13">
        <v>6</v>
      </c>
      <c r="K643" s="13" t="s">
        <v>1714</v>
      </c>
      <c r="L643" s="6" t="s">
        <v>10364</v>
      </c>
      <c r="M643" s="108" t="s">
        <v>11950</v>
      </c>
      <c r="N643" s="13" t="s">
        <v>2577</v>
      </c>
      <c r="O643" s="13" t="s">
        <v>704</v>
      </c>
      <c r="P643" s="13" t="s">
        <v>16</v>
      </c>
      <c r="Q643" s="6" t="s">
        <v>10361</v>
      </c>
      <c r="R643" s="69" t="s">
        <v>10362</v>
      </c>
      <c r="S643" s="17"/>
      <c r="T643" s="18">
        <v>18</v>
      </c>
      <c r="U643" s="13">
        <v>16</v>
      </c>
      <c r="V643" s="13" t="s">
        <v>2578</v>
      </c>
      <c r="X643" s="132">
        <v>640</v>
      </c>
      <c r="Y643" s="6"/>
    </row>
    <row r="644" spans="1:25" ht="15" customHeight="1" x14ac:dyDescent="0.2">
      <c r="A644" s="12" t="s">
        <v>2579</v>
      </c>
      <c r="B644" s="13" t="s">
        <v>4978</v>
      </c>
      <c r="C644" s="74">
        <v>46826</v>
      </c>
      <c r="D644" s="13" t="s">
        <v>1533</v>
      </c>
      <c r="E644" s="6" t="s">
        <v>10363</v>
      </c>
      <c r="F644" s="15" t="s">
        <v>11865</v>
      </c>
      <c r="G644" s="6" t="s">
        <v>2576</v>
      </c>
      <c r="H644" s="6" t="s">
        <v>2580</v>
      </c>
      <c r="I644" s="13" t="s">
        <v>25</v>
      </c>
      <c r="J644" s="13">
        <v>6</v>
      </c>
      <c r="K644" s="13" t="s">
        <v>1714</v>
      </c>
      <c r="L644" s="6" t="s">
        <v>2581</v>
      </c>
      <c r="M644" s="108" t="s">
        <v>2582</v>
      </c>
      <c r="N644" s="13" t="s">
        <v>2577</v>
      </c>
      <c r="O644" s="13" t="s">
        <v>704</v>
      </c>
      <c r="P644" s="13" t="s">
        <v>16</v>
      </c>
      <c r="Q644" s="6" t="s">
        <v>1958</v>
      </c>
      <c r="R644" s="17" t="s">
        <v>1959</v>
      </c>
      <c r="S644" s="17"/>
      <c r="T644" s="18">
        <v>22</v>
      </c>
      <c r="U644" s="13">
        <v>15</v>
      </c>
      <c r="V644" s="13" t="s">
        <v>6863</v>
      </c>
      <c r="W644" s="13" t="s">
        <v>2578</v>
      </c>
      <c r="X644" s="132">
        <v>641</v>
      </c>
      <c r="Y644" s="6"/>
    </row>
    <row r="645" spans="1:25" ht="15" customHeight="1" x14ac:dyDescent="0.2">
      <c r="A645" s="12" t="s">
        <v>2620</v>
      </c>
      <c r="B645" s="13" t="s">
        <v>4978</v>
      </c>
      <c r="C645" s="74">
        <v>47315</v>
      </c>
      <c r="D645" s="13" t="s">
        <v>33</v>
      </c>
      <c r="E645" s="6" t="s">
        <v>2598</v>
      </c>
      <c r="F645" s="15" t="s">
        <v>10248</v>
      </c>
      <c r="G645" s="6" t="s">
        <v>2599</v>
      </c>
      <c r="H645" s="6" t="s">
        <v>2599</v>
      </c>
      <c r="I645" s="13" t="s">
        <v>25</v>
      </c>
      <c r="J645" s="13">
        <v>3</v>
      </c>
      <c r="K645" s="13" t="s">
        <v>1714</v>
      </c>
      <c r="L645" s="6" t="s">
        <v>10249</v>
      </c>
      <c r="M645" s="108" t="s">
        <v>2600</v>
      </c>
      <c r="N645" s="13" t="s">
        <v>2601</v>
      </c>
      <c r="O645" s="13" t="s">
        <v>8</v>
      </c>
      <c r="P645" s="13" t="s">
        <v>9</v>
      </c>
      <c r="Q645" s="6" t="s">
        <v>10250</v>
      </c>
      <c r="R645" s="17" t="s">
        <v>2602</v>
      </c>
      <c r="S645" s="17" t="s">
        <v>2603</v>
      </c>
      <c r="T645" s="18">
        <v>50</v>
      </c>
      <c r="U645" s="13">
        <v>48</v>
      </c>
      <c r="V645" s="13" t="s">
        <v>2604</v>
      </c>
      <c r="X645" s="132">
        <v>642</v>
      </c>
      <c r="Y645" s="6"/>
    </row>
    <row r="646" spans="1:25" ht="15" customHeight="1" x14ac:dyDescent="0.2">
      <c r="A646" s="20" t="s">
        <v>2621</v>
      </c>
      <c r="B646" s="22" t="s">
        <v>2608</v>
      </c>
      <c r="C646" s="14">
        <v>45833</v>
      </c>
      <c r="D646" s="13" t="s">
        <v>33</v>
      </c>
      <c r="E646" s="6" t="s">
        <v>2598</v>
      </c>
      <c r="F646" s="15" t="s">
        <v>11866</v>
      </c>
      <c r="G646" s="6" t="s">
        <v>2606</v>
      </c>
      <c r="I646" s="13" t="s">
        <v>25</v>
      </c>
      <c r="J646" s="13">
        <v>3</v>
      </c>
      <c r="K646" s="13" t="s">
        <v>1714</v>
      </c>
      <c r="L646" s="6" t="s">
        <v>2607</v>
      </c>
      <c r="M646" s="108" t="s">
        <v>2600</v>
      </c>
      <c r="N646" s="13" t="s">
        <v>2601</v>
      </c>
      <c r="O646" s="13" t="s">
        <v>8</v>
      </c>
      <c r="P646" s="13" t="s">
        <v>9</v>
      </c>
      <c r="Q646" s="6" t="s">
        <v>2617</v>
      </c>
      <c r="R646" s="17" t="s">
        <v>2602</v>
      </c>
      <c r="S646" s="17" t="s">
        <v>2603</v>
      </c>
      <c r="T646" s="18">
        <v>23</v>
      </c>
      <c r="U646" s="13">
        <v>9</v>
      </c>
      <c r="V646" s="13" t="s">
        <v>2605</v>
      </c>
      <c r="X646" s="132">
        <v>643</v>
      </c>
      <c r="Y646" s="6"/>
    </row>
    <row r="647" spans="1:25" ht="15" customHeight="1" x14ac:dyDescent="0.2">
      <c r="A647" s="12" t="s">
        <v>2678</v>
      </c>
      <c r="B647" s="13" t="s">
        <v>4977</v>
      </c>
      <c r="C647" s="74">
        <v>46885</v>
      </c>
      <c r="D647" s="13" t="s">
        <v>33</v>
      </c>
      <c r="E647" s="6" t="s">
        <v>11469</v>
      </c>
      <c r="F647" s="15" t="s">
        <v>11470</v>
      </c>
      <c r="G647" s="6" t="s">
        <v>2679</v>
      </c>
      <c r="H647" s="6" t="s">
        <v>2679</v>
      </c>
      <c r="I647" s="13" t="s">
        <v>25</v>
      </c>
      <c r="J647" s="13">
        <v>3</v>
      </c>
      <c r="K647" s="13" t="s">
        <v>1714</v>
      </c>
      <c r="L647" s="6" t="s">
        <v>2680</v>
      </c>
      <c r="M647" s="108" t="s">
        <v>2681</v>
      </c>
      <c r="N647" s="13" t="s">
        <v>240</v>
      </c>
      <c r="O647" s="13" t="s">
        <v>240</v>
      </c>
      <c r="P647" s="13" t="s">
        <v>16</v>
      </c>
      <c r="Q647" s="6" t="s">
        <v>11471</v>
      </c>
      <c r="R647" s="17" t="s">
        <v>2682</v>
      </c>
      <c r="S647" s="17" t="s">
        <v>2683</v>
      </c>
      <c r="T647" s="18">
        <v>35</v>
      </c>
      <c r="U647" s="13">
        <v>30</v>
      </c>
      <c r="V647" s="13" t="s">
        <v>3002</v>
      </c>
      <c r="X647" s="132">
        <v>644</v>
      </c>
      <c r="Y647" s="6"/>
    </row>
    <row r="648" spans="1:25" ht="15" customHeight="1" x14ac:dyDescent="0.25">
      <c r="A648" s="12" t="s">
        <v>2697</v>
      </c>
      <c r="B648" s="13" t="s">
        <v>4978</v>
      </c>
      <c r="C648" s="74">
        <v>47406</v>
      </c>
      <c r="D648" s="13" t="s">
        <v>1533</v>
      </c>
      <c r="E648" s="6" t="s">
        <v>2698</v>
      </c>
      <c r="F648" s="15" t="s">
        <v>10716</v>
      </c>
      <c r="G648" s="6" t="s">
        <v>2699</v>
      </c>
      <c r="H648" s="6" t="s">
        <v>2699</v>
      </c>
      <c r="I648" s="13" t="s">
        <v>13</v>
      </c>
      <c r="J648" s="13">
        <v>7</v>
      </c>
      <c r="K648" s="13" t="s">
        <v>6603</v>
      </c>
      <c r="L648" s="6" t="s">
        <v>10717</v>
      </c>
      <c r="M648" s="108" t="s">
        <v>10718</v>
      </c>
      <c r="N648" s="13" t="s">
        <v>10719</v>
      </c>
      <c r="O648" s="13" t="s">
        <v>1847</v>
      </c>
      <c r="P648" s="13" t="s">
        <v>68</v>
      </c>
      <c r="Q648" s="6" t="s">
        <v>10720</v>
      </c>
      <c r="R648" s="69" t="s">
        <v>3057</v>
      </c>
      <c r="S648" s="30"/>
      <c r="T648" s="18">
        <v>200</v>
      </c>
      <c r="U648" s="13">
        <v>200</v>
      </c>
      <c r="V648" s="13" t="s">
        <v>3003</v>
      </c>
      <c r="X648" s="132">
        <v>645</v>
      </c>
      <c r="Y648" s="6"/>
    </row>
    <row r="649" spans="1:25" ht="15" customHeight="1" x14ac:dyDescent="0.25">
      <c r="A649" s="12" t="s">
        <v>2700</v>
      </c>
      <c r="B649" s="13" t="s">
        <v>4978</v>
      </c>
      <c r="C649" s="74">
        <v>47464</v>
      </c>
      <c r="D649" s="13" t="s">
        <v>1533</v>
      </c>
      <c r="E649" s="6" t="s">
        <v>2701</v>
      </c>
      <c r="F649" s="15" t="s">
        <v>11027</v>
      </c>
      <c r="G649" s="6" t="s">
        <v>11031</v>
      </c>
      <c r="H649" s="6" t="s">
        <v>2703</v>
      </c>
      <c r="I649" s="13" t="s">
        <v>2702</v>
      </c>
      <c r="J649" s="13">
        <v>11</v>
      </c>
      <c r="K649" s="13" t="s">
        <v>6603</v>
      </c>
      <c r="L649" s="6" t="s">
        <v>2704</v>
      </c>
      <c r="M649" s="108" t="s">
        <v>11028</v>
      </c>
      <c r="N649" s="13" t="s">
        <v>273</v>
      </c>
      <c r="O649" s="13" t="s">
        <v>11949</v>
      </c>
      <c r="P649" s="13" t="s">
        <v>68</v>
      </c>
      <c r="Q649" s="6" t="s">
        <v>2705</v>
      </c>
      <c r="R649" s="69" t="s">
        <v>11029</v>
      </c>
      <c r="S649" s="17" t="s">
        <v>11030</v>
      </c>
      <c r="T649" s="18">
        <v>90</v>
      </c>
      <c r="U649" s="13">
        <v>90</v>
      </c>
      <c r="V649" s="13" t="s">
        <v>3004</v>
      </c>
      <c r="X649" s="132">
        <v>646</v>
      </c>
      <c r="Y649" s="6"/>
    </row>
    <row r="650" spans="1:25" ht="15" customHeight="1" x14ac:dyDescent="0.2">
      <c r="A650" s="12" t="s">
        <v>2708</v>
      </c>
      <c r="B650" s="13" t="s">
        <v>4977</v>
      </c>
      <c r="C650" s="14">
        <v>46295</v>
      </c>
      <c r="D650" s="13" t="s">
        <v>33</v>
      </c>
      <c r="E650" s="6" t="s">
        <v>8184</v>
      </c>
      <c r="F650" s="6" t="s">
        <v>8132</v>
      </c>
      <c r="G650" s="6" t="s">
        <v>3859</v>
      </c>
      <c r="H650" s="6" t="s">
        <v>3859</v>
      </c>
      <c r="I650" s="13" t="s">
        <v>25</v>
      </c>
      <c r="J650" s="13">
        <v>3</v>
      </c>
      <c r="K650" s="13" t="s">
        <v>1714</v>
      </c>
      <c r="L650" s="6" t="s">
        <v>2709</v>
      </c>
      <c r="M650" s="108" t="s">
        <v>2710</v>
      </c>
      <c r="N650" s="13" t="s">
        <v>2711</v>
      </c>
      <c r="O650" s="13" t="s">
        <v>177</v>
      </c>
      <c r="P650" s="13" t="s">
        <v>9</v>
      </c>
      <c r="Q650" s="6" t="s">
        <v>8035</v>
      </c>
      <c r="R650" s="25" t="s">
        <v>8036</v>
      </c>
      <c r="S650" s="17" t="s">
        <v>2712</v>
      </c>
      <c r="T650" s="18">
        <v>35</v>
      </c>
      <c r="U650" s="13">
        <v>35</v>
      </c>
      <c r="V650" s="13" t="s">
        <v>8037</v>
      </c>
      <c r="W650" s="6" t="s">
        <v>3005</v>
      </c>
      <c r="X650" s="132">
        <v>647</v>
      </c>
      <c r="Y650" s="6"/>
    </row>
    <row r="651" spans="1:25" ht="15" customHeight="1" x14ac:dyDescent="0.25">
      <c r="A651" s="12" t="s">
        <v>2713</v>
      </c>
      <c r="B651" s="24" t="s">
        <v>4978</v>
      </c>
      <c r="C651" s="14">
        <v>47679</v>
      </c>
      <c r="D651" s="13" t="s">
        <v>1533</v>
      </c>
      <c r="E651" s="6" t="s">
        <v>2714</v>
      </c>
      <c r="F651" s="15" t="s">
        <v>11867</v>
      </c>
      <c r="G651" s="6" t="s">
        <v>12124</v>
      </c>
      <c r="H651" s="6" t="s">
        <v>12125</v>
      </c>
      <c r="I651" s="13" t="s">
        <v>13</v>
      </c>
      <c r="J651" s="13">
        <v>7</v>
      </c>
      <c r="K651" s="13" t="s">
        <v>6603</v>
      </c>
      <c r="L651" s="6" t="s">
        <v>3058</v>
      </c>
      <c r="M651" s="108" t="s">
        <v>3059</v>
      </c>
      <c r="N651" s="13" t="s">
        <v>3060</v>
      </c>
      <c r="O651" s="13" t="s">
        <v>11949</v>
      </c>
      <c r="P651" s="13" t="s">
        <v>68</v>
      </c>
      <c r="Q651" s="6" t="s">
        <v>12126</v>
      </c>
      <c r="R651" s="69" t="s">
        <v>12127</v>
      </c>
      <c r="S651" s="69" t="s">
        <v>12128</v>
      </c>
      <c r="T651" s="18">
        <v>200</v>
      </c>
      <c r="U651" s="13">
        <v>254</v>
      </c>
      <c r="V651" s="13" t="s">
        <v>3006</v>
      </c>
      <c r="X651" s="132">
        <v>648</v>
      </c>
      <c r="Y651" s="6"/>
    </row>
    <row r="652" spans="1:25" ht="15" customHeight="1" x14ac:dyDescent="0.25">
      <c r="A652" s="12" t="s">
        <v>2715</v>
      </c>
      <c r="B652" s="13" t="s">
        <v>4978</v>
      </c>
      <c r="C652" s="74">
        <v>47406</v>
      </c>
      <c r="D652" s="13" t="s">
        <v>1533</v>
      </c>
      <c r="E652" s="6" t="s">
        <v>2716</v>
      </c>
      <c r="F652" s="15" t="s">
        <v>10711</v>
      </c>
      <c r="G652" s="6" t="s">
        <v>10712</v>
      </c>
      <c r="H652" s="6" t="s">
        <v>2717</v>
      </c>
      <c r="I652" s="13" t="s">
        <v>13</v>
      </c>
      <c r="J652" s="13">
        <v>7</v>
      </c>
      <c r="K652" s="13" t="s">
        <v>6603</v>
      </c>
      <c r="L652" s="6" t="s">
        <v>2718</v>
      </c>
      <c r="M652" s="108" t="s">
        <v>10713</v>
      </c>
      <c r="N652" s="13" t="s">
        <v>2719</v>
      </c>
      <c r="O652" s="13" t="s">
        <v>15</v>
      </c>
      <c r="P652" s="13" t="s">
        <v>16</v>
      </c>
      <c r="Q652" s="6" t="s">
        <v>10714</v>
      </c>
      <c r="R652" s="69" t="s">
        <v>10715</v>
      </c>
      <c r="S652" s="17" t="s">
        <v>2720</v>
      </c>
      <c r="T652" s="18">
        <v>200</v>
      </c>
      <c r="U652" s="13">
        <v>310</v>
      </c>
      <c r="V652" s="13" t="s">
        <v>3007</v>
      </c>
      <c r="X652" s="132">
        <v>649</v>
      </c>
      <c r="Y652" s="6"/>
    </row>
    <row r="653" spans="1:25" ht="15" customHeight="1" x14ac:dyDescent="0.2">
      <c r="A653" s="20" t="s">
        <v>2721</v>
      </c>
      <c r="B653" s="22" t="s">
        <v>2608</v>
      </c>
      <c r="C653" s="14">
        <v>45970</v>
      </c>
      <c r="D653" s="13" t="s">
        <v>1533</v>
      </c>
      <c r="E653" s="6" t="s">
        <v>2959</v>
      </c>
      <c r="F653" s="15" t="s">
        <v>11868</v>
      </c>
      <c r="G653" s="6" t="s">
        <v>2722</v>
      </c>
      <c r="I653" s="13" t="s">
        <v>13</v>
      </c>
      <c r="J653" s="13">
        <v>7</v>
      </c>
      <c r="K653" s="13" t="s">
        <v>6603</v>
      </c>
      <c r="L653" s="6" t="s">
        <v>2723</v>
      </c>
      <c r="M653" s="108" t="s">
        <v>2724</v>
      </c>
      <c r="N653" s="13" t="s">
        <v>2725</v>
      </c>
      <c r="O653" s="13" t="s">
        <v>97</v>
      </c>
      <c r="P653" s="13" t="s">
        <v>4</v>
      </c>
      <c r="Q653" s="6" t="s">
        <v>2726</v>
      </c>
      <c r="R653" s="30" t="s">
        <v>3061</v>
      </c>
      <c r="S653" s="17" t="s">
        <v>2727</v>
      </c>
      <c r="T653" s="18">
        <v>130</v>
      </c>
      <c r="U653" s="18">
        <v>190</v>
      </c>
      <c r="V653" s="13" t="s">
        <v>3008</v>
      </c>
      <c r="X653" s="132">
        <v>650</v>
      </c>
      <c r="Y653" s="6"/>
    </row>
    <row r="654" spans="1:25" ht="15" customHeight="1" x14ac:dyDescent="0.2">
      <c r="A654" s="20" t="s">
        <v>2728</v>
      </c>
      <c r="B654" s="22" t="s">
        <v>2608</v>
      </c>
      <c r="C654" s="14">
        <v>45239</v>
      </c>
      <c r="D654" s="13" t="s">
        <v>33</v>
      </c>
      <c r="E654" s="6" t="s">
        <v>2729</v>
      </c>
      <c r="F654" s="15" t="s">
        <v>11869</v>
      </c>
      <c r="G654" s="6" t="s">
        <v>2730</v>
      </c>
      <c r="I654" s="13" t="s">
        <v>25</v>
      </c>
      <c r="J654" s="13">
        <v>3</v>
      </c>
      <c r="K654" s="13" t="s">
        <v>1714</v>
      </c>
      <c r="L654" s="6" t="s">
        <v>2731</v>
      </c>
      <c r="M654" s="108" t="s">
        <v>2732</v>
      </c>
      <c r="N654" s="13" t="s">
        <v>2733</v>
      </c>
      <c r="O654" s="13" t="s">
        <v>9664</v>
      </c>
      <c r="P654" s="13" t="s">
        <v>68</v>
      </c>
      <c r="Q654" s="6" t="s">
        <v>2734</v>
      </c>
      <c r="R654" s="17" t="s">
        <v>2735</v>
      </c>
      <c r="S654" s="17" t="s">
        <v>6686</v>
      </c>
      <c r="T654" s="18">
        <v>12</v>
      </c>
      <c r="U654" s="18">
        <v>0</v>
      </c>
      <c r="V654" s="13" t="s">
        <v>3009</v>
      </c>
      <c r="X654" s="132">
        <v>651</v>
      </c>
      <c r="Y654" s="6"/>
    </row>
    <row r="655" spans="1:25" ht="15" customHeight="1" x14ac:dyDescent="0.2">
      <c r="A655" s="19" t="s">
        <v>2740</v>
      </c>
      <c r="B655" s="13" t="s">
        <v>4978</v>
      </c>
      <c r="C655" s="74">
        <v>47422</v>
      </c>
      <c r="D655" s="13" t="s">
        <v>33</v>
      </c>
      <c r="E655" s="6" t="s">
        <v>2741</v>
      </c>
      <c r="F655" s="15" t="s">
        <v>10831</v>
      </c>
      <c r="G655" s="6" t="s">
        <v>2742</v>
      </c>
      <c r="H655" s="6" t="s">
        <v>2742</v>
      </c>
      <c r="I655" s="13" t="s">
        <v>25</v>
      </c>
      <c r="J655" s="13">
        <v>3</v>
      </c>
      <c r="K655" s="13" t="s">
        <v>1714</v>
      </c>
      <c r="L655" s="6" t="s">
        <v>2743</v>
      </c>
      <c r="M655" s="108" t="s">
        <v>2744</v>
      </c>
      <c r="N655" s="13" t="s">
        <v>2711</v>
      </c>
      <c r="O655" s="13" t="s">
        <v>8</v>
      </c>
      <c r="P655" s="13" t="s">
        <v>9</v>
      </c>
      <c r="Q655" s="6" t="s">
        <v>10832</v>
      </c>
      <c r="R655" s="17" t="s">
        <v>161</v>
      </c>
      <c r="S655" s="17" t="s">
        <v>2745</v>
      </c>
      <c r="T655" s="18">
        <v>25</v>
      </c>
      <c r="U655" s="18">
        <v>24</v>
      </c>
      <c r="V655" s="13" t="s">
        <v>3010</v>
      </c>
      <c r="X655" s="132">
        <v>652</v>
      </c>
      <c r="Y655" s="6"/>
    </row>
    <row r="656" spans="1:25" ht="15" customHeight="1" x14ac:dyDescent="0.25">
      <c r="A656" s="12" t="s">
        <v>3839</v>
      </c>
      <c r="B656" s="13" t="s">
        <v>4978</v>
      </c>
      <c r="C656" s="74">
        <v>47450</v>
      </c>
      <c r="D656" s="13" t="s">
        <v>1533</v>
      </c>
      <c r="E656" s="6" t="s">
        <v>11015</v>
      </c>
      <c r="F656" s="15" t="s">
        <v>11016</v>
      </c>
      <c r="G656" s="6" t="s">
        <v>2774</v>
      </c>
      <c r="H656" s="6" t="s">
        <v>2774</v>
      </c>
      <c r="I656" s="13" t="s">
        <v>7931</v>
      </c>
      <c r="J656" s="13">
        <v>9</v>
      </c>
      <c r="K656" s="13" t="s">
        <v>6603</v>
      </c>
      <c r="L656" s="6" t="s">
        <v>2775</v>
      </c>
      <c r="M656" s="108" t="s">
        <v>3062</v>
      </c>
      <c r="N656" s="13" t="s">
        <v>2776</v>
      </c>
      <c r="O656" s="13" t="s">
        <v>136</v>
      </c>
      <c r="P656" s="13" t="s">
        <v>4</v>
      </c>
      <c r="Q656" s="6" t="s">
        <v>11017</v>
      </c>
      <c r="R656" s="69" t="s">
        <v>4213</v>
      </c>
      <c r="S656" s="17" t="s">
        <v>2777</v>
      </c>
      <c r="T656" s="18">
        <v>30</v>
      </c>
      <c r="U656" s="18">
        <v>30</v>
      </c>
      <c r="V656" s="13" t="s">
        <v>3011</v>
      </c>
      <c r="X656" s="132">
        <v>653</v>
      </c>
      <c r="Y656" s="6"/>
    </row>
    <row r="657" spans="1:25" ht="15" customHeight="1" x14ac:dyDescent="0.25">
      <c r="A657" s="12" t="s">
        <v>3840</v>
      </c>
      <c r="B657" s="13" t="s">
        <v>4978</v>
      </c>
      <c r="C657" s="74">
        <v>47615</v>
      </c>
      <c r="D657" s="13" t="s">
        <v>1533</v>
      </c>
      <c r="E657" s="6" t="s">
        <v>11015</v>
      </c>
      <c r="F657" s="15" t="s">
        <v>11617</v>
      </c>
      <c r="G657" s="6" t="s">
        <v>2774</v>
      </c>
      <c r="H657" s="6" t="s">
        <v>2774</v>
      </c>
      <c r="I657" s="13" t="s">
        <v>25</v>
      </c>
      <c r="J657" s="13">
        <v>5</v>
      </c>
      <c r="K657" s="13" t="s">
        <v>6603</v>
      </c>
      <c r="L657" s="6" t="s">
        <v>3843</v>
      </c>
      <c r="M657" s="108" t="s">
        <v>11618</v>
      </c>
      <c r="N657" s="13" t="s">
        <v>8</v>
      </c>
      <c r="O657" s="13" t="s">
        <v>8</v>
      </c>
      <c r="P657" s="13" t="s">
        <v>9</v>
      </c>
      <c r="Q657" s="6" t="s">
        <v>3842</v>
      </c>
      <c r="R657" s="69" t="s">
        <v>4213</v>
      </c>
      <c r="S657" s="17" t="s">
        <v>2777</v>
      </c>
      <c r="T657" s="18">
        <v>30</v>
      </c>
      <c r="U657" s="18">
        <v>30</v>
      </c>
      <c r="V657" s="13" t="s">
        <v>3841</v>
      </c>
      <c r="X657" s="132">
        <v>654</v>
      </c>
      <c r="Y657" s="6"/>
    </row>
    <row r="658" spans="1:25" ht="15" customHeight="1" x14ac:dyDescent="0.2">
      <c r="A658" s="12" t="s">
        <v>4208</v>
      </c>
      <c r="B658" s="13" t="s">
        <v>4978</v>
      </c>
      <c r="C658" s="74">
        <v>46238</v>
      </c>
      <c r="D658" s="13" t="s">
        <v>1533</v>
      </c>
      <c r="E658" s="6" t="s">
        <v>11015</v>
      </c>
      <c r="F658" s="15" t="s">
        <v>11870</v>
      </c>
      <c r="G658" s="6" t="s">
        <v>2774</v>
      </c>
      <c r="H658" s="6" t="s">
        <v>2774</v>
      </c>
      <c r="I658" s="13" t="s">
        <v>7931</v>
      </c>
      <c r="J658" s="13">
        <v>9</v>
      </c>
      <c r="K658" s="13" t="s">
        <v>6603</v>
      </c>
      <c r="L658" s="6" t="s">
        <v>4211</v>
      </c>
      <c r="M658" s="108" t="s">
        <v>4212</v>
      </c>
      <c r="N658" s="13" t="s">
        <v>61</v>
      </c>
      <c r="O658" s="13" t="s">
        <v>61</v>
      </c>
      <c r="P658" s="13" t="s">
        <v>9</v>
      </c>
      <c r="Q658" s="6" t="s">
        <v>4210</v>
      </c>
      <c r="R658" s="17" t="s">
        <v>4213</v>
      </c>
      <c r="S658" s="17" t="s">
        <v>2777</v>
      </c>
      <c r="T658" s="18">
        <v>30</v>
      </c>
      <c r="U658" s="18">
        <v>11</v>
      </c>
      <c r="V658" s="13" t="s">
        <v>4209</v>
      </c>
      <c r="X658" s="132">
        <v>655</v>
      </c>
      <c r="Y658" s="6"/>
    </row>
    <row r="659" spans="1:25" ht="15" customHeight="1" x14ac:dyDescent="0.2">
      <c r="A659" s="12" t="s">
        <v>7398</v>
      </c>
      <c r="B659" s="13" t="s">
        <v>4978</v>
      </c>
      <c r="C659" s="74">
        <v>46917</v>
      </c>
      <c r="D659" s="13" t="s">
        <v>1533</v>
      </c>
      <c r="E659" s="6" t="s">
        <v>11015</v>
      </c>
      <c r="F659" s="15" t="s">
        <v>7441</v>
      </c>
      <c r="G659" s="6" t="s">
        <v>2774</v>
      </c>
      <c r="H659" s="6" t="s">
        <v>2774</v>
      </c>
      <c r="I659" s="13" t="s">
        <v>25</v>
      </c>
      <c r="J659" s="13">
        <v>5</v>
      </c>
      <c r="K659" s="13" t="s">
        <v>6603</v>
      </c>
      <c r="L659" s="6" t="s">
        <v>7443</v>
      </c>
      <c r="M659" s="108" t="s">
        <v>7442</v>
      </c>
      <c r="N659" s="13" t="s">
        <v>4793</v>
      </c>
      <c r="O659" s="13" t="s">
        <v>11949</v>
      </c>
      <c r="P659" s="13" t="s">
        <v>68</v>
      </c>
      <c r="Q659" s="6" t="s">
        <v>7444</v>
      </c>
      <c r="R659" s="17" t="s">
        <v>4213</v>
      </c>
      <c r="S659" s="17" t="s">
        <v>2777</v>
      </c>
      <c r="T659" s="18">
        <v>30</v>
      </c>
      <c r="U659" s="18">
        <v>28</v>
      </c>
      <c r="V659" s="13" t="s">
        <v>7445</v>
      </c>
      <c r="X659" s="132">
        <v>656</v>
      </c>
      <c r="Y659" s="6"/>
    </row>
    <row r="660" spans="1:25" ht="15" customHeight="1" x14ac:dyDescent="0.2">
      <c r="A660" s="20" t="s">
        <v>2778</v>
      </c>
      <c r="B660" s="22" t="s">
        <v>2608</v>
      </c>
      <c r="C660" s="14">
        <v>45970</v>
      </c>
      <c r="D660" s="13" t="s">
        <v>33</v>
      </c>
      <c r="E660" s="6" t="s">
        <v>2960</v>
      </c>
      <c r="F660" s="15" t="s">
        <v>11871</v>
      </c>
      <c r="G660" s="6" t="s">
        <v>2779</v>
      </c>
      <c r="I660" s="13" t="s">
        <v>25</v>
      </c>
      <c r="J660" s="13">
        <v>3</v>
      </c>
      <c r="K660" s="13" t="s">
        <v>1714</v>
      </c>
      <c r="L660" s="6" t="s">
        <v>2780</v>
      </c>
      <c r="M660" s="108" t="s">
        <v>2781</v>
      </c>
      <c r="N660" s="13" t="s">
        <v>2304</v>
      </c>
      <c r="O660" s="13" t="s">
        <v>61</v>
      </c>
      <c r="P660" s="13" t="s">
        <v>9</v>
      </c>
      <c r="Q660" s="6" t="s">
        <v>2782</v>
      </c>
      <c r="R660" s="17" t="s">
        <v>2783</v>
      </c>
      <c r="S660" s="17" t="s">
        <v>2784</v>
      </c>
      <c r="T660" s="18">
        <v>29</v>
      </c>
      <c r="U660" s="18">
        <v>23</v>
      </c>
      <c r="V660" s="13" t="s">
        <v>3012</v>
      </c>
      <c r="X660" s="132">
        <v>657</v>
      </c>
      <c r="Y660" s="6"/>
    </row>
    <row r="661" spans="1:25" ht="15" customHeight="1" x14ac:dyDescent="0.2">
      <c r="A661" s="12" t="s">
        <v>2785</v>
      </c>
      <c r="B661" s="13" t="s">
        <v>4978</v>
      </c>
      <c r="C661" s="74">
        <v>46742</v>
      </c>
      <c r="D661" s="13" t="s">
        <v>33</v>
      </c>
      <c r="E661" s="6" t="s">
        <v>2786</v>
      </c>
      <c r="F661" s="15" t="s">
        <v>6561</v>
      </c>
      <c r="G661" s="6" t="s">
        <v>2787</v>
      </c>
      <c r="H661" s="6" t="s">
        <v>2787</v>
      </c>
      <c r="I661" s="13" t="s">
        <v>25</v>
      </c>
      <c r="J661" s="13">
        <v>3</v>
      </c>
      <c r="K661" s="13" t="s">
        <v>1714</v>
      </c>
      <c r="L661" s="6" t="s">
        <v>2788</v>
      </c>
      <c r="M661" s="108" t="s">
        <v>2789</v>
      </c>
      <c r="N661" s="13" t="s">
        <v>2790</v>
      </c>
      <c r="O661" s="13" t="s">
        <v>204</v>
      </c>
      <c r="P661" s="13" t="s">
        <v>9</v>
      </c>
      <c r="Q661" s="6" t="s">
        <v>6563</v>
      </c>
      <c r="R661" s="17" t="s">
        <v>3063</v>
      </c>
      <c r="S661" s="17" t="s">
        <v>6564</v>
      </c>
      <c r="T661" s="18">
        <v>21</v>
      </c>
      <c r="U661" s="18">
        <v>15</v>
      </c>
      <c r="V661" s="13" t="s">
        <v>6560</v>
      </c>
      <c r="X661" s="132">
        <v>658</v>
      </c>
      <c r="Y661" s="6"/>
    </row>
    <row r="662" spans="1:25" ht="15" customHeight="1" x14ac:dyDescent="0.2">
      <c r="A662" s="12" t="s">
        <v>7185</v>
      </c>
      <c r="B662" s="13" t="s">
        <v>4978</v>
      </c>
      <c r="C662" s="74">
        <v>46889</v>
      </c>
      <c r="D662" s="13" t="s">
        <v>1533</v>
      </c>
      <c r="E662" s="6" t="s">
        <v>2799</v>
      </c>
      <c r="F662" s="15" t="s">
        <v>11872</v>
      </c>
      <c r="G662" s="6" t="s">
        <v>2800</v>
      </c>
      <c r="H662" s="6" t="s">
        <v>2800</v>
      </c>
      <c r="I662" s="13" t="s">
        <v>13</v>
      </c>
      <c r="J662" s="13">
        <v>7</v>
      </c>
      <c r="K662" s="13" t="s">
        <v>6603</v>
      </c>
      <c r="L662" s="6" t="s">
        <v>7188</v>
      </c>
      <c r="M662" s="108" t="s">
        <v>2801</v>
      </c>
      <c r="N662" s="13" t="s">
        <v>2802</v>
      </c>
      <c r="O662" s="13" t="s">
        <v>5556</v>
      </c>
      <c r="P662" s="13" t="s">
        <v>9</v>
      </c>
      <c r="Q662" s="6" t="s">
        <v>7189</v>
      </c>
      <c r="R662" s="17" t="s">
        <v>7190</v>
      </c>
      <c r="S662" s="17" t="s">
        <v>7191</v>
      </c>
      <c r="T662" s="18">
        <v>100</v>
      </c>
      <c r="U662" s="18">
        <v>100</v>
      </c>
      <c r="V662" s="13" t="s">
        <v>2803</v>
      </c>
      <c r="X662" s="132">
        <v>659</v>
      </c>
      <c r="Y662" s="6"/>
    </row>
    <row r="663" spans="1:25" ht="15" customHeight="1" x14ac:dyDescent="0.2">
      <c r="A663" s="12" t="s">
        <v>7186</v>
      </c>
      <c r="B663" s="13" t="s">
        <v>4978</v>
      </c>
      <c r="C663" s="74">
        <v>46889</v>
      </c>
      <c r="D663" s="13" t="s">
        <v>1533</v>
      </c>
      <c r="E663" s="6" t="s">
        <v>2799</v>
      </c>
      <c r="F663" s="15" t="s">
        <v>11873</v>
      </c>
      <c r="G663" s="6" t="s">
        <v>2800</v>
      </c>
      <c r="H663" s="6" t="s">
        <v>2800</v>
      </c>
      <c r="I663" s="13" t="s">
        <v>13</v>
      </c>
      <c r="J663" s="13">
        <v>7</v>
      </c>
      <c r="K663" s="13" t="s">
        <v>6603</v>
      </c>
      <c r="L663" s="6" t="s">
        <v>7192</v>
      </c>
      <c r="M663" s="108" t="s">
        <v>7193</v>
      </c>
      <c r="N663" s="13" t="s">
        <v>7194</v>
      </c>
      <c r="O663" s="13" t="s">
        <v>2085</v>
      </c>
      <c r="P663" s="13" t="s">
        <v>68</v>
      </c>
      <c r="Q663" s="6" t="s">
        <v>7195</v>
      </c>
      <c r="R663" s="17" t="s">
        <v>7190</v>
      </c>
      <c r="S663" s="17" t="s">
        <v>7191</v>
      </c>
      <c r="T663" s="18">
        <v>200</v>
      </c>
      <c r="U663" s="18">
        <v>200</v>
      </c>
      <c r="V663" s="13" t="s">
        <v>2803</v>
      </c>
      <c r="X663" s="132">
        <v>660</v>
      </c>
      <c r="Y663" s="6"/>
    </row>
    <row r="664" spans="1:25" ht="15" customHeight="1" x14ac:dyDescent="0.2">
      <c r="A664" s="12" t="s">
        <v>7187</v>
      </c>
      <c r="B664" s="13" t="s">
        <v>4978</v>
      </c>
      <c r="C664" s="74">
        <v>46889</v>
      </c>
      <c r="D664" s="13" t="s">
        <v>1533</v>
      </c>
      <c r="E664" s="6" t="s">
        <v>2799</v>
      </c>
      <c r="F664" s="15" t="s">
        <v>8772</v>
      </c>
      <c r="G664" s="6" t="s">
        <v>2800</v>
      </c>
      <c r="H664" s="6" t="s">
        <v>2800</v>
      </c>
      <c r="I664" s="13" t="s">
        <v>13</v>
      </c>
      <c r="J664" s="13">
        <v>7</v>
      </c>
      <c r="K664" s="13" t="s">
        <v>6603</v>
      </c>
      <c r="L664" s="6" t="s">
        <v>7199</v>
      </c>
      <c r="M664" s="108" t="s">
        <v>7197</v>
      </c>
      <c r="N664" s="13" t="s">
        <v>925</v>
      </c>
      <c r="O664" s="13" t="s">
        <v>925</v>
      </c>
      <c r="P664" s="13" t="s">
        <v>16</v>
      </c>
      <c r="Q664" s="6" t="s">
        <v>7196</v>
      </c>
      <c r="R664" s="17" t="s">
        <v>7190</v>
      </c>
      <c r="S664" s="17" t="s">
        <v>7191</v>
      </c>
      <c r="T664" s="18">
        <v>200</v>
      </c>
      <c r="U664" s="18">
        <v>200</v>
      </c>
      <c r="V664" s="13" t="s">
        <v>2803</v>
      </c>
      <c r="X664" s="132">
        <v>661</v>
      </c>
      <c r="Y664" s="6"/>
    </row>
    <row r="665" spans="1:25" ht="15" customHeight="1" x14ac:dyDescent="0.2">
      <c r="A665" s="12" t="s">
        <v>7376</v>
      </c>
      <c r="B665" s="13" t="s">
        <v>4978</v>
      </c>
      <c r="C665" s="74">
        <v>46889</v>
      </c>
      <c r="D665" s="13" t="s">
        <v>1533</v>
      </c>
      <c r="E665" s="6" t="s">
        <v>2799</v>
      </c>
      <c r="F665" s="15" t="s">
        <v>8773</v>
      </c>
      <c r="G665" s="6" t="s">
        <v>2800</v>
      </c>
      <c r="H665" s="6" t="s">
        <v>2800</v>
      </c>
      <c r="I665" s="13" t="s">
        <v>13</v>
      </c>
      <c r="J665" s="13">
        <v>7</v>
      </c>
      <c r="K665" s="13" t="s">
        <v>6603</v>
      </c>
      <c r="L665" s="6" t="s">
        <v>7198</v>
      </c>
      <c r="M665" s="108" t="s">
        <v>7200</v>
      </c>
      <c r="N665" s="13" t="s">
        <v>925</v>
      </c>
      <c r="O665" s="13" t="s">
        <v>925</v>
      </c>
      <c r="P665" s="13" t="s">
        <v>16</v>
      </c>
      <c r="Q665" s="6" t="s">
        <v>7201</v>
      </c>
      <c r="R665" s="17" t="s">
        <v>7190</v>
      </c>
      <c r="S665" s="17" t="s">
        <v>7191</v>
      </c>
      <c r="T665" s="18">
        <v>200</v>
      </c>
      <c r="U665" s="18">
        <v>200</v>
      </c>
      <c r="V665" s="13" t="s">
        <v>2803</v>
      </c>
      <c r="X665" s="132">
        <v>662</v>
      </c>
      <c r="Y665" s="6"/>
    </row>
    <row r="666" spans="1:25" ht="15" customHeight="1" x14ac:dyDescent="0.25">
      <c r="A666" s="12" t="s">
        <v>12206</v>
      </c>
      <c r="B666" s="145" t="s">
        <v>4978</v>
      </c>
      <c r="C666" s="146">
        <v>47679</v>
      </c>
      <c r="D666" s="145" t="s">
        <v>1533</v>
      </c>
      <c r="E666" s="147" t="s">
        <v>2799</v>
      </c>
      <c r="F666" s="148" t="s">
        <v>12207</v>
      </c>
      <c r="G666" s="147" t="s">
        <v>2800</v>
      </c>
      <c r="H666" s="147" t="s">
        <v>2800</v>
      </c>
      <c r="I666" s="145" t="s">
        <v>13</v>
      </c>
      <c r="J666" s="145">
        <v>7</v>
      </c>
      <c r="K666" s="145" t="s">
        <v>6603</v>
      </c>
      <c r="L666" s="147" t="s">
        <v>3067</v>
      </c>
      <c r="M666" s="149" t="s">
        <v>3065</v>
      </c>
      <c r="N666" s="145" t="s">
        <v>2130</v>
      </c>
      <c r="O666" s="145" t="s">
        <v>1889</v>
      </c>
      <c r="P666" s="145" t="s">
        <v>68</v>
      </c>
      <c r="Q666" s="147" t="s">
        <v>12208</v>
      </c>
      <c r="R666" s="69" t="s">
        <v>7190</v>
      </c>
      <c r="S666" s="69" t="s">
        <v>7191</v>
      </c>
      <c r="T666" s="151">
        <v>200</v>
      </c>
      <c r="U666" s="151">
        <v>200</v>
      </c>
      <c r="V666" s="13" t="s">
        <v>2803</v>
      </c>
      <c r="W666" s="147"/>
      <c r="X666" s="152"/>
      <c r="Y666" s="6"/>
    </row>
    <row r="667" spans="1:25" ht="15" customHeight="1" x14ac:dyDescent="0.25">
      <c r="A667" s="154" t="s">
        <v>12320</v>
      </c>
      <c r="B667" s="145" t="s">
        <v>4978</v>
      </c>
      <c r="C667" s="146"/>
      <c r="D667" s="145" t="s">
        <v>1533</v>
      </c>
      <c r="E667" s="147" t="s">
        <v>2799</v>
      </c>
      <c r="F667" s="148" t="s">
        <v>12321</v>
      </c>
      <c r="G667" s="147" t="s">
        <v>2800</v>
      </c>
      <c r="H667" s="147" t="s">
        <v>2800</v>
      </c>
      <c r="I667" s="145" t="s">
        <v>2702</v>
      </c>
      <c r="J667" s="145">
        <v>11</v>
      </c>
      <c r="K667" s="145" t="s">
        <v>6603</v>
      </c>
      <c r="L667" s="147" t="s">
        <v>12322</v>
      </c>
      <c r="M667" s="149" t="s">
        <v>12323</v>
      </c>
      <c r="N667" s="145" t="s">
        <v>12324</v>
      </c>
      <c r="O667" s="145" t="s">
        <v>12325</v>
      </c>
      <c r="P667" s="145" t="s">
        <v>9</v>
      </c>
      <c r="Q667" s="147" t="s">
        <v>12326</v>
      </c>
      <c r="R667" s="69" t="s">
        <v>7190</v>
      </c>
      <c r="S667" s="69" t="s">
        <v>7191</v>
      </c>
      <c r="T667" s="151">
        <v>120</v>
      </c>
      <c r="U667" s="151">
        <v>120</v>
      </c>
      <c r="V667" s="13" t="s">
        <v>2803</v>
      </c>
      <c r="W667" s="147"/>
      <c r="X667" s="152"/>
      <c r="Y667" s="6"/>
    </row>
    <row r="668" spans="1:25" ht="15" customHeight="1" x14ac:dyDescent="0.25">
      <c r="A668" s="154" t="s">
        <v>12327</v>
      </c>
      <c r="B668" s="145" t="s">
        <v>4978</v>
      </c>
      <c r="C668" s="146"/>
      <c r="D668" s="145" t="s">
        <v>1533</v>
      </c>
      <c r="E668" s="147" t="s">
        <v>2799</v>
      </c>
      <c r="F668" s="148" t="s">
        <v>12328</v>
      </c>
      <c r="G668" s="147" t="s">
        <v>2800</v>
      </c>
      <c r="H668" s="147" t="s">
        <v>2800</v>
      </c>
      <c r="I668" s="145" t="s">
        <v>2702</v>
      </c>
      <c r="J668" s="145">
        <v>11</v>
      </c>
      <c r="K668" s="145" t="s">
        <v>6603</v>
      </c>
      <c r="L668" s="147" t="s">
        <v>12329</v>
      </c>
      <c r="M668" s="149" t="s">
        <v>12330</v>
      </c>
      <c r="N668" s="145" t="s">
        <v>925</v>
      </c>
      <c r="O668" s="145" t="s">
        <v>925</v>
      </c>
      <c r="P668" s="145" t="s">
        <v>16</v>
      </c>
      <c r="Q668" s="147" t="s">
        <v>12331</v>
      </c>
      <c r="R668" s="69" t="s">
        <v>7190</v>
      </c>
      <c r="S668" s="69" t="s">
        <v>7191</v>
      </c>
      <c r="T668" s="151">
        <v>120</v>
      </c>
      <c r="U668" s="151">
        <v>120</v>
      </c>
      <c r="V668" s="145" t="s">
        <v>2803</v>
      </c>
      <c r="W668" s="147"/>
      <c r="X668" s="152"/>
      <c r="Y668" s="6"/>
    </row>
    <row r="669" spans="1:25" ht="15" customHeight="1" x14ac:dyDescent="0.25">
      <c r="A669" s="154" t="s">
        <v>12332</v>
      </c>
      <c r="B669" s="145" t="s">
        <v>4978</v>
      </c>
      <c r="C669" s="146"/>
      <c r="D669" s="145" t="s">
        <v>1533</v>
      </c>
      <c r="E669" s="147" t="s">
        <v>2799</v>
      </c>
      <c r="F669" s="148" t="s">
        <v>12333</v>
      </c>
      <c r="G669" s="147" t="s">
        <v>2800</v>
      </c>
      <c r="H669" s="147" t="s">
        <v>2800</v>
      </c>
      <c r="I669" s="145" t="s">
        <v>2702</v>
      </c>
      <c r="J669" s="145">
        <v>11</v>
      </c>
      <c r="K669" s="145" t="s">
        <v>6603</v>
      </c>
      <c r="L669" s="147" t="s">
        <v>12334</v>
      </c>
      <c r="M669" s="149" t="s">
        <v>12335</v>
      </c>
      <c r="N669" s="145" t="s">
        <v>12336</v>
      </c>
      <c r="O669" s="145" t="s">
        <v>27</v>
      </c>
      <c r="P669" s="145" t="s">
        <v>9</v>
      </c>
      <c r="Q669" s="147" t="s">
        <v>12337</v>
      </c>
      <c r="R669" s="69" t="s">
        <v>7190</v>
      </c>
      <c r="S669" s="69" t="s">
        <v>7191</v>
      </c>
      <c r="T669" s="151">
        <v>120</v>
      </c>
      <c r="U669" s="151">
        <v>120</v>
      </c>
      <c r="V669" s="145" t="s">
        <v>2803</v>
      </c>
      <c r="W669" s="147"/>
      <c r="X669" s="152"/>
      <c r="Y669" s="6"/>
    </row>
    <row r="670" spans="1:25" ht="15" customHeight="1" x14ac:dyDescent="0.25">
      <c r="A670" s="12" t="s">
        <v>2804</v>
      </c>
      <c r="B670" s="13" t="s">
        <v>4978</v>
      </c>
      <c r="C670" s="74">
        <v>47615</v>
      </c>
      <c r="D670" s="13" t="s">
        <v>33</v>
      </c>
      <c r="E670" s="6" t="s">
        <v>2961</v>
      </c>
      <c r="F670" s="15" t="s">
        <v>11555</v>
      </c>
      <c r="G670" s="6" t="s">
        <v>2805</v>
      </c>
      <c r="H670" s="6" t="s">
        <v>2805</v>
      </c>
      <c r="I670" s="13" t="s">
        <v>25</v>
      </c>
      <c r="J670" s="13">
        <v>3</v>
      </c>
      <c r="K670" s="13" t="s">
        <v>1714</v>
      </c>
      <c r="L670" s="6" t="s">
        <v>8471</v>
      </c>
      <c r="M670" s="108" t="s">
        <v>6314</v>
      </c>
      <c r="N670" s="13" t="s">
        <v>2845</v>
      </c>
      <c r="O670" s="13" t="s">
        <v>1055</v>
      </c>
      <c r="P670" s="13" t="s">
        <v>16</v>
      </c>
      <c r="Q670" s="6" t="s">
        <v>3786</v>
      </c>
      <c r="R670" s="69" t="s">
        <v>4682</v>
      </c>
      <c r="S670" s="17"/>
      <c r="T670" s="18">
        <v>23</v>
      </c>
      <c r="U670" s="18">
        <v>7</v>
      </c>
      <c r="V670" s="13" t="s">
        <v>2808</v>
      </c>
      <c r="X670" s="132">
        <v>663</v>
      </c>
      <c r="Y670" s="6"/>
    </row>
    <row r="671" spans="1:25" ht="15" customHeight="1" x14ac:dyDescent="0.2">
      <c r="A671" s="20" t="s">
        <v>2809</v>
      </c>
      <c r="B671" s="22" t="s">
        <v>2608</v>
      </c>
      <c r="C671" s="14">
        <v>46095</v>
      </c>
      <c r="D671" s="13" t="s">
        <v>33</v>
      </c>
      <c r="E671" s="6" t="s">
        <v>7007</v>
      </c>
      <c r="F671" s="15" t="s">
        <v>7005</v>
      </c>
      <c r="G671" s="6" t="s">
        <v>2810</v>
      </c>
      <c r="H671" s="6" t="s">
        <v>2810</v>
      </c>
      <c r="I671" s="13" t="s">
        <v>25</v>
      </c>
      <c r="J671" s="13">
        <v>3</v>
      </c>
      <c r="K671" s="13" t="s">
        <v>1714</v>
      </c>
      <c r="L671" s="6" t="s">
        <v>7003</v>
      </c>
      <c r="M671" s="108" t="s">
        <v>7004</v>
      </c>
      <c r="N671" s="13" t="s">
        <v>2647</v>
      </c>
      <c r="O671" s="13" t="s">
        <v>2146</v>
      </c>
      <c r="P671" s="13" t="s">
        <v>68</v>
      </c>
      <c r="Q671" s="6" t="s">
        <v>7006</v>
      </c>
      <c r="R671" s="17" t="s">
        <v>2811</v>
      </c>
      <c r="S671" s="17" t="s">
        <v>6687</v>
      </c>
      <c r="T671" s="18">
        <v>30</v>
      </c>
      <c r="U671" s="18">
        <v>14</v>
      </c>
      <c r="V671" s="13"/>
      <c r="W671" s="13" t="s">
        <v>2812</v>
      </c>
      <c r="X671" s="132">
        <v>664</v>
      </c>
      <c r="Y671" s="6"/>
    </row>
    <row r="672" spans="1:25" ht="15" customHeight="1" x14ac:dyDescent="0.2">
      <c r="A672" s="12" t="s">
        <v>2813</v>
      </c>
      <c r="B672" s="13" t="s">
        <v>4977</v>
      </c>
      <c r="C672" s="14">
        <v>46359</v>
      </c>
      <c r="D672" s="13" t="s">
        <v>33</v>
      </c>
      <c r="E672" s="6" t="s">
        <v>8475</v>
      </c>
      <c r="F672" s="15" t="s">
        <v>8771</v>
      </c>
      <c r="G672" s="6" t="s">
        <v>2814</v>
      </c>
      <c r="H672" s="6" t="s">
        <v>2814</v>
      </c>
      <c r="I672" s="13" t="s">
        <v>25</v>
      </c>
      <c r="J672" s="13">
        <v>3</v>
      </c>
      <c r="K672" s="13" t="s">
        <v>1714</v>
      </c>
      <c r="L672" s="6" t="s">
        <v>8541</v>
      </c>
      <c r="M672" s="108" t="s">
        <v>8542</v>
      </c>
      <c r="N672" s="13" t="s">
        <v>2815</v>
      </c>
      <c r="O672" s="13" t="s">
        <v>27</v>
      </c>
      <c r="P672" s="13" t="s">
        <v>9</v>
      </c>
      <c r="Q672" s="6" t="s">
        <v>8543</v>
      </c>
      <c r="R672" s="17" t="s">
        <v>2816</v>
      </c>
      <c r="S672" s="17" t="s">
        <v>2817</v>
      </c>
      <c r="T672" s="18">
        <v>70</v>
      </c>
      <c r="U672" s="18">
        <v>59</v>
      </c>
      <c r="V672" s="13" t="s">
        <v>8544</v>
      </c>
      <c r="W672" s="6" t="s">
        <v>2818</v>
      </c>
      <c r="X672" s="132">
        <v>665</v>
      </c>
      <c r="Y672" s="6"/>
    </row>
    <row r="673" spans="1:25" ht="15" customHeight="1" x14ac:dyDescent="0.25">
      <c r="A673" s="12" t="s">
        <v>2821</v>
      </c>
      <c r="B673" s="24" t="s">
        <v>4978</v>
      </c>
      <c r="C673" s="14">
        <v>47679</v>
      </c>
      <c r="D673" s="13" t="s">
        <v>1533</v>
      </c>
      <c r="E673" s="6" t="s">
        <v>2822</v>
      </c>
      <c r="F673" s="15" t="s">
        <v>11874</v>
      </c>
      <c r="G673" s="6" t="s">
        <v>12129</v>
      </c>
      <c r="H673" s="6" t="s">
        <v>2823</v>
      </c>
      <c r="I673" s="13" t="s">
        <v>13</v>
      </c>
      <c r="J673" s="13">
        <v>7</v>
      </c>
      <c r="K673" s="13" t="s">
        <v>6603</v>
      </c>
      <c r="L673" s="6" t="s">
        <v>2824</v>
      </c>
      <c r="M673" s="108" t="s">
        <v>2851</v>
      </c>
      <c r="N673" s="13" t="s">
        <v>2825</v>
      </c>
      <c r="O673" s="13" t="s">
        <v>8</v>
      </c>
      <c r="P673" s="13" t="s">
        <v>9</v>
      </c>
      <c r="Q673" s="6" t="s">
        <v>12130</v>
      </c>
      <c r="R673" s="69" t="s">
        <v>12131</v>
      </c>
      <c r="S673" s="17" t="s">
        <v>12132</v>
      </c>
      <c r="T673" s="18">
        <v>200</v>
      </c>
      <c r="U673" s="18">
        <v>473</v>
      </c>
      <c r="V673" s="13" t="s">
        <v>2826</v>
      </c>
      <c r="X673" s="132">
        <v>666</v>
      </c>
      <c r="Y673" s="6"/>
    </row>
    <row r="674" spans="1:25" ht="15" customHeight="1" x14ac:dyDescent="0.2">
      <c r="A674" s="12" t="s">
        <v>2847</v>
      </c>
      <c r="B674" s="13" t="s">
        <v>4978</v>
      </c>
      <c r="C674" s="74">
        <v>46705</v>
      </c>
      <c r="D674" s="13" t="s">
        <v>33</v>
      </c>
      <c r="E674" s="6" t="s">
        <v>2962</v>
      </c>
      <c r="F674" s="15" t="s">
        <v>6260</v>
      </c>
      <c r="G674" s="6" t="s">
        <v>2848</v>
      </c>
      <c r="H674" s="6" t="s">
        <v>2848</v>
      </c>
      <c r="I674" s="13" t="s">
        <v>25</v>
      </c>
      <c r="J674" s="13">
        <v>3</v>
      </c>
      <c r="K674" s="13" t="s">
        <v>1714</v>
      </c>
      <c r="L674" s="6" t="s">
        <v>2849</v>
      </c>
      <c r="M674" s="108" t="s">
        <v>2850</v>
      </c>
      <c r="N674" s="13" t="s">
        <v>3064</v>
      </c>
      <c r="O674" s="13" t="s">
        <v>1055</v>
      </c>
      <c r="P674" s="13" t="s">
        <v>16</v>
      </c>
      <c r="Q674" s="6" t="s">
        <v>2852</v>
      </c>
      <c r="R674" s="17" t="s">
        <v>6220</v>
      </c>
      <c r="S674" s="17" t="s">
        <v>2853</v>
      </c>
      <c r="T674" s="18">
        <v>29</v>
      </c>
      <c r="U674" s="18">
        <v>29</v>
      </c>
      <c r="V674" s="13" t="s">
        <v>2854</v>
      </c>
      <c r="W674" s="53" t="s">
        <v>6047</v>
      </c>
      <c r="X674" s="132">
        <v>667</v>
      </c>
      <c r="Y674" s="6"/>
    </row>
    <row r="675" spans="1:25" ht="15" customHeight="1" x14ac:dyDescent="0.2">
      <c r="A675" s="20" t="s">
        <v>2862</v>
      </c>
      <c r="B675" s="22" t="s">
        <v>2608</v>
      </c>
      <c r="C675" s="14">
        <v>45970</v>
      </c>
      <c r="D675" s="13" t="s">
        <v>33</v>
      </c>
      <c r="E675" s="6" t="s">
        <v>2863</v>
      </c>
      <c r="F675" s="15" t="s">
        <v>11875</v>
      </c>
      <c r="G675" s="6" t="s">
        <v>2864</v>
      </c>
      <c r="H675" s="147" t="s">
        <v>2864</v>
      </c>
      <c r="I675" s="13" t="s">
        <v>25</v>
      </c>
      <c r="J675" s="13">
        <v>3</v>
      </c>
      <c r="K675" s="13" t="s">
        <v>1714</v>
      </c>
      <c r="L675" s="6" t="s">
        <v>2865</v>
      </c>
      <c r="M675" s="108" t="s">
        <v>2867</v>
      </c>
      <c r="N675" s="13" t="s">
        <v>2866</v>
      </c>
      <c r="O675" s="13" t="s">
        <v>128</v>
      </c>
      <c r="P675" s="13" t="s">
        <v>16</v>
      </c>
      <c r="Q675" s="6" t="s">
        <v>2868</v>
      </c>
      <c r="R675" s="17" t="s">
        <v>2869</v>
      </c>
      <c r="S675" s="17" t="s">
        <v>2870</v>
      </c>
      <c r="T675" s="18">
        <v>9</v>
      </c>
      <c r="U675" s="18">
        <v>8</v>
      </c>
      <c r="V675" s="13" t="s">
        <v>2871</v>
      </c>
      <c r="X675" s="132">
        <v>668</v>
      </c>
      <c r="Y675" s="6"/>
    </row>
    <row r="676" spans="1:25" ht="15" customHeight="1" x14ac:dyDescent="0.2">
      <c r="A676" s="19" t="s">
        <v>2872</v>
      </c>
      <c r="B676" s="13" t="s">
        <v>4977</v>
      </c>
      <c r="C676" s="14">
        <v>46691</v>
      </c>
      <c r="D676" s="13" t="s">
        <v>1533</v>
      </c>
      <c r="E676" s="6" t="s">
        <v>10793</v>
      </c>
      <c r="F676" s="15" t="s">
        <v>10794</v>
      </c>
      <c r="G676" s="6" t="s">
        <v>2873</v>
      </c>
      <c r="H676" s="6" t="s">
        <v>2873</v>
      </c>
      <c r="I676" s="13" t="s">
        <v>13</v>
      </c>
      <c r="J676" s="13">
        <v>8</v>
      </c>
      <c r="K676" s="13" t="s">
        <v>1714</v>
      </c>
      <c r="L676" s="6" t="s">
        <v>2874</v>
      </c>
      <c r="M676" s="108" t="s">
        <v>2875</v>
      </c>
      <c r="N676" s="13" t="s">
        <v>36</v>
      </c>
      <c r="O676" s="13" t="s">
        <v>36</v>
      </c>
      <c r="P676" s="13" t="s">
        <v>4</v>
      </c>
      <c r="Q676" s="6" t="s">
        <v>5572</v>
      </c>
      <c r="R676" s="17" t="s">
        <v>2876</v>
      </c>
      <c r="S676" s="17"/>
      <c r="T676" s="18">
        <v>200</v>
      </c>
      <c r="U676" s="18">
        <v>350</v>
      </c>
      <c r="V676" s="13" t="s">
        <v>2877</v>
      </c>
      <c r="X676" s="132">
        <v>669</v>
      </c>
      <c r="Y676" s="6"/>
    </row>
    <row r="677" spans="1:25" ht="15" customHeight="1" x14ac:dyDescent="0.2">
      <c r="A677" s="20" t="s">
        <v>5571</v>
      </c>
      <c r="B677" s="22" t="s">
        <v>2608</v>
      </c>
      <c r="C677" s="14">
        <v>45834</v>
      </c>
      <c r="D677" s="13" t="s">
        <v>1533</v>
      </c>
      <c r="E677" s="6" t="s">
        <v>10793</v>
      </c>
      <c r="F677" s="15" t="s">
        <v>5570</v>
      </c>
      <c r="G677" s="6" t="s">
        <v>2873</v>
      </c>
      <c r="H677" s="6" t="s">
        <v>2873</v>
      </c>
      <c r="I677" s="13" t="s">
        <v>39</v>
      </c>
      <c r="J677" s="13">
        <v>12</v>
      </c>
      <c r="K677" s="13" t="s">
        <v>6574</v>
      </c>
      <c r="L677" s="6" t="s">
        <v>2874</v>
      </c>
      <c r="M677" s="108" t="s">
        <v>2875</v>
      </c>
      <c r="N677" s="13" t="s">
        <v>36</v>
      </c>
      <c r="O677" s="13" t="s">
        <v>36</v>
      </c>
      <c r="P677" s="13" t="s">
        <v>4</v>
      </c>
      <c r="Q677" s="6" t="s">
        <v>5572</v>
      </c>
      <c r="R677" s="17" t="s">
        <v>2876</v>
      </c>
      <c r="S677" s="17" t="s">
        <v>5573</v>
      </c>
      <c r="T677" s="18">
        <v>400</v>
      </c>
      <c r="U677" s="18">
        <v>200</v>
      </c>
      <c r="V677" s="13" t="s">
        <v>2877</v>
      </c>
      <c r="X677" s="132">
        <v>670</v>
      </c>
      <c r="Y677" s="6"/>
    </row>
    <row r="678" spans="1:25" ht="15" customHeight="1" x14ac:dyDescent="0.25">
      <c r="A678" s="12" t="s">
        <v>2883</v>
      </c>
      <c r="B678" s="24" t="s">
        <v>4978</v>
      </c>
      <c r="C678" s="14">
        <v>47642</v>
      </c>
      <c r="D678" s="13" t="s">
        <v>33</v>
      </c>
      <c r="E678" s="6" t="s">
        <v>2884</v>
      </c>
      <c r="F678" s="15" t="s">
        <v>12029</v>
      </c>
      <c r="G678" s="6" t="s">
        <v>2885</v>
      </c>
      <c r="H678" s="6" t="s">
        <v>2885</v>
      </c>
      <c r="I678" s="13" t="s">
        <v>25</v>
      </c>
      <c r="J678" s="13">
        <v>3</v>
      </c>
      <c r="K678" s="13" t="s">
        <v>1714</v>
      </c>
      <c r="L678" s="6" t="s">
        <v>12030</v>
      </c>
      <c r="M678" s="108" t="s">
        <v>2886</v>
      </c>
      <c r="N678" s="13" t="s">
        <v>2887</v>
      </c>
      <c r="O678" s="13" t="s">
        <v>2146</v>
      </c>
      <c r="P678" s="13" t="s">
        <v>68</v>
      </c>
      <c r="Q678" s="6" t="s">
        <v>12031</v>
      </c>
      <c r="R678" s="69" t="s">
        <v>12032</v>
      </c>
      <c r="S678" s="17" t="s">
        <v>2888</v>
      </c>
      <c r="T678" s="18">
        <v>14</v>
      </c>
      <c r="U678" s="18">
        <v>13</v>
      </c>
      <c r="V678" s="13" t="s">
        <v>2889</v>
      </c>
      <c r="X678" s="132">
        <v>671</v>
      </c>
      <c r="Y678" s="6"/>
    </row>
    <row r="679" spans="1:25" ht="15" customHeight="1" x14ac:dyDescent="0.2">
      <c r="A679" s="12" t="s">
        <v>2896</v>
      </c>
      <c r="B679" s="13" t="s">
        <v>4978</v>
      </c>
      <c r="C679" s="74">
        <v>47464</v>
      </c>
      <c r="D679" s="13" t="s">
        <v>33</v>
      </c>
      <c r="E679" s="6" t="s">
        <v>2897</v>
      </c>
      <c r="F679" s="15" t="s">
        <v>7959</v>
      </c>
      <c r="G679" s="6" t="s">
        <v>2898</v>
      </c>
      <c r="H679" s="147" t="s">
        <v>2898</v>
      </c>
      <c r="I679" s="13" t="s">
        <v>25</v>
      </c>
      <c r="J679" s="13">
        <v>3</v>
      </c>
      <c r="K679" s="13" t="s">
        <v>1714</v>
      </c>
      <c r="L679" s="6" t="s">
        <v>2899</v>
      </c>
      <c r="M679" s="108" t="s">
        <v>2900</v>
      </c>
      <c r="N679" s="13" t="s">
        <v>2259</v>
      </c>
      <c r="O679" s="13" t="s">
        <v>21</v>
      </c>
      <c r="P679" s="13" t="s">
        <v>9</v>
      </c>
      <c r="Q679" s="6" t="s">
        <v>11067</v>
      </c>
      <c r="R679" s="17" t="s">
        <v>2901</v>
      </c>
      <c r="S679" s="17" t="s">
        <v>2902</v>
      </c>
      <c r="T679" s="18">
        <v>16</v>
      </c>
      <c r="U679" s="18">
        <v>16</v>
      </c>
      <c r="V679" s="13" t="s">
        <v>2903</v>
      </c>
      <c r="X679" s="132">
        <v>672</v>
      </c>
      <c r="Y679" s="6"/>
    </row>
    <row r="680" spans="1:25" ht="15" customHeight="1" x14ac:dyDescent="0.2">
      <c r="A680" s="12" t="s">
        <v>7949</v>
      </c>
      <c r="B680" s="13" t="s">
        <v>4978</v>
      </c>
      <c r="C680" s="74">
        <v>46980</v>
      </c>
      <c r="D680" s="13" t="s">
        <v>33</v>
      </c>
      <c r="E680" s="6" t="s">
        <v>7950</v>
      </c>
      <c r="F680" s="15" t="s">
        <v>7958</v>
      </c>
      <c r="G680" s="6" t="s">
        <v>7951</v>
      </c>
      <c r="H680" s="6" t="s">
        <v>7951</v>
      </c>
      <c r="I680" s="13" t="s">
        <v>25</v>
      </c>
      <c r="J680" s="13">
        <v>3</v>
      </c>
      <c r="K680" s="13" t="s">
        <v>1714</v>
      </c>
      <c r="L680" s="6" t="s">
        <v>7952</v>
      </c>
      <c r="M680" s="108" t="s">
        <v>7953</v>
      </c>
      <c r="N680" s="13" t="s">
        <v>2259</v>
      </c>
      <c r="O680" s="13" t="s">
        <v>21</v>
      </c>
      <c r="P680" s="13" t="s">
        <v>9</v>
      </c>
      <c r="Q680" s="6" t="s">
        <v>7954</v>
      </c>
      <c r="R680" s="30" t="s">
        <v>2901</v>
      </c>
      <c r="S680" s="30" t="s">
        <v>2902</v>
      </c>
      <c r="T680" s="18">
        <v>11</v>
      </c>
      <c r="U680" s="18">
        <v>10</v>
      </c>
      <c r="V680" s="13" t="s">
        <v>7955</v>
      </c>
      <c r="X680" s="132">
        <v>673</v>
      </c>
      <c r="Y680" s="6"/>
    </row>
    <row r="681" spans="1:25" ht="15" customHeight="1" x14ac:dyDescent="0.2">
      <c r="A681" s="20" t="s">
        <v>2904</v>
      </c>
      <c r="B681" s="22" t="s">
        <v>2608</v>
      </c>
      <c r="C681" s="14">
        <v>45239</v>
      </c>
      <c r="D681" s="13" t="s">
        <v>33</v>
      </c>
      <c r="E681" s="6" t="s">
        <v>2909</v>
      </c>
      <c r="F681" s="15" t="s">
        <v>8775</v>
      </c>
      <c r="G681" s="6" t="s">
        <v>2910</v>
      </c>
      <c r="H681" s="147" t="s">
        <v>2910</v>
      </c>
      <c r="I681" s="13" t="s">
        <v>25</v>
      </c>
      <c r="J681" s="13">
        <v>3</v>
      </c>
      <c r="K681" s="13" t="s">
        <v>1714</v>
      </c>
      <c r="L681" s="6" t="s">
        <v>2911</v>
      </c>
      <c r="M681" s="108" t="s">
        <v>2912</v>
      </c>
      <c r="N681" s="13" t="s">
        <v>2389</v>
      </c>
      <c r="O681" s="13" t="s">
        <v>15</v>
      </c>
      <c r="P681" s="13" t="s">
        <v>16</v>
      </c>
      <c r="Q681" s="6" t="s">
        <v>2913</v>
      </c>
      <c r="R681" s="17" t="s">
        <v>2914</v>
      </c>
      <c r="S681" s="17" t="s">
        <v>2915</v>
      </c>
      <c r="T681" s="18">
        <v>12</v>
      </c>
      <c r="U681" s="18">
        <v>3</v>
      </c>
      <c r="V681" s="13" t="s">
        <v>2916</v>
      </c>
      <c r="X681" s="132">
        <v>674</v>
      </c>
      <c r="Y681" s="6"/>
    </row>
    <row r="682" spans="1:25" ht="15" customHeight="1" x14ac:dyDescent="0.25">
      <c r="A682" s="12" t="s">
        <v>2917</v>
      </c>
      <c r="B682" s="13" t="s">
        <v>4977</v>
      </c>
      <c r="C682" s="14">
        <v>46431</v>
      </c>
      <c r="D682" s="13" t="s">
        <v>33</v>
      </c>
      <c r="E682" s="6" t="s">
        <v>2918</v>
      </c>
      <c r="F682" s="15" t="s">
        <v>8770</v>
      </c>
      <c r="G682" s="6" t="s">
        <v>2919</v>
      </c>
      <c r="H682" s="6" t="s">
        <v>2919</v>
      </c>
      <c r="I682" s="13" t="s">
        <v>25</v>
      </c>
      <c r="J682" s="13">
        <v>3</v>
      </c>
      <c r="K682" s="13" t="s">
        <v>1714</v>
      </c>
      <c r="L682" s="6" t="s">
        <v>2920</v>
      </c>
      <c r="M682" s="108" t="s">
        <v>2427</v>
      </c>
      <c r="N682" s="13" t="s">
        <v>136</v>
      </c>
      <c r="O682" s="13" t="s">
        <v>136</v>
      </c>
      <c r="P682" s="13" t="s">
        <v>4</v>
      </c>
      <c r="Q682" s="6" t="s">
        <v>9342</v>
      </c>
      <c r="R682" s="69" t="s">
        <v>9343</v>
      </c>
      <c r="S682" s="17" t="s">
        <v>6688</v>
      </c>
      <c r="T682" s="18">
        <v>25</v>
      </c>
      <c r="U682" s="18">
        <v>22</v>
      </c>
      <c r="V682" s="13" t="s">
        <v>2921</v>
      </c>
      <c r="X682" s="132">
        <v>675</v>
      </c>
      <c r="Y682" s="6"/>
    </row>
    <row r="683" spans="1:25" ht="15" customHeight="1" x14ac:dyDescent="0.2">
      <c r="A683" s="20" t="s">
        <v>2922</v>
      </c>
      <c r="B683" s="22" t="s">
        <v>2608</v>
      </c>
      <c r="C683" s="14">
        <v>45970</v>
      </c>
      <c r="D683" s="13" t="s">
        <v>1533</v>
      </c>
      <c r="E683" s="6" t="s">
        <v>2923</v>
      </c>
      <c r="F683" s="15" t="s">
        <v>8774</v>
      </c>
      <c r="G683" s="6" t="s">
        <v>2924</v>
      </c>
      <c r="H683" s="147" t="s">
        <v>2924</v>
      </c>
      <c r="I683" s="13" t="s">
        <v>13</v>
      </c>
      <c r="J683" s="13">
        <v>7</v>
      </c>
      <c r="K683" s="13" t="s">
        <v>6603</v>
      </c>
      <c r="L683" s="6" t="s">
        <v>3067</v>
      </c>
      <c r="M683" s="108" t="s">
        <v>3065</v>
      </c>
      <c r="N683" s="13" t="s">
        <v>3066</v>
      </c>
      <c r="O683" s="13" t="s">
        <v>1889</v>
      </c>
      <c r="P683" s="13" t="s">
        <v>68</v>
      </c>
      <c r="Q683" s="6" t="s">
        <v>2926</v>
      </c>
      <c r="R683" s="17" t="s">
        <v>2927</v>
      </c>
      <c r="S683" s="17" t="s">
        <v>2928</v>
      </c>
      <c r="T683" s="18"/>
      <c r="U683" s="18"/>
      <c r="V683" s="13" t="s">
        <v>2929</v>
      </c>
      <c r="X683" s="132">
        <v>676</v>
      </c>
      <c r="Y683" s="6"/>
    </row>
    <row r="684" spans="1:25" ht="15" customHeight="1" x14ac:dyDescent="0.2">
      <c r="A684" s="20" t="s">
        <v>2963</v>
      </c>
      <c r="B684" s="22" t="s">
        <v>2608</v>
      </c>
      <c r="C684" s="14">
        <v>45239</v>
      </c>
      <c r="D684" s="13" t="s">
        <v>1533</v>
      </c>
      <c r="E684" s="6" t="s">
        <v>2964</v>
      </c>
      <c r="F684" s="15" t="s">
        <v>8778</v>
      </c>
      <c r="G684" s="6" t="s">
        <v>2965</v>
      </c>
      <c r="H684" s="147" t="s">
        <v>2965</v>
      </c>
      <c r="I684" s="13" t="s">
        <v>39</v>
      </c>
      <c r="J684" s="13">
        <v>12</v>
      </c>
      <c r="K684" s="13" t="s">
        <v>1714</v>
      </c>
      <c r="L684" s="6" t="s">
        <v>2966</v>
      </c>
      <c r="M684" s="108" t="s">
        <v>2968</v>
      </c>
      <c r="N684" s="13" t="s">
        <v>2967</v>
      </c>
      <c r="O684" s="13" t="s">
        <v>5556</v>
      </c>
      <c r="P684" s="13" t="s">
        <v>9</v>
      </c>
      <c r="Q684" s="6"/>
      <c r="R684" s="30"/>
      <c r="S684" s="30"/>
      <c r="T684" s="18">
        <v>300</v>
      </c>
      <c r="U684" s="18">
        <v>300</v>
      </c>
      <c r="V684" s="13" t="s">
        <v>2969</v>
      </c>
      <c r="X684" s="132">
        <v>677</v>
      </c>
      <c r="Y684" s="6"/>
    </row>
    <row r="685" spans="1:25" ht="15" customHeight="1" x14ac:dyDescent="0.2">
      <c r="A685" s="20" t="s">
        <v>2981</v>
      </c>
      <c r="B685" s="22" t="s">
        <v>2608</v>
      </c>
      <c r="C685" s="14">
        <v>45239</v>
      </c>
      <c r="D685" s="13" t="s">
        <v>1533</v>
      </c>
      <c r="E685" s="6" t="s">
        <v>2982</v>
      </c>
      <c r="F685" s="15" t="s">
        <v>8777</v>
      </c>
      <c r="G685" s="6" t="s">
        <v>2983</v>
      </c>
      <c r="H685" s="147" t="s">
        <v>2983</v>
      </c>
      <c r="I685" s="13" t="s">
        <v>39</v>
      </c>
      <c r="J685" s="13">
        <v>12</v>
      </c>
      <c r="K685" s="13" t="s">
        <v>1714</v>
      </c>
      <c r="L685" s="6" t="s">
        <v>2984</v>
      </c>
      <c r="M685" s="108" t="s">
        <v>2985</v>
      </c>
      <c r="N685" s="13" t="s">
        <v>519</v>
      </c>
      <c r="O685" s="13" t="s">
        <v>519</v>
      </c>
      <c r="P685" s="13" t="s">
        <v>16</v>
      </c>
      <c r="Q685" s="6" t="s">
        <v>2986</v>
      </c>
      <c r="R685" s="17" t="s">
        <v>2988</v>
      </c>
      <c r="S685" s="17" t="s">
        <v>2987</v>
      </c>
      <c r="T685" s="18">
        <v>250</v>
      </c>
      <c r="U685" s="18">
        <v>250</v>
      </c>
      <c r="V685" s="13" t="s">
        <v>2989</v>
      </c>
      <c r="X685" s="132">
        <v>678</v>
      </c>
      <c r="Y685" s="6"/>
    </row>
    <row r="686" spans="1:25" ht="15" customHeight="1" x14ac:dyDescent="0.2">
      <c r="A686" s="20" t="s">
        <v>2990</v>
      </c>
      <c r="B686" s="22" t="s">
        <v>2608</v>
      </c>
      <c r="C686" s="14">
        <v>45239</v>
      </c>
      <c r="D686" s="13" t="s">
        <v>1533</v>
      </c>
      <c r="E686" s="6" t="s">
        <v>2991</v>
      </c>
      <c r="F686" s="15" t="s">
        <v>8776</v>
      </c>
      <c r="G686" s="6" t="s">
        <v>2992</v>
      </c>
      <c r="H686" s="147" t="s">
        <v>2992</v>
      </c>
      <c r="I686" s="13" t="s">
        <v>39</v>
      </c>
      <c r="J686" s="13">
        <v>12</v>
      </c>
      <c r="K686" s="13" t="s">
        <v>1714</v>
      </c>
      <c r="L686" s="6" t="s">
        <v>7638</v>
      </c>
      <c r="M686" s="108" t="s">
        <v>7639</v>
      </c>
      <c r="N686" s="13" t="s">
        <v>7640</v>
      </c>
      <c r="O686" s="13" t="s">
        <v>61</v>
      </c>
      <c r="P686" s="13" t="s">
        <v>9</v>
      </c>
      <c r="Q686" s="6"/>
      <c r="R686" s="30"/>
      <c r="S686" s="30"/>
      <c r="T686" s="18">
        <v>1003</v>
      </c>
      <c r="U686" s="18">
        <v>827</v>
      </c>
      <c r="V686" s="13" t="s">
        <v>2993</v>
      </c>
      <c r="X686" s="132">
        <v>679</v>
      </c>
      <c r="Y686" s="6"/>
    </row>
    <row r="687" spans="1:25" ht="15" customHeight="1" x14ac:dyDescent="0.2">
      <c r="A687" s="20" t="s">
        <v>2994</v>
      </c>
      <c r="B687" s="22" t="s">
        <v>2608</v>
      </c>
      <c r="C687" s="14">
        <v>45239</v>
      </c>
      <c r="D687" s="13" t="s">
        <v>1533</v>
      </c>
      <c r="E687" s="6" t="s">
        <v>2996</v>
      </c>
      <c r="F687" s="15" t="s">
        <v>11876</v>
      </c>
      <c r="G687" s="6" t="s">
        <v>2997</v>
      </c>
      <c r="H687" s="6" t="s">
        <v>2997</v>
      </c>
      <c r="I687" s="13" t="s">
        <v>39</v>
      </c>
      <c r="J687" s="13">
        <v>12</v>
      </c>
      <c r="K687" s="13" t="s">
        <v>1714</v>
      </c>
      <c r="L687" s="6" t="s">
        <v>7642</v>
      </c>
      <c r="M687" s="108" t="s">
        <v>7536</v>
      </c>
      <c r="N687" s="13" t="s">
        <v>4589</v>
      </c>
      <c r="O687" s="13" t="s">
        <v>8</v>
      </c>
      <c r="P687" s="13" t="s">
        <v>9</v>
      </c>
      <c r="Q687" s="6" t="s">
        <v>7643</v>
      </c>
      <c r="R687" s="25" t="s">
        <v>7452</v>
      </c>
      <c r="S687" s="30"/>
      <c r="T687" s="18">
        <v>120</v>
      </c>
      <c r="U687" s="18">
        <v>120</v>
      </c>
      <c r="V687" s="13" t="s">
        <v>7396</v>
      </c>
      <c r="W687" s="13" t="s">
        <v>2995</v>
      </c>
      <c r="X687" s="132">
        <v>680</v>
      </c>
      <c r="Y687" s="6"/>
    </row>
    <row r="688" spans="1:25" ht="15" customHeight="1" x14ac:dyDescent="0.25">
      <c r="A688" s="12" t="s">
        <v>7399</v>
      </c>
      <c r="B688" s="13" t="s">
        <v>4977</v>
      </c>
      <c r="C688" s="14">
        <v>47615</v>
      </c>
      <c r="D688" s="13" t="s">
        <v>1533</v>
      </c>
      <c r="E688" s="6" t="s">
        <v>2996</v>
      </c>
      <c r="F688" s="15" t="s">
        <v>7450</v>
      </c>
      <c r="G688" s="6" t="s">
        <v>2997</v>
      </c>
      <c r="H688" s="6" t="s">
        <v>2997</v>
      </c>
      <c r="I688" s="13" t="s">
        <v>39</v>
      </c>
      <c r="J688" s="13">
        <v>12</v>
      </c>
      <c r="K688" s="13" t="s">
        <v>6574</v>
      </c>
      <c r="L688" s="6" t="s">
        <v>7535</v>
      </c>
      <c r="M688" s="108" t="s">
        <v>7536</v>
      </c>
      <c r="N688" s="13" t="s">
        <v>4589</v>
      </c>
      <c r="O688" s="13" t="s">
        <v>8</v>
      </c>
      <c r="P688" s="13" t="s">
        <v>9</v>
      </c>
      <c r="Q688" s="6" t="s">
        <v>7451</v>
      </c>
      <c r="R688" s="17" t="s">
        <v>7452</v>
      </c>
      <c r="S688" s="69" t="s">
        <v>11646</v>
      </c>
      <c r="T688" s="18">
        <v>120</v>
      </c>
      <c r="U688" s="18">
        <v>120</v>
      </c>
      <c r="V688" s="13" t="s">
        <v>7396</v>
      </c>
      <c r="W688" s="13"/>
      <c r="X688" s="132">
        <v>681</v>
      </c>
      <c r="Y688" s="6"/>
    </row>
    <row r="689" spans="1:25" ht="15" customHeight="1" x14ac:dyDescent="0.2">
      <c r="A689" s="20" t="s">
        <v>2998</v>
      </c>
      <c r="B689" s="22" t="s">
        <v>2608</v>
      </c>
      <c r="C689" s="14">
        <v>45239</v>
      </c>
      <c r="D689" s="13" t="s">
        <v>1533</v>
      </c>
      <c r="E689" s="6" t="s">
        <v>3000</v>
      </c>
      <c r="F689" s="15" t="s">
        <v>11877</v>
      </c>
      <c r="G689" s="6" t="s">
        <v>3001</v>
      </c>
      <c r="H689" s="147" t="s">
        <v>3001</v>
      </c>
      <c r="I689" s="13" t="s">
        <v>39</v>
      </c>
      <c r="J689" s="13">
        <v>12</v>
      </c>
      <c r="K689" s="13" t="s">
        <v>1714</v>
      </c>
      <c r="L689" s="6" t="s">
        <v>7644</v>
      </c>
      <c r="M689" s="108">
        <v>5415030</v>
      </c>
      <c r="N689" s="13" t="s">
        <v>36</v>
      </c>
      <c r="O689" s="13" t="s">
        <v>36</v>
      </c>
      <c r="P689" s="13" t="s">
        <v>4</v>
      </c>
      <c r="Q689" s="6">
        <v>5121019792</v>
      </c>
      <c r="R689" s="30" t="s">
        <v>7645</v>
      </c>
      <c r="S689" s="30"/>
      <c r="T689" s="18">
        <v>258</v>
      </c>
      <c r="U689" s="18">
        <v>380</v>
      </c>
      <c r="V689" s="13" t="s">
        <v>2999</v>
      </c>
      <c r="X689" s="132">
        <v>682</v>
      </c>
      <c r="Y689" s="6"/>
    </row>
    <row r="690" spans="1:25" ht="15" customHeight="1" x14ac:dyDescent="0.2">
      <c r="A690" s="20" t="s">
        <v>3021</v>
      </c>
      <c r="B690" s="22" t="s">
        <v>2608</v>
      </c>
      <c r="C690" s="14">
        <v>45239</v>
      </c>
      <c r="D690" s="13" t="s">
        <v>1533</v>
      </c>
      <c r="E690" s="6" t="s">
        <v>3025</v>
      </c>
      <c r="F690" s="15" t="s">
        <v>11878</v>
      </c>
      <c r="G690" s="6" t="s">
        <v>3026</v>
      </c>
      <c r="H690" s="147" t="s">
        <v>3026</v>
      </c>
      <c r="I690" s="13" t="s">
        <v>39</v>
      </c>
      <c r="J690" s="13">
        <v>12</v>
      </c>
      <c r="K690" s="13" t="s">
        <v>1714</v>
      </c>
      <c r="L690" s="6" t="s">
        <v>3027</v>
      </c>
      <c r="M690" s="108" t="s">
        <v>3028</v>
      </c>
      <c r="N690" s="13" t="s">
        <v>3029</v>
      </c>
      <c r="O690" s="13" t="s">
        <v>136</v>
      </c>
      <c r="P690" s="13" t="s">
        <v>4</v>
      </c>
      <c r="Q690" s="6" t="s">
        <v>3030</v>
      </c>
      <c r="R690" s="17" t="s">
        <v>3031</v>
      </c>
      <c r="S690" s="17" t="s">
        <v>3032</v>
      </c>
      <c r="T690" s="18">
        <v>80</v>
      </c>
      <c r="U690" s="18">
        <v>80</v>
      </c>
      <c r="V690" s="13" t="s">
        <v>3033</v>
      </c>
      <c r="X690" s="132">
        <v>683</v>
      </c>
      <c r="Y690" s="6"/>
    </row>
    <row r="691" spans="1:25" ht="15" customHeight="1" x14ac:dyDescent="0.2">
      <c r="A691" s="12" t="s">
        <v>3022</v>
      </c>
      <c r="B691" s="13" t="s">
        <v>4977</v>
      </c>
      <c r="C691" s="14">
        <v>46201</v>
      </c>
      <c r="D691" s="13" t="s">
        <v>1533</v>
      </c>
      <c r="E691" s="6" t="s">
        <v>3034</v>
      </c>
      <c r="F691" s="15" t="s">
        <v>7551</v>
      </c>
      <c r="G691" s="6" t="s">
        <v>3035</v>
      </c>
      <c r="H691" s="6" t="s">
        <v>3035</v>
      </c>
      <c r="I691" s="13" t="s">
        <v>39</v>
      </c>
      <c r="J691" s="13">
        <v>12</v>
      </c>
      <c r="K691" s="13" t="s">
        <v>1714</v>
      </c>
      <c r="L691" s="6" t="s">
        <v>3036</v>
      </c>
      <c r="M691" s="108" t="s">
        <v>3037</v>
      </c>
      <c r="N691" s="13" t="s">
        <v>3038</v>
      </c>
      <c r="O691" s="13" t="s">
        <v>177</v>
      </c>
      <c r="P691" s="13" t="s">
        <v>9</v>
      </c>
      <c r="Q691" s="6" t="s">
        <v>7552</v>
      </c>
      <c r="R691" s="17" t="s">
        <v>7553</v>
      </c>
      <c r="S691" s="17" t="s">
        <v>3039</v>
      </c>
      <c r="T691" s="18">
        <v>100</v>
      </c>
      <c r="U691" s="18">
        <v>100</v>
      </c>
      <c r="V691" s="13" t="s">
        <v>3040</v>
      </c>
      <c r="X691" s="132">
        <v>684</v>
      </c>
      <c r="Y691" s="6"/>
    </row>
    <row r="692" spans="1:25" ht="15" customHeight="1" x14ac:dyDescent="0.25">
      <c r="A692" s="12" t="s">
        <v>3023</v>
      </c>
      <c r="B692" s="13" t="s">
        <v>4977</v>
      </c>
      <c r="C692" s="14">
        <v>46675</v>
      </c>
      <c r="D692" s="13" t="s">
        <v>1533</v>
      </c>
      <c r="E692" s="6" t="s">
        <v>3041</v>
      </c>
      <c r="F692" s="15" t="s">
        <v>6302</v>
      </c>
      <c r="G692" s="6" t="s">
        <v>3042</v>
      </c>
      <c r="H692" s="6" t="s">
        <v>3042</v>
      </c>
      <c r="I692" s="13" t="s">
        <v>39</v>
      </c>
      <c r="J692" s="13">
        <v>12</v>
      </c>
      <c r="K692" s="13" t="s">
        <v>1714</v>
      </c>
      <c r="L692" s="6" t="s">
        <v>10658</v>
      </c>
      <c r="M692" s="108" t="s">
        <v>3043</v>
      </c>
      <c r="N692" s="13" t="s">
        <v>36</v>
      </c>
      <c r="O692" s="13" t="s">
        <v>36</v>
      </c>
      <c r="P692" s="13" t="s">
        <v>4</v>
      </c>
      <c r="Q692" s="6" t="s">
        <v>10659</v>
      </c>
      <c r="R692" s="69" t="s">
        <v>10660</v>
      </c>
      <c r="S692" s="17" t="s">
        <v>3044</v>
      </c>
      <c r="T692" s="18">
        <v>2500</v>
      </c>
      <c r="U692" s="18">
        <v>627</v>
      </c>
      <c r="V692" s="13" t="s">
        <v>3045</v>
      </c>
      <c r="X692" s="132">
        <v>685</v>
      </c>
      <c r="Y692" s="6"/>
    </row>
    <row r="693" spans="1:25" ht="15" customHeight="1" x14ac:dyDescent="0.2">
      <c r="A693" s="20" t="s">
        <v>3024</v>
      </c>
      <c r="B693" s="22" t="s">
        <v>2608</v>
      </c>
      <c r="C693" s="14">
        <v>45975</v>
      </c>
      <c r="D693" s="13" t="s">
        <v>1533</v>
      </c>
      <c r="E693" s="6" t="s">
        <v>3046</v>
      </c>
      <c r="F693" s="15" t="s">
        <v>3047</v>
      </c>
      <c r="G693" s="6" t="s">
        <v>3392</v>
      </c>
      <c r="H693" s="6" t="s">
        <v>3392</v>
      </c>
      <c r="I693" s="13" t="s">
        <v>39</v>
      </c>
      <c r="J693" s="13">
        <v>12</v>
      </c>
      <c r="K693" s="13" t="s">
        <v>1714</v>
      </c>
      <c r="L693" s="6" t="s">
        <v>6147</v>
      </c>
      <c r="M693" s="108" t="s">
        <v>6148</v>
      </c>
      <c r="N693" s="13" t="s">
        <v>2536</v>
      </c>
      <c r="O693" s="13" t="s">
        <v>128</v>
      </c>
      <c r="P693" s="13" t="s">
        <v>16</v>
      </c>
      <c r="Q693" s="6" t="s">
        <v>3393</v>
      </c>
      <c r="R693" s="17" t="s">
        <v>3394</v>
      </c>
      <c r="S693" s="17" t="s">
        <v>3395</v>
      </c>
      <c r="T693" s="18">
        <v>449</v>
      </c>
      <c r="U693" s="18">
        <v>629</v>
      </c>
      <c r="V693" s="13" t="s">
        <v>3391</v>
      </c>
      <c r="X693" s="132">
        <v>686</v>
      </c>
      <c r="Y693" s="6"/>
    </row>
    <row r="694" spans="1:25" ht="15" customHeight="1" x14ac:dyDescent="0.2">
      <c r="A694" s="12" t="s">
        <v>5752</v>
      </c>
      <c r="B694" s="13" t="s">
        <v>4977</v>
      </c>
      <c r="C694" s="14">
        <v>46614</v>
      </c>
      <c r="D694" s="13" t="s">
        <v>1533</v>
      </c>
      <c r="E694" s="6" t="s">
        <v>3046</v>
      </c>
      <c r="F694" s="15" t="s">
        <v>5753</v>
      </c>
      <c r="G694" s="6" t="s">
        <v>3392</v>
      </c>
      <c r="H694" s="6" t="s">
        <v>3392</v>
      </c>
      <c r="I694" s="13" t="s">
        <v>39</v>
      </c>
      <c r="J694" s="13">
        <v>12</v>
      </c>
      <c r="K694" s="13" t="s">
        <v>6574</v>
      </c>
      <c r="L694" s="6" t="s">
        <v>6147</v>
      </c>
      <c r="M694" s="108" t="s">
        <v>6148</v>
      </c>
      <c r="N694" s="13" t="s">
        <v>2536</v>
      </c>
      <c r="O694" s="13" t="s">
        <v>128</v>
      </c>
      <c r="P694" s="13" t="s">
        <v>16</v>
      </c>
      <c r="Q694" s="6" t="s">
        <v>5754</v>
      </c>
      <c r="R694" s="17" t="s">
        <v>3394</v>
      </c>
      <c r="S694" s="17" t="s">
        <v>3395</v>
      </c>
      <c r="T694" s="18">
        <v>110</v>
      </c>
      <c r="U694" s="18">
        <v>110</v>
      </c>
      <c r="V694" s="13" t="s">
        <v>3391</v>
      </c>
      <c r="X694" s="132">
        <v>687</v>
      </c>
      <c r="Y694" s="6"/>
    </row>
    <row r="695" spans="1:25" ht="15" customHeight="1" x14ac:dyDescent="0.2">
      <c r="A695" s="12" t="s">
        <v>9288</v>
      </c>
      <c r="B695" s="13" t="s">
        <v>4977</v>
      </c>
      <c r="C695" s="14">
        <v>46431</v>
      </c>
      <c r="D695" s="13" t="s">
        <v>1533</v>
      </c>
      <c r="E695" s="6" t="s">
        <v>3046</v>
      </c>
      <c r="F695" s="15" t="s">
        <v>9289</v>
      </c>
      <c r="G695" s="6" t="s">
        <v>3392</v>
      </c>
      <c r="H695" s="6" t="s">
        <v>3392</v>
      </c>
      <c r="I695" s="13" t="s">
        <v>39</v>
      </c>
      <c r="J695" s="13">
        <v>12</v>
      </c>
      <c r="K695" s="13" t="s">
        <v>6574</v>
      </c>
      <c r="L695" s="6" t="s">
        <v>6147</v>
      </c>
      <c r="M695" s="108" t="s">
        <v>6148</v>
      </c>
      <c r="N695" s="13" t="s">
        <v>2536</v>
      </c>
      <c r="O695" s="13" t="s">
        <v>128</v>
      </c>
      <c r="P695" s="13" t="s">
        <v>16</v>
      </c>
      <c r="Q695" s="6" t="s">
        <v>5754</v>
      </c>
      <c r="R695" s="17" t="s">
        <v>3394</v>
      </c>
      <c r="S695" s="17" t="s">
        <v>3395</v>
      </c>
      <c r="T695" s="18">
        <v>110</v>
      </c>
      <c r="U695" s="18">
        <v>110</v>
      </c>
      <c r="V695" s="13" t="s">
        <v>9290</v>
      </c>
      <c r="X695" s="132">
        <v>688</v>
      </c>
      <c r="Y695" s="6"/>
    </row>
    <row r="696" spans="1:25" ht="15" customHeight="1" x14ac:dyDescent="0.25">
      <c r="A696" s="12" t="s">
        <v>10312</v>
      </c>
      <c r="B696" s="79" t="s">
        <v>4977</v>
      </c>
      <c r="C696" s="80">
        <v>46584</v>
      </c>
      <c r="D696" s="79" t="s">
        <v>1533</v>
      </c>
      <c r="E696" s="81" t="s">
        <v>3046</v>
      </c>
      <c r="F696" s="82" t="s">
        <v>10313</v>
      </c>
      <c r="G696" s="81" t="s">
        <v>3392</v>
      </c>
      <c r="H696" s="81" t="s">
        <v>3392</v>
      </c>
      <c r="I696" s="79" t="s">
        <v>39</v>
      </c>
      <c r="J696" s="79">
        <v>12</v>
      </c>
      <c r="K696" s="79" t="s">
        <v>6574</v>
      </c>
      <c r="L696" s="81" t="s">
        <v>6147</v>
      </c>
      <c r="M696" s="109" t="s">
        <v>6148</v>
      </c>
      <c r="N696" s="79" t="s">
        <v>2536</v>
      </c>
      <c r="O696" s="13" t="s">
        <v>128</v>
      </c>
      <c r="P696" s="13" t="s">
        <v>16</v>
      </c>
      <c r="Q696" s="81" t="s">
        <v>5754</v>
      </c>
      <c r="R696" s="69" t="s">
        <v>3394</v>
      </c>
      <c r="S696" s="69" t="s">
        <v>3395</v>
      </c>
      <c r="T696" s="85">
        <v>110</v>
      </c>
      <c r="U696" s="85">
        <v>110</v>
      </c>
      <c r="V696" s="79" t="s">
        <v>10314</v>
      </c>
      <c r="W696" s="81"/>
      <c r="X696" s="132">
        <v>689</v>
      </c>
      <c r="Y696" s="6"/>
    </row>
    <row r="697" spans="1:25" ht="15" customHeight="1" x14ac:dyDescent="0.25">
      <c r="A697" s="12" t="s">
        <v>3071</v>
      </c>
      <c r="B697" s="13" t="s">
        <v>4978</v>
      </c>
      <c r="C697" s="74">
        <v>47552</v>
      </c>
      <c r="D697" s="13" t="s">
        <v>1533</v>
      </c>
      <c r="E697" s="6" t="s">
        <v>3073</v>
      </c>
      <c r="F697" s="15" t="s">
        <v>11303</v>
      </c>
      <c r="G697" s="6" t="s">
        <v>3072</v>
      </c>
      <c r="H697" s="6" t="s">
        <v>11304</v>
      </c>
      <c r="I697" s="13" t="s">
        <v>2702</v>
      </c>
      <c r="J697" s="13">
        <v>11</v>
      </c>
      <c r="K697" s="13" t="s">
        <v>6603</v>
      </c>
      <c r="L697" s="6" t="s">
        <v>3074</v>
      </c>
      <c r="M697" s="108" t="s">
        <v>3075</v>
      </c>
      <c r="N697" s="13" t="s">
        <v>3076</v>
      </c>
      <c r="O697" s="13" t="s">
        <v>11949</v>
      </c>
      <c r="P697" s="13" t="s">
        <v>68</v>
      </c>
      <c r="Q697" s="6" t="s">
        <v>11305</v>
      </c>
      <c r="R697" s="69" t="s">
        <v>11306</v>
      </c>
      <c r="S697" s="17" t="s">
        <v>3077</v>
      </c>
      <c r="T697" s="18">
        <v>90</v>
      </c>
      <c r="U697" s="18">
        <v>35</v>
      </c>
      <c r="V697" s="13" t="s">
        <v>3078</v>
      </c>
      <c r="X697" s="132">
        <v>690</v>
      </c>
      <c r="Y697" s="6"/>
    </row>
    <row r="698" spans="1:25" ht="15" customHeight="1" x14ac:dyDescent="0.2">
      <c r="A698" s="20" t="s">
        <v>3079</v>
      </c>
      <c r="B698" s="22" t="s">
        <v>2608</v>
      </c>
      <c r="C698" s="14">
        <v>45273</v>
      </c>
      <c r="D698" s="13" t="s">
        <v>33</v>
      </c>
      <c r="E698" s="6" t="s">
        <v>3082</v>
      </c>
      <c r="F698" s="15" t="s">
        <v>11879</v>
      </c>
      <c r="G698" s="6" t="s">
        <v>3081</v>
      </c>
      <c r="H698" s="147" t="s">
        <v>3081</v>
      </c>
      <c r="I698" s="13" t="s">
        <v>25</v>
      </c>
      <c r="J698" s="13">
        <v>3</v>
      </c>
      <c r="K698" s="13" t="s">
        <v>1714</v>
      </c>
      <c r="L698" s="6" t="s">
        <v>3083</v>
      </c>
      <c r="M698" s="108" t="s">
        <v>3084</v>
      </c>
      <c r="N698" s="13" t="s">
        <v>136</v>
      </c>
      <c r="O698" s="13" t="s">
        <v>136</v>
      </c>
      <c r="P698" s="13" t="s">
        <v>4</v>
      </c>
      <c r="Q698" s="6" t="s">
        <v>3085</v>
      </c>
      <c r="R698" s="30"/>
      <c r="S698" s="17" t="s">
        <v>3086</v>
      </c>
      <c r="T698" s="18">
        <v>25</v>
      </c>
      <c r="U698" s="18">
        <v>12</v>
      </c>
      <c r="V698" s="13" t="s">
        <v>3080</v>
      </c>
      <c r="X698" s="132">
        <v>691</v>
      </c>
      <c r="Y698" s="6"/>
    </row>
    <row r="699" spans="1:25" ht="15" customHeight="1" x14ac:dyDescent="0.2">
      <c r="A699" s="20" t="s">
        <v>3126</v>
      </c>
      <c r="B699" s="22" t="s">
        <v>2608</v>
      </c>
      <c r="C699" s="14">
        <v>46004</v>
      </c>
      <c r="D699" s="13" t="s">
        <v>1533</v>
      </c>
      <c r="E699" s="6" t="s">
        <v>3087</v>
      </c>
      <c r="F699" s="15" t="s">
        <v>11880</v>
      </c>
      <c r="G699" s="6" t="s">
        <v>3088</v>
      </c>
      <c r="H699" s="147" t="s">
        <v>3088</v>
      </c>
      <c r="I699" s="13" t="s">
        <v>13</v>
      </c>
      <c r="J699" s="13">
        <v>7</v>
      </c>
      <c r="K699" s="13" t="s">
        <v>6603</v>
      </c>
      <c r="L699" s="6" t="s">
        <v>3090</v>
      </c>
      <c r="M699" s="108" t="s">
        <v>3091</v>
      </c>
      <c r="N699" s="13" t="s">
        <v>3092</v>
      </c>
      <c r="O699" s="13" t="s">
        <v>128</v>
      </c>
      <c r="P699" s="13" t="s">
        <v>16</v>
      </c>
      <c r="Q699" s="6" t="s">
        <v>3104</v>
      </c>
      <c r="R699" s="17" t="s">
        <v>3093</v>
      </c>
      <c r="S699" s="17" t="s">
        <v>3103</v>
      </c>
      <c r="T699" s="18">
        <v>130</v>
      </c>
      <c r="U699" s="18"/>
      <c r="V699" s="13" t="s">
        <v>3089</v>
      </c>
      <c r="X699" s="132">
        <v>692</v>
      </c>
      <c r="Y699" s="6"/>
    </row>
    <row r="700" spans="1:25" ht="15" customHeight="1" x14ac:dyDescent="0.2">
      <c r="A700" s="20" t="s">
        <v>3127</v>
      </c>
      <c r="B700" s="22" t="s">
        <v>2608</v>
      </c>
      <c r="C700" s="14">
        <v>46004</v>
      </c>
      <c r="D700" s="13" t="s">
        <v>1533</v>
      </c>
      <c r="E700" s="6" t="s">
        <v>3087</v>
      </c>
      <c r="F700" s="15" t="s">
        <v>11881</v>
      </c>
      <c r="G700" s="6" t="s">
        <v>3088</v>
      </c>
      <c r="H700" s="147" t="s">
        <v>3088</v>
      </c>
      <c r="I700" s="13" t="s">
        <v>13</v>
      </c>
      <c r="J700" s="13">
        <v>7</v>
      </c>
      <c r="K700" s="13" t="s">
        <v>6603</v>
      </c>
      <c r="L700" s="6" t="s">
        <v>3094</v>
      </c>
      <c r="M700" s="108" t="s">
        <v>3095</v>
      </c>
      <c r="N700" s="13" t="s">
        <v>3096</v>
      </c>
      <c r="O700" s="13" t="s">
        <v>128</v>
      </c>
      <c r="P700" s="13" t="s">
        <v>16</v>
      </c>
      <c r="Q700" s="6" t="s">
        <v>3105</v>
      </c>
      <c r="R700" s="17" t="s">
        <v>3093</v>
      </c>
      <c r="S700" s="17" t="s">
        <v>3103</v>
      </c>
      <c r="T700" s="18">
        <v>130</v>
      </c>
      <c r="U700" s="18"/>
      <c r="V700" s="13" t="s">
        <v>3089</v>
      </c>
      <c r="X700" s="132">
        <v>693</v>
      </c>
      <c r="Y700" s="6"/>
    </row>
    <row r="701" spans="1:25" ht="15" customHeight="1" x14ac:dyDescent="0.2">
      <c r="A701" s="20" t="s">
        <v>3128</v>
      </c>
      <c r="B701" s="22" t="s">
        <v>2608</v>
      </c>
      <c r="C701" s="14">
        <v>46004</v>
      </c>
      <c r="D701" s="13" t="s">
        <v>1533</v>
      </c>
      <c r="E701" s="6" t="s">
        <v>3087</v>
      </c>
      <c r="F701" s="15" t="s">
        <v>11882</v>
      </c>
      <c r="G701" s="6" t="s">
        <v>3088</v>
      </c>
      <c r="H701" s="147" t="s">
        <v>3088</v>
      </c>
      <c r="I701" s="13" t="s">
        <v>13</v>
      </c>
      <c r="J701" s="13">
        <v>7</v>
      </c>
      <c r="K701" s="13" t="s">
        <v>6603</v>
      </c>
      <c r="L701" s="6" t="s">
        <v>3097</v>
      </c>
      <c r="M701" s="108" t="s">
        <v>3098</v>
      </c>
      <c r="N701" s="13" t="s">
        <v>3092</v>
      </c>
      <c r="O701" s="13" t="s">
        <v>128</v>
      </c>
      <c r="P701" s="13" t="s">
        <v>16</v>
      </c>
      <c r="Q701" s="6" t="s">
        <v>3106</v>
      </c>
      <c r="R701" s="17" t="s">
        <v>3093</v>
      </c>
      <c r="S701" s="17" t="s">
        <v>3103</v>
      </c>
      <c r="T701" s="18">
        <v>100</v>
      </c>
      <c r="U701" s="18"/>
      <c r="V701" s="13" t="s">
        <v>3089</v>
      </c>
      <c r="X701" s="132">
        <v>694</v>
      </c>
      <c r="Y701" s="6"/>
    </row>
    <row r="702" spans="1:25" ht="15" customHeight="1" x14ac:dyDescent="0.2">
      <c r="A702" s="20" t="s">
        <v>3129</v>
      </c>
      <c r="B702" s="22" t="s">
        <v>2608</v>
      </c>
      <c r="C702" s="14">
        <v>46004</v>
      </c>
      <c r="D702" s="13" t="s">
        <v>1533</v>
      </c>
      <c r="E702" s="6" t="s">
        <v>3087</v>
      </c>
      <c r="F702" s="15" t="s">
        <v>11883</v>
      </c>
      <c r="G702" s="6" t="s">
        <v>3088</v>
      </c>
      <c r="H702" s="147" t="s">
        <v>3088</v>
      </c>
      <c r="I702" s="13" t="s">
        <v>13</v>
      </c>
      <c r="J702" s="13">
        <v>7</v>
      </c>
      <c r="K702" s="13" t="s">
        <v>6603</v>
      </c>
      <c r="L702" s="6" t="s">
        <v>3099</v>
      </c>
      <c r="M702" s="108" t="s">
        <v>3100</v>
      </c>
      <c r="N702" s="13" t="s">
        <v>3092</v>
      </c>
      <c r="O702" s="13" t="s">
        <v>128</v>
      </c>
      <c r="P702" s="13" t="s">
        <v>16</v>
      </c>
      <c r="Q702" s="6" t="s">
        <v>3107</v>
      </c>
      <c r="R702" s="17" t="s">
        <v>3093</v>
      </c>
      <c r="S702" s="17" t="s">
        <v>3103</v>
      </c>
      <c r="T702" s="18">
        <v>100</v>
      </c>
      <c r="U702" s="18"/>
      <c r="V702" s="13" t="s">
        <v>3089</v>
      </c>
      <c r="X702" s="132">
        <v>695</v>
      </c>
      <c r="Y702" s="6"/>
    </row>
    <row r="703" spans="1:25" ht="15" customHeight="1" x14ac:dyDescent="0.2">
      <c r="A703" s="20" t="s">
        <v>3130</v>
      </c>
      <c r="B703" s="22" t="s">
        <v>2608</v>
      </c>
      <c r="C703" s="14">
        <v>46004</v>
      </c>
      <c r="D703" s="13" t="s">
        <v>1533</v>
      </c>
      <c r="E703" s="6" t="s">
        <v>3087</v>
      </c>
      <c r="F703" s="15" t="s">
        <v>11884</v>
      </c>
      <c r="G703" s="6" t="s">
        <v>3088</v>
      </c>
      <c r="H703" s="147" t="s">
        <v>3088</v>
      </c>
      <c r="I703" s="13" t="s">
        <v>13</v>
      </c>
      <c r="J703" s="13">
        <v>7</v>
      </c>
      <c r="K703" s="13" t="s">
        <v>6603</v>
      </c>
      <c r="L703" s="6" t="s">
        <v>3108</v>
      </c>
      <c r="M703" s="108" t="s">
        <v>3109</v>
      </c>
      <c r="N703" s="13" t="s">
        <v>3110</v>
      </c>
      <c r="O703" s="13" t="s">
        <v>128</v>
      </c>
      <c r="P703" s="13" t="s">
        <v>16</v>
      </c>
      <c r="Q703" s="6" t="s">
        <v>3111</v>
      </c>
      <c r="R703" s="17" t="s">
        <v>3093</v>
      </c>
      <c r="S703" s="17" t="s">
        <v>3103</v>
      </c>
      <c r="T703" s="18"/>
      <c r="U703" s="18"/>
      <c r="V703" s="13" t="s">
        <v>3089</v>
      </c>
      <c r="X703" s="132">
        <v>696</v>
      </c>
      <c r="Y703" s="6"/>
    </row>
    <row r="704" spans="1:25" ht="15" customHeight="1" x14ac:dyDescent="0.2">
      <c r="A704" s="20" t="s">
        <v>3131</v>
      </c>
      <c r="B704" s="22" t="s">
        <v>2608</v>
      </c>
      <c r="C704" s="14">
        <v>46004</v>
      </c>
      <c r="D704" s="13" t="s">
        <v>1533</v>
      </c>
      <c r="E704" s="6" t="s">
        <v>3087</v>
      </c>
      <c r="F704" s="15" t="s">
        <v>11885</v>
      </c>
      <c r="G704" s="6" t="s">
        <v>3088</v>
      </c>
      <c r="H704" s="147" t="s">
        <v>3088</v>
      </c>
      <c r="I704" s="13" t="s">
        <v>13</v>
      </c>
      <c r="J704" s="13">
        <v>7</v>
      </c>
      <c r="K704" s="13" t="s">
        <v>6603</v>
      </c>
      <c r="L704" s="6" t="s">
        <v>3101</v>
      </c>
      <c r="M704" s="108" t="s">
        <v>3102</v>
      </c>
      <c r="N704" s="13" t="s">
        <v>2536</v>
      </c>
      <c r="O704" s="13" t="s">
        <v>128</v>
      </c>
      <c r="P704" s="13" t="s">
        <v>16</v>
      </c>
      <c r="Q704" s="6" t="s">
        <v>3112</v>
      </c>
      <c r="R704" s="17" t="s">
        <v>3093</v>
      </c>
      <c r="S704" s="17" t="s">
        <v>3103</v>
      </c>
      <c r="T704" s="18"/>
      <c r="U704" s="18"/>
      <c r="V704" s="13" t="s">
        <v>3089</v>
      </c>
      <c r="X704" s="132">
        <v>697</v>
      </c>
      <c r="Y704" s="6"/>
    </row>
    <row r="705" spans="1:25" ht="15" customHeight="1" x14ac:dyDescent="0.25">
      <c r="A705" s="12" t="s">
        <v>3132</v>
      </c>
      <c r="B705" s="13" t="s">
        <v>4978</v>
      </c>
      <c r="C705" s="74">
        <v>47615</v>
      </c>
      <c r="D705" s="13" t="s">
        <v>1533</v>
      </c>
      <c r="E705" s="6" t="s">
        <v>11568</v>
      </c>
      <c r="F705" s="15" t="s">
        <v>11569</v>
      </c>
      <c r="G705" s="6" t="s">
        <v>3116</v>
      </c>
      <c r="H705" s="6" t="s">
        <v>3116</v>
      </c>
      <c r="I705" s="13" t="s">
        <v>25</v>
      </c>
      <c r="J705" s="13">
        <v>5</v>
      </c>
      <c r="K705" s="13" t="s">
        <v>1714</v>
      </c>
      <c r="L705" s="6" t="s">
        <v>3118</v>
      </c>
      <c r="M705" s="108" t="s">
        <v>6713</v>
      </c>
      <c r="N705" s="13" t="s">
        <v>11570</v>
      </c>
      <c r="O705" s="13" t="s">
        <v>21</v>
      </c>
      <c r="P705" s="13" t="s">
        <v>9</v>
      </c>
      <c r="Q705" s="6" t="s">
        <v>6714</v>
      </c>
      <c r="R705" s="69" t="s">
        <v>11571</v>
      </c>
      <c r="S705" s="17"/>
      <c r="T705" s="18">
        <v>30</v>
      </c>
      <c r="U705" s="18">
        <v>30</v>
      </c>
      <c r="V705" s="13" t="s">
        <v>6612</v>
      </c>
      <c r="W705" s="13" t="s">
        <v>3117</v>
      </c>
      <c r="X705" s="132">
        <v>698</v>
      </c>
      <c r="Y705" s="6"/>
    </row>
    <row r="706" spans="1:25" ht="15" customHeight="1" x14ac:dyDescent="0.2">
      <c r="A706" s="20" t="s">
        <v>3133</v>
      </c>
      <c r="B706" s="22" t="s">
        <v>2608</v>
      </c>
      <c r="C706" s="14">
        <v>46004</v>
      </c>
      <c r="D706" s="13" t="s">
        <v>33</v>
      </c>
      <c r="E706" s="6" t="s">
        <v>3144</v>
      </c>
      <c r="G706" s="6" t="s">
        <v>3145</v>
      </c>
      <c r="H706" s="147" t="s">
        <v>3145</v>
      </c>
      <c r="I706" s="13" t="s">
        <v>25</v>
      </c>
      <c r="J706" s="13">
        <v>3</v>
      </c>
      <c r="K706" s="13" t="s">
        <v>1714</v>
      </c>
      <c r="L706" s="6" t="s">
        <v>3146</v>
      </c>
      <c r="M706" s="108" t="s">
        <v>3147</v>
      </c>
      <c r="N706" s="13" t="s">
        <v>3148</v>
      </c>
      <c r="O706" s="13" t="s">
        <v>11948</v>
      </c>
      <c r="P706" s="13" t="s">
        <v>68</v>
      </c>
      <c r="Q706" s="6" t="s">
        <v>3149</v>
      </c>
      <c r="R706" s="30" t="s">
        <v>3150</v>
      </c>
      <c r="S706" s="17" t="s">
        <v>6634</v>
      </c>
      <c r="T706" s="18">
        <v>34</v>
      </c>
      <c r="U706" s="18">
        <v>19</v>
      </c>
      <c r="V706" s="13" t="s">
        <v>3143</v>
      </c>
      <c r="X706" s="132">
        <v>699</v>
      </c>
      <c r="Y706" s="6"/>
    </row>
    <row r="707" spans="1:25" ht="15" customHeight="1" x14ac:dyDescent="0.2">
      <c r="A707" s="20" t="s">
        <v>3152</v>
      </c>
      <c r="B707" s="22" t="s">
        <v>2608</v>
      </c>
      <c r="C707" s="14">
        <v>45273</v>
      </c>
      <c r="D707" s="13" t="s">
        <v>33</v>
      </c>
      <c r="E707" s="6" t="s">
        <v>3151</v>
      </c>
      <c r="F707" s="15" t="s">
        <v>7073</v>
      </c>
      <c r="G707" s="6" t="s">
        <v>3154</v>
      </c>
      <c r="H707" s="6" t="s">
        <v>3154</v>
      </c>
      <c r="I707" s="13" t="s">
        <v>25</v>
      </c>
      <c r="J707" s="13">
        <v>3</v>
      </c>
      <c r="K707" s="13" t="s">
        <v>1714</v>
      </c>
      <c r="L707" s="6" t="s">
        <v>7074</v>
      </c>
      <c r="M707" s="108" t="s">
        <v>7075</v>
      </c>
      <c r="N707" s="13" t="s">
        <v>3155</v>
      </c>
      <c r="O707" s="13" t="s">
        <v>743</v>
      </c>
      <c r="P707" s="13" t="s">
        <v>16</v>
      </c>
      <c r="Q707" s="6" t="s">
        <v>3156</v>
      </c>
      <c r="R707" s="17" t="s">
        <v>3157</v>
      </c>
      <c r="S707" s="17" t="s">
        <v>3158</v>
      </c>
      <c r="T707" s="18">
        <v>18</v>
      </c>
      <c r="U707" s="18">
        <v>16</v>
      </c>
      <c r="V707" s="13" t="s">
        <v>7076</v>
      </c>
      <c r="W707" s="13" t="s">
        <v>3153</v>
      </c>
      <c r="X707" s="132">
        <v>700</v>
      </c>
      <c r="Y707" s="6"/>
    </row>
    <row r="708" spans="1:25" ht="15" customHeight="1" x14ac:dyDescent="0.25">
      <c r="A708" s="12" t="s">
        <v>3164</v>
      </c>
      <c r="B708" s="13" t="s">
        <v>4978</v>
      </c>
      <c r="C708" s="74">
        <v>47464</v>
      </c>
      <c r="D708" s="13" t="s">
        <v>1533</v>
      </c>
      <c r="E708" s="6" t="s">
        <v>3167</v>
      </c>
      <c r="F708" s="15" t="s">
        <v>11041</v>
      </c>
      <c r="G708" s="6" t="s">
        <v>3168</v>
      </c>
      <c r="H708" s="6" t="s">
        <v>3168</v>
      </c>
      <c r="I708" s="13" t="s">
        <v>13</v>
      </c>
      <c r="J708" s="13">
        <v>7</v>
      </c>
      <c r="K708" s="13" t="s">
        <v>6603</v>
      </c>
      <c r="L708" s="6" t="s">
        <v>3169</v>
      </c>
      <c r="M708" s="108" t="s">
        <v>11042</v>
      </c>
      <c r="N708" s="13" t="s">
        <v>165</v>
      </c>
      <c r="O708" s="13" t="s">
        <v>165</v>
      </c>
      <c r="P708" s="13" t="s">
        <v>9</v>
      </c>
      <c r="Q708" s="6" t="s">
        <v>3170</v>
      </c>
      <c r="R708" s="17" t="s">
        <v>3177</v>
      </c>
      <c r="S708" s="69" t="s">
        <v>11043</v>
      </c>
      <c r="T708" s="18">
        <v>200</v>
      </c>
      <c r="U708" s="18">
        <v>100</v>
      </c>
      <c r="V708" s="13" t="s">
        <v>3171</v>
      </c>
      <c r="X708" s="132">
        <v>701</v>
      </c>
      <c r="Y708" s="6"/>
    </row>
    <row r="709" spans="1:25" ht="15" customHeight="1" x14ac:dyDescent="0.25">
      <c r="A709" s="12" t="s">
        <v>3165</v>
      </c>
      <c r="B709" s="13" t="s">
        <v>4978</v>
      </c>
      <c r="C709" s="74">
        <v>47464</v>
      </c>
      <c r="D709" s="13" t="s">
        <v>1533</v>
      </c>
      <c r="E709" s="6" t="s">
        <v>3167</v>
      </c>
      <c r="F709" s="15" t="s">
        <v>11053</v>
      </c>
      <c r="G709" s="6" t="s">
        <v>3168</v>
      </c>
      <c r="H709" s="6" t="s">
        <v>3168</v>
      </c>
      <c r="I709" s="13" t="s">
        <v>13</v>
      </c>
      <c r="J709" s="13">
        <v>7</v>
      </c>
      <c r="K709" s="13" t="s">
        <v>6603</v>
      </c>
      <c r="L709" s="6" t="s">
        <v>3172</v>
      </c>
      <c r="M709" s="108" t="s">
        <v>11054</v>
      </c>
      <c r="N709" s="13" t="s">
        <v>3173</v>
      </c>
      <c r="O709" s="13" t="s">
        <v>165</v>
      </c>
      <c r="P709" s="13" t="s">
        <v>9</v>
      </c>
      <c r="Q709" s="6" t="s">
        <v>3174</v>
      </c>
      <c r="R709" s="17" t="s">
        <v>3177</v>
      </c>
      <c r="S709" s="69" t="s">
        <v>11043</v>
      </c>
      <c r="T709" s="18">
        <v>100</v>
      </c>
      <c r="U709" s="18">
        <v>100</v>
      </c>
      <c r="V709" s="13" t="s">
        <v>3171</v>
      </c>
      <c r="X709" s="132">
        <v>702</v>
      </c>
      <c r="Y709" s="6"/>
    </row>
    <row r="710" spans="1:25" ht="15" customHeight="1" x14ac:dyDescent="0.25">
      <c r="A710" s="12" t="s">
        <v>3166</v>
      </c>
      <c r="B710" s="13" t="s">
        <v>4978</v>
      </c>
      <c r="C710" s="74">
        <v>47464</v>
      </c>
      <c r="D710" s="13" t="s">
        <v>1533</v>
      </c>
      <c r="E710" s="6" t="s">
        <v>3167</v>
      </c>
      <c r="F710" s="15" t="s">
        <v>11055</v>
      </c>
      <c r="G710" s="6" t="s">
        <v>3168</v>
      </c>
      <c r="H710" s="6" t="s">
        <v>3168</v>
      </c>
      <c r="I710" s="13" t="s">
        <v>13</v>
      </c>
      <c r="J710" s="13">
        <v>7</v>
      </c>
      <c r="K710" s="13" t="s">
        <v>6603</v>
      </c>
      <c r="L710" s="6" t="s">
        <v>3175</v>
      </c>
      <c r="M710" s="108" t="s">
        <v>11056</v>
      </c>
      <c r="N710" s="13" t="s">
        <v>11057</v>
      </c>
      <c r="O710" s="13" t="s">
        <v>165</v>
      </c>
      <c r="P710" s="13" t="s">
        <v>9</v>
      </c>
      <c r="Q710" s="6" t="s">
        <v>3176</v>
      </c>
      <c r="R710" s="17" t="s">
        <v>3177</v>
      </c>
      <c r="S710" s="69" t="s">
        <v>11043</v>
      </c>
      <c r="T710" s="18">
        <v>200</v>
      </c>
      <c r="U710" s="18">
        <v>200</v>
      </c>
      <c r="V710" s="13" t="s">
        <v>3171</v>
      </c>
      <c r="X710" s="132">
        <v>703</v>
      </c>
      <c r="Y710" s="6"/>
    </row>
    <row r="711" spans="1:25" ht="15" customHeight="1" x14ac:dyDescent="0.2">
      <c r="A711" s="12" t="s">
        <v>3178</v>
      </c>
      <c r="B711" s="24" t="s">
        <v>4978</v>
      </c>
      <c r="C711" s="14">
        <v>47679</v>
      </c>
      <c r="D711" s="13" t="s">
        <v>33</v>
      </c>
      <c r="E711" s="6" t="s">
        <v>3180</v>
      </c>
      <c r="F711" s="15" t="s">
        <v>12240</v>
      </c>
      <c r="G711" s="6" t="s">
        <v>3179</v>
      </c>
      <c r="H711" s="6" t="s">
        <v>3179</v>
      </c>
      <c r="I711" s="13" t="s">
        <v>25</v>
      </c>
      <c r="J711" s="13">
        <v>3</v>
      </c>
      <c r="K711" s="13" t="s">
        <v>1714</v>
      </c>
      <c r="L711" s="6" t="s">
        <v>3181</v>
      </c>
      <c r="M711" s="108" t="s">
        <v>11045</v>
      </c>
      <c r="N711" s="13" t="s">
        <v>3135</v>
      </c>
      <c r="O711" s="13" t="s">
        <v>1847</v>
      </c>
      <c r="P711" s="13" t="s">
        <v>68</v>
      </c>
      <c r="Q711" s="6" t="s">
        <v>12241</v>
      </c>
      <c r="R711" s="17" t="s">
        <v>3182</v>
      </c>
      <c r="S711" s="17"/>
      <c r="T711" s="18">
        <v>12</v>
      </c>
      <c r="U711" s="18">
        <v>10</v>
      </c>
      <c r="V711" s="13" t="s">
        <v>3183</v>
      </c>
      <c r="X711" s="132">
        <v>704</v>
      </c>
      <c r="Y711" s="6"/>
    </row>
    <row r="712" spans="1:25" ht="15" customHeight="1" x14ac:dyDescent="0.2">
      <c r="A712" s="12" t="s">
        <v>3187</v>
      </c>
      <c r="B712" s="13" t="s">
        <v>4978</v>
      </c>
      <c r="C712" s="74">
        <v>47552</v>
      </c>
      <c r="D712" s="13" t="s">
        <v>33</v>
      </c>
      <c r="E712" s="6" t="s">
        <v>11420</v>
      </c>
      <c r="F712" s="15" t="s">
        <v>11886</v>
      </c>
      <c r="G712" s="6" t="s">
        <v>3188</v>
      </c>
      <c r="H712" s="147" t="s">
        <v>3188</v>
      </c>
      <c r="I712" s="13" t="s">
        <v>25</v>
      </c>
      <c r="J712" s="13">
        <v>3</v>
      </c>
      <c r="K712" s="13" t="s">
        <v>1714</v>
      </c>
      <c r="L712" s="6" t="s">
        <v>3189</v>
      </c>
      <c r="M712" s="108" t="s">
        <v>3190</v>
      </c>
      <c r="N712" s="13" t="s">
        <v>3191</v>
      </c>
      <c r="O712" s="13" t="s">
        <v>445</v>
      </c>
      <c r="P712" s="13" t="s">
        <v>16</v>
      </c>
      <c r="Q712" s="6" t="s">
        <v>3192</v>
      </c>
      <c r="R712" s="17" t="s">
        <v>3193</v>
      </c>
      <c r="S712" s="17" t="s">
        <v>3194</v>
      </c>
      <c r="T712" s="18">
        <v>20</v>
      </c>
      <c r="U712" s="18">
        <v>6</v>
      </c>
      <c r="V712" s="13" t="s">
        <v>3195</v>
      </c>
      <c r="X712" s="132">
        <v>705</v>
      </c>
      <c r="Y712" s="6"/>
    </row>
    <row r="713" spans="1:25" ht="15" customHeight="1" x14ac:dyDescent="0.2">
      <c r="A713" s="12" t="s">
        <v>3205</v>
      </c>
      <c r="B713" s="13" t="s">
        <v>4978</v>
      </c>
      <c r="C713" s="74">
        <v>47615</v>
      </c>
      <c r="D713" s="13" t="s">
        <v>33</v>
      </c>
      <c r="E713" s="6" t="s">
        <v>11463</v>
      </c>
      <c r="F713" s="15" t="s">
        <v>11464</v>
      </c>
      <c r="G713" s="6" t="s">
        <v>3206</v>
      </c>
      <c r="H713" s="6" t="s">
        <v>3206</v>
      </c>
      <c r="I713" s="13" t="s">
        <v>25</v>
      </c>
      <c r="J713" s="13">
        <v>3</v>
      </c>
      <c r="K713" s="13" t="s">
        <v>1714</v>
      </c>
      <c r="L713" s="6" t="s">
        <v>3207</v>
      </c>
      <c r="M713" s="108" t="s">
        <v>11465</v>
      </c>
      <c r="N713" s="13" t="s">
        <v>2436</v>
      </c>
      <c r="O713" s="13" t="s">
        <v>2146</v>
      </c>
      <c r="P713" s="13" t="s">
        <v>68</v>
      </c>
      <c r="Q713" s="6" t="s">
        <v>11466</v>
      </c>
      <c r="R713" s="17" t="s">
        <v>3208</v>
      </c>
      <c r="S713" s="17" t="s">
        <v>3209</v>
      </c>
      <c r="T713" s="18">
        <v>16</v>
      </c>
      <c r="U713" s="18">
        <v>14</v>
      </c>
      <c r="V713" s="13" t="s">
        <v>3210</v>
      </c>
      <c r="X713" s="132">
        <v>706</v>
      </c>
      <c r="Y713" s="6"/>
    </row>
    <row r="714" spans="1:25" ht="15" customHeight="1" x14ac:dyDescent="0.25">
      <c r="A714" s="12" t="s">
        <v>3212</v>
      </c>
      <c r="B714" s="13" t="s">
        <v>4978</v>
      </c>
      <c r="C714" s="74">
        <v>47552</v>
      </c>
      <c r="D714" s="13" t="s">
        <v>33</v>
      </c>
      <c r="E714" s="6" t="s">
        <v>11367</v>
      </c>
      <c r="F714" s="15" t="s">
        <v>11368</v>
      </c>
      <c r="G714" s="6" t="s">
        <v>3211</v>
      </c>
      <c r="H714" s="6" t="s">
        <v>3211</v>
      </c>
      <c r="I714" s="13" t="s">
        <v>25</v>
      </c>
      <c r="J714" s="13">
        <v>3</v>
      </c>
      <c r="K714" s="13" t="s">
        <v>1714</v>
      </c>
      <c r="L714" s="6" t="s">
        <v>11369</v>
      </c>
      <c r="M714" s="108" t="s">
        <v>11370</v>
      </c>
      <c r="N714" s="13" t="s">
        <v>2507</v>
      </c>
      <c r="O714" s="13" t="s">
        <v>61</v>
      </c>
      <c r="P714" s="13" t="s">
        <v>9</v>
      </c>
      <c r="Q714" s="6" t="s">
        <v>11371</v>
      </c>
      <c r="R714" s="69" t="s">
        <v>11372</v>
      </c>
      <c r="S714" s="17"/>
      <c r="T714" s="18">
        <v>20</v>
      </c>
      <c r="U714" s="18">
        <v>10</v>
      </c>
      <c r="V714" s="13" t="s">
        <v>3213</v>
      </c>
      <c r="X714" s="132">
        <v>707</v>
      </c>
      <c r="Y714" s="6"/>
    </row>
    <row r="715" spans="1:25" ht="15" customHeight="1" x14ac:dyDescent="0.2">
      <c r="A715" s="12" t="s">
        <v>3221</v>
      </c>
      <c r="B715" s="13" t="s">
        <v>4978</v>
      </c>
      <c r="C715" s="74">
        <v>47055</v>
      </c>
      <c r="D715" s="13" t="s">
        <v>33</v>
      </c>
      <c r="E715" s="6" t="s">
        <v>8345</v>
      </c>
      <c r="F715" s="15" t="s">
        <v>8346</v>
      </c>
      <c r="G715" s="6" t="s">
        <v>3220</v>
      </c>
      <c r="H715" s="6" t="s">
        <v>3220</v>
      </c>
      <c r="I715" s="13" t="s">
        <v>25</v>
      </c>
      <c r="J715" s="13">
        <v>3</v>
      </c>
      <c r="K715" s="13" t="s">
        <v>1714</v>
      </c>
      <c r="L715" s="6" t="s">
        <v>3223</v>
      </c>
      <c r="M715" s="108" t="s">
        <v>8344</v>
      </c>
      <c r="N715" s="13" t="s">
        <v>3224</v>
      </c>
      <c r="O715" s="13" t="s">
        <v>2146</v>
      </c>
      <c r="P715" s="13" t="s">
        <v>68</v>
      </c>
      <c r="Q715" s="6" t="s">
        <v>3225</v>
      </c>
      <c r="R715" s="17" t="s">
        <v>3226</v>
      </c>
      <c r="S715" s="17" t="s">
        <v>8347</v>
      </c>
      <c r="T715" s="18">
        <v>26</v>
      </c>
      <c r="U715" s="18">
        <v>24</v>
      </c>
      <c r="V715" s="13" t="s">
        <v>3222</v>
      </c>
      <c r="X715" s="132">
        <v>708</v>
      </c>
      <c r="Y715" s="6"/>
    </row>
    <row r="716" spans="1:25" ht="15" customHeight="1" x14ac:dyDescent="0.2">
      <c r="A716" s="20" t="s">
        <v>3240</v>
      </c>
      <c r="B716" s="22" t="s">
        <v>2608</v>
      </c>
      <c r="C716" s="14">
        <v>46004</v>
      </c>
      <c r="D716" s="13" t="s">
        <v>33</v>
      </c>
      <c r="E716" s="6" t="s">
        <v>3241</v>
      </c>
      <c r="F716" s="15" t="s">
        <v>11887</v>
      </c>
      <c r="G716" s="6" t="s">
        <v>3239</v>
      </c>
      <c r="H716" s="147" t="s">
        <v>3239</v>
      </c>
      <c r="I716" s="13" t="s">
        <v>25</v>
      </c>
      <c r="J716" s="13">
        <v>3</v>
      </c>
      <c r="K716" s="13" t="s">
        <v>1714</v>
      </c>
      <c r="L716" s="6" t="s">
        <v>3242</v>
      </c>
      <c r="M716" s="108" t="s">
        <v>3243</v>
      </c>
      <c r="N716" s="13" t="s">
        <v>3244</v>
      </c>
      <c r="O716" s="13" t="s">
        <v>1847</v>
      </c>
      <c r="P716" s="13" t="s">
        <v>68</v>
      </c>
      <c r="Q716" s="6" t="s">
        <v>3245</v>
      </c>
      <c r="R716" s="17" t="s">
        <v>933</v>
      </c>
      <c r="S716" s="17" t="s">
        <v>6645</v>
      </c>
      <c r="T716" s="18">
        <v>17</v>
      </c>
      <c r="U716" s="18">
        <v>12</v>
      </c>
      <c r="V716" s="13" t="s">
        <v>3246</v>
      </c>
      <c r="X716" s="132">
        <v>709</v>
      </c>
      <c r="Y716" s="6"/>
    </row>
    <row r="717" spans="1:25" ht="15" customHeight="1" x14ac:dyDescent="0.25">
      <c r="A717" s="12" t="s">
        <v>3247</v>
      </c>
      <c r="B717" s="13" t="s">
        <v>4978</v>
      </c>
      <c r="C717" s="74">
        <v>47552</v>
      </c>
      <c r="D717" s="13" t="s">
        <v>33</v>
      </c>
      <c r="E717" s="6" t="s">
        <v>3248</v>
      </c>
      <c r="F717" s="15" t="s">
        <v>11315</v>
      </c>
      <c r="G717" s="6" t="s">
        <v>3250</v>
      </c>
      <c r="H717" s="6" t="s">
        <v>3250</v>
      </c>
      <c r="I717" s="13" t="s">
        <v>25</v>
      </c>
      <c r="J717" s="13">
        <v>3</v>
      </c>
      <c r="K717" s="13" t="s">
        <v>1714</v>
      </c>
      <c r="L717" s="6" t="s">
        <v>3251</v>
      </c>
      <c r="M717" s="108" t="s">
        <v>11316</v>
      </c>
      <c r="N717" s="13" t="s">
        <v>2229</v>
      </c>
      <c r="O717" s="13" t="s">
        <v>36</v>
      </c>
      <c r="P717" s="13" t="s">
        <v>4</v>
      </c>
      <c r="Q717" s="6" t="s">
        <v>3252</v>
      </c>
      <c r="R717" s="69" t="s">
        <v>11317</v>
      </c>
      <c r="S717" s="17" t="s">
        <v>3253</v>
      </c>
      <c r="T717" s="18">
        <v>30</v>
      </c>
      <c r="U717" s="18">
        <v>29</v>
      </c>
      <c r="V717" s="13" t="s">
        <v>3249</v>
      </c>
      <c r="X717" s="132">
        <v>710</v>
      </c>
      <c r="Y717" s="6"/>
    </row>
    <row r="718" spans="1:25" ht="15" customHeight="1" x14ac:dyDescent="0.2">
      <c r="A718" s="20" t="s">
        <v>3258</v>
      </c>
      <c r="B718" s="22" t="s">
        <v>2608</v>
      </c>
      <c r="C718" s="14">
        <v>46004</v>
      </c>
      <c r="D718" s="13" t="s">
        <v>33</v>
      </c>
      <c r="E718" s="6" t="s">
        <v>3259</v>
      </c>
      <c r="F718" s="15" t="s">
        <v>11888</v>
      </c>
      <c r="G718" s="6" t="s">
        <v>3257</v>
      </c>
      <c r="H718" s="147" t="s">
        <v>3257</v>
      </c>
      <c r="I718" s="13" t="s">
        <v>25</v>
      </c>
      <c r="J718" s="13">
        <v>3</v>
      </c>
      <c r="K718" s="13" t="s">
        <v>1714</v>
      </c>
      <c r="L718" s="6" t="s">
        <v>3260</v>
      </c>
      <c r="M718" s="108" t="s">
        <v>3261</v>
      </c>
      <c r="N718" s="13" t="s">
        <v>3262</v>
      </c>
      <c r="O718" s="13" t="s">
        <v>27</v>
      </c>
      <c r="P718" s="13" t="s">
        <v>9</v>
      </c>
      <c r="Q718" s="6" t="s">
        <v>3263</v>
      </c>
      <c r="R718" s="17" t="s">
        <v>3264</v>
      </c>
      <c r="S718" s="17" t="s">
        <v>6634</v>
      </c>
      <c r="T718" s="18">
        <v>48</v>
      </c>
      <c r="U718" s="18">
        <v>28</v>
      </c>
      <c r="V718" s="13" t="s">
        <v>3265</v>
      </c>
      <c r="X718" s="132">
        <v>711</v>
      </c>
      <c r="Y718" s="6"/>
    </row>
    <row r="719" spans="1:25" ht="15" customHeight="1" x14ac:dyDescent="0.2">
      <c r="A719" s="20" t="s">
        <v>3266</v>
      </c>
      <c r="B719" s="22" t="s">
        <v>2608</v>
      </c>
      <c r="C719" s="14">
        <v>45273</v>
      </c>
      <c r="D719" s="13" t="s">
        <v>33</v>
      </c>
      <c r="E719" s="6" t="s">
        <v>3268</v>
      </c>
      <c r="F719" s="15" t="s">
        <v>11889</v>
      </c>
      <c r="G719" s="6" t="s">
        <v>3267</v>
      </c>
      <c r="H719" s="147" t="s">
        <v>3267</v>
      </c>
      <c r="I719" s="13" t="s">
        <v>25</v>
      </c>
      <c r="J719" s="13">
        <v>3</v>
      </c>
      <c r="K719" s="13" t="s">
        <v>1714</v>
      </c>
      <c r="L719" s="6" t="s">
        <v>3269</v>
      </c>
      <c r="M719" s="108" t="s">
        <v>3270</v>
      </c>
      <c r="N719" s="13" t="s">
        <v>3271</v>
      </c>
      <c r="O719" s="13" t="s">
        <v>128</v>
      </c>
      <c r="P719" s="13" t="s">
        <v>16</v>
      </c>
      <c r="Q719" s="6" t="s">
        <v>3272</v>
      </c>
      <c r="R719" s="17" t="s">
        <v>6544</v>
      </c>
      <c r="S719" s="17" t="s">
        <v>3273</v>
      </c>
      <c r="T719" s="18">
        <v>16</v>
      </c>
      <c r="U719" s="18">
        <v>12</v>
      </c>
      <c r="V719" s="13" t="s">
        <v>3274</v>
      </c>
      <c r="X719" s="132">
        <v>712</v>
      </c>
      <c r="Y719" s="6"/>
    </row>
    <row r="720" spans="1:25" ht="15" customHeight="1" x14ac:dyDescent="0.2">
      <c r="A720" s="20" t="s">
        <v>3291</v>
      </c>
      <c r="B720" s="22" t="s">
        <v>2608</v>
      </c>
      <c r="C720" s="14">
        <v>45273</v>
      </c>
      <c r="D720" s="13" t="s">
        <v>1533</v>
      </c>
      <c r="E720" s="6" t="s">
        <v>3292</v>
      </c>
      <c r="F720" s="15" t="s">
        <v>11890</v>
      </c>
      <c r="G720" s="6" t="s">
        <v>3293</v>
      </c>
      <c r="H720" s="147" t="s">
        <v>3293</v>
      </c>
      <c r="I720" s="13" t="s">
        <v>25</v>
      </c>
      <c r="J720" s="13">
        <v>6</v>
      </c>
      <c r="K720" s="13" t="s">
        <v>1714</v>
      </c>
      <c r="L720" s="6" t="s">
        <v>3294</v>
      </c>
      <c r="M720" s="108" t="s">
        <v>3295</v>
      </c>
      <c r="N720" s="13" t="s">
        <v>2536</v>
      </c>
      <c r="O720" s="13" t="s">
        <v>128</v>
      </c>
      <c r="P720" s="13" t="s">
        <v>16</v>
      </c>
      <c r="Q720" s="6" t="s">
        <v>3296</v>
      </c>
      <c r="R720" s="17" t="s">
        <v>3297</v>
      </c>
      <c r="S720" s="17" t="s">
        <v>6639</v>
      </c>
      <c r="T720" s="18">
        <v>36</v>
      </c>
      <c r="U720" s="18">
        <v>22</v>
      </c>
      <c r="V720" s="13" t="s">
        <v>3298</v>
      </c>
      <c r="X720" s="132">
        <v>713</v>
      </c>
      <c r="Y720" s="6"/>
    </row>
    <row r="721" spans="1:25" ht="15" customHeight="1" x14ac:dyDescent="0.2">
      <c r="A721" s="20" t="s">
        <v>3300</v>
      </c>
      <c r="B721" s="22" t="s">
        <v>2608</v>
      </c>
      <c r="C721" s="14">
        <v>45273</v>
      </c>
      <c r="D721" s="13" t="s">
        <v>1533</v>
      </c>
      <c r="E721" s="6" t="s">
        <v>3302</v>
      </c>
      <c r="G721" s="6" t="s">
        <v>3299</v>
      </c>
      <c r="H721" s="147" t="s">
        <v>3299</v>
      </c>
      <c r="I721" s="13" t="s">
        <v>13</v>
      </c>
      <c r="J721" s="13">
        <v>8</v>
      </c>
      <c r="K721" s="13" t="s">
        <v>1714</v>
      </c>
      <c r="L721" s="6" t="s">
        <v>3303</v>
      </c>
      <c r="M721" s="108" t="s">
        <v>3304</v>
      </c>
      <c r="N721" s="13" t="s">
        <v>61</v>
      </c>
      <c r="O721" s="13" t="s">
        <v>61</v>
      </c>
      <c r="P721" s="13" t="s">
        <v>9</v>
      </c>
      <c r="Q721" s="6" t="s">
        <v>3305</v>
      </c>
      <c r="R721" s="17" t="s">
        <v>3306</v>
      </c>
      <c r="S721" s="17" t="s">
        <v>3301</v>
      </c>
      <c r="T721" s="18">
        <v>100</v>
      </c>
      <c r="U721" s="18">
        <v>0</v>
      </c>
      <c r="V721" s="13" t="s">
        <v>3307</v>
      </c>
      <c r="X721" s="132">
        <v>714</v>
      </c>
      <c r="Y721" s="6"/>
    </row>
    <row r="722" spans="1:25" ht="15" customHeight="1" x14ac:dyDescent="0.2">
      <c r="A722" s="12" t="s">
        <v>3321</v>
      </c>
      <c r="B722" s="13" t="s">
        <v>4978</v>
      </c>
      <c r="C722" s="74">
        <v>47464</v>
      </c>
      <c r="D722" s="13" t="s">
        <v>33</v>
      </c>
      <c r="E722" s="6" t="s">
        <v>3322</v>
      </c>
      <c r="F722" s="15" t="s">
        <v>11099</v>
      </c>
      <c r="G722" s="6" t="s">
        <v>3320</v>
      </c>
      <c r="H722" s="6" t="s">
        <v>3320</v>
      </c>
      <c r="I722" s="13" t="s">
        <v>25</v>
      </c>
      <c r="J722" s="13">
        <v>3</v>
      </c>
      <c r="K722" s="13" t="s">
        <v>1714</v>
      </c>
      <c r="L722" s="6" t="s">
        <v>3323</v>
      </c>
      <c r="M722" s="108" t="s">
        <v>11100</v>
      </c>
      <c r="N722" s="13" t="s">
        <v>2340</v>
      </c>
      <c r="O722" s="13" t="s">
        <v>1055</v>
      </c>
      <c r="P722" s="13" t="s">
        <v>16</v>
      </c>
      <c r="Q722" s="6" t="s">
        <v>11101</v>
      </c>
      <c r="R722" s="17" t="s">
        <v>3324</v>
      </c>
      <c r="S722" s="17"/>
      <c r="T722" s="18">
        <v>20</v>
      </c>
      <c r="U722" s="18">
        <v>15</v>
      </c>
      <c r="V722" s="13" t="s">
        <v>3325</v>
      </c>
      <c r="X722" s="132">
        <v>715</v>
      </c>
      <c r="Y722" s="6"/>
    </row>
    <row r="723" spans="1:25" ht="15" customHeight="1" x14ac:dyDescent="0.2">
      <c r="A723" s="20" t="s">
        <v>3327</v>
      </c>
      <c r="B723" s="22" t="s">
        <v>2608</v>
      </c>
      <c r="C723" s="14">
        <v>46004</v>
      </c>
      <c r="D723" s="13" t="s">
        <v>33</v>
      </c>
      <c r="E723" s="6" t="s">
        <v>3328</v>
      </c>
      <c r="F723" s="15" t="s">
        <v>8367</v>
      </c>
      <c r="G723" s="6" t="s">
        <v>3326</v>
      </c>
      <c r="H723" s="147" t="s">
        <v>3326</v>
      </c>
      <c r="I723" s="13" t="s">
        <v>25</v>
      </c>
      <c r="J723" s="13">
        <v>3</v>
      </c>
      <c r="K723" s="13" t="s">
        <v>1714</v>
      </c>
      <c r="L723" s="6" t="s">
        <v>3329</v>
      </c>
      <c r="M723" s="108" t="s">
        <v>3330</v>
      </c>
      <c r="N723" s="13" t="s">
        <v>2161</v>
      </c>
      <c r="O723" s="13" t="s">
        <v>2146</v>
      </c>
      <c r="P723" s="13" t="s">
        <v>68</v>
      </c>
      <c r="Q723" s="6" t="s">
        <v>3331</v>
      </c>
      <c r="R723" s="17" t="s">
        <v>3332</v>
      </c>
      <c r="S723" s="17" t="s">
        <v>6634</v>
      </c>
      <c r="T723" s="18">
        <v>20</v>
      </c>
      <c r="U723" s="18">
        <v>9</v>
      </c>
      <c r="V723" s="13" t="s">
        <v>3333</v>
      </c>
      <c r="X723" s="132">
        <v>716</v>
      </c>
      <c r="Y723" s="6"/>
    </row>
    <row r="724" spans="1:25" ht="15" customHeight="1" x14ac:dyDescent="0.2">
      <c r="A724" s="12" t="s">
        <v>3335</v>
      </c>
      <c r="B724" s="13" t="s">
        <v>4978</v>
      </c>
      <c r="C724" s="74">
        <v>47552</v>
      </c>
      <c r="D724" s="13" t="s">
        <v>33</v>
      </c>
      <c r="E724" s="6" t="s">
        <v>11322</v>
      </c>
      <c r="F724" s="15" t="s">
        <v>11323</v>
      </c>
      <c r="G724" s="6" t="s">
        <v>3334</v>
      </c>
      <c r="H724" s="6" t="s">
        <v>3334</v>
      </c>
      <c r="I724" s="13" t="s">
        <v>25</v>
      </c>
      <c r="J724" s="13">
        <v>3</v>
      </c>
      <c r="K724" s="13" t="s">
        <v>1714</v>
      </c>
      <c r="L724" s="6" t="s">
        <v>3336</v>
      </c>
      <c r="M724" s="108" t="s">
        <v>11324</v>
      </c>
      <c r="N724" s="13" t="s">
        <v>3338</v>
      </c>
      <c r="O724" s="13" t="s">
        <v>1055</v>
      </c>
      <c r="P724" s="13" t="s">
        <v>16</v>
      </c>
      <c r="Q724" s="6" t="s">
        <v>11325</v>
      </c>
      <c r="R724" s="17" t="s">
        <v>3339</v>
      </c>
      <c r="S724" s="17" t="s">
        <v>3340</v>
      </c>
      <c r="T724" s="18">
        <v>29</v>
      </c>
      <c r="U724" s="18">
        <v>27</v>
      </c>
      <c r="V724" s="13" t="s">
        <v>3341</v>
      </c>
      <c r="X724" s="132">
        <v>717</v>
      </c>
      <c r="Y724" s="6"/>
    </row>
    <row r="725" spans="1:25" ht="15" customHeight="1" x14ac:dyDescent="0.2">
      <c r="A725" s="20" t="s">
        <v>3344</v>
      </c>
      <c r="B725" s="22" t="s">
        <v>2608</v>
      </c>
      <c r="C725" s="14">
        <v>46004</v>
      </c>
      <c r="D725" s="13" t="s">
        <v>33</v>
      </c>
      <c r="E725" s="6" t="s">
        <v>3343</v>
      </c>
      <c r="F725" s="15" t="s">
        <v>11891</v>
      </c>
      <c r="G725" s="6" t="s">
        <v>3342</v>
      </c>
      <c r="H725" s="147" t="s">
        <v>3342</v>
      </c>
      <c r="I725" s="13" t="s">
        <v>25</v>
      </c>
      <c r="J725" s="13">
        <v>3</v>
      </c>
      <c r="K725" s="13" t="s">
        <v>1714</v>
      </c>
      <c r="L725" s="6" t="s">
        <v>3345</v>
      </c>
      <c r="M725" s="108" t="s">
        <v>3084</v>
      </c>
      <c r="N725" s="13" t="s">
        <v>136</v>
      </c>
      <c r="O725" s="13" t="s">
        <v>136</v>
      </c>
      <c r="P725" s="13" t="s">
        <v>4</v>
      </c>
      <c r="Q725" s="6" t="s">
        <v>3346</v>
      </c>
      <c r="R725" s="17" t="s">
        <v>3347</v>
      </c>
      <c r="S725" s="17" t="s">
        <v>6634</v>
      </c>
      <c r="T725" s="18">
        <v>20</v>
      </c>
      <c r="U725" s="18">
        <v>13</v>
      </c>
      <c r="V725" s="13" t="s">
        <v>3348</v>
      </c>
      <c r="X725" s="132">
        <v>718</v>
      </c>
      <c r="Y725" s="6"/>
    </row>
    <row r="726" spans="1:25" ht="15" customHeight="1" x14ac:dyDescent="0.2">
      <c r="A726" s="12" t="s">
        <v>3356</v>
      </c>
      <c r="B726" s="24" t="s">
        <v>4977</v>
      </c>
      <c r="C726" s="14">
        <v>47615</v>
      </c>
      <c r="D726" s="13" t="s">
        <v>33</v>
      </c>
      <c r="E726" s="6" t="s">
        <v>3357</v>
      </c>
      <c r="F726" s="15" t="s">
        <v>11517</v>
      </c>
      <c r="G726" s="6" t="s">
        <v>3355</v>
      </c>
      <c r="H726" s="6" t="s">
        <v>3355</v>
      </c>
      <c r="I726" s="13" t="s">
        <v>25</v>
      </c>
      <c r="J726" s="13">
        <v>3</v>
      </c>
      <c r="K726" s="13" t="s">
        <v>1714</v>
      </c>
      <c r="L726" s="6" t="s">
        <v>11518</v>
      </c>
      <c r="M726" s="108" t="s">
        <v>11519</v>
      </c>
      <c r="N726" s="13" t="s">
        <v>8137</v>
      </c>
      <c r="O726" s="13" t="s">
        <v>445</v>
      </c>
      <c r="P726" s="13" t="s">
        <v>16</v>
      </c>
      <c r="Q726" s="6" t="s">
        <v>11520</v>
      </c>
      <c r="R726" s="17" t="s">
        <v>3359</v>
      </c>
      <c r="S726" s="17"/>
      <c r="T726" s="18">
        <v>33</v>
      </c>
      <c r="U726" s="18">
        <v>31</v>
      </c>
      <c r="V726" s="13" t="s">
        <v>3369</v>
      </c>
      <c r="X726" s="132">
        <v>719</v>
      </c>
      <c r="Y726" s="6"/>
    </row>
    <row r="727" spans="1:25" ht="15" customHeight="1" x14ac:dyDescent="0.2">
      <c r="A727" s="20" t="s">
        <v>3366</v>
      </c>
      <c r="B727" s="22" t="s">
        <v>2608</v>
      </c>
      <c r="C727" s="14">
        <v>46004</v>
      </c>
      <c r="D727" s="13" t="s">
        <v>33</v>
      </c>
      <c r="E727" s="6" t="s">
        <v>3365</v>
      </c>
      <c r="F727" s="15" t="s">
        <v>11892</v>
      </c>
      <c r="G727" s="6" t="s">
        <v>3360</v>
      </c>
      <c r="H727" s="147" t="s">
        <v>3360</v>
      </c>
      <c r="I727" s="13" t="s">
        <v>25</v>
      </c>
      <c r="J727" s="13">
        <v>3</v>
      </c>
      <c r="K727" s="13" t="s">
        <v>1714</v>
      </c>
      <c r="L727" s="6" t="s">
        <v>3361</v>
      </c>
      <c r="M727" s="108" t="s">
        <v>3362</v>
      </c>
      <c r="N727" s="13" t="s">
        <v>3363</v>
      </c>
      <c r="O727" s="13" t="s">
        <v>1847</v>
      </c>
      <c r="P727" s="13" t="s">
        <v>68</v>
      </c>
      <c r="Q727" s="6" t="s">
        <v>3364</v>
      </c>
      <c r="R727" s="17" t="s">
        <v>3368</v>
      </c>
      <c r="S727" s="17" t="s">
        <v>6632</v>
      </c>
      <c r="T727" s="18">
        <v>10</v>
      </c>
      <c r="U727" s="18">
        <v>9</v>
      </c>
      <c r="V727" s="13" t="s">
        <v>3367</v>
      </c>
      <c r="X727" s="132">
        <v>720</v>
      </c>
      <c r="Y727" s="6"/>
    </row>
    <row r="728" spans="1:25" ht="15" customHeight="1" x14ac:dyDescent="0.2">
      <c r="A728" s="20" t="s">
        <v>3373</v>
      </c>
      <c r="B728" s="22" t="s">
        <v>2608</v>
      </c>
      <c r="C728" s="14">
        <v>46004</v>
      </c>
      <c r="D728" s="13" t="s">
        <v>33</v>
      </c>
      <c r="E728" s="6" t="s">
        <v>3374</v>
      </c>
      <c r="F728" s="15" t="s">
        <v>11893</v>
      </c>
      <c r="G728" s="6" t="s">
        <v>3372</v>
      </c>
      <c r="H728" s="147" t="s">
        <v>3372</v>
      </c>
      <c r="I728" s="13" t="s">
        <v>25</v>
      </c>
      <c r="J728" s="13">
        <v>3</v>
      </c>
      <c r="K728" s="13" t="s">
        <v>1714</v>
      </c>
      <c r="L728" s="6" t="s">
        <v>3375</v>
      </c>
      <c r="M728" s="108" t="s">
        <v>3376</v>
      </c>
      <c r="N728" s="13" t="s">
        <v>3377</v>
      </c>
      <c r="O728" s="13" t="s">
        <v>11948</v>
      </c>
      <c r="P728" s="13" t="s">
        <v>68</v>
      </c>
      <c r="Q728" s="6" t="s">
        <v>3378</v>
      </c>
      <c r="R728" s="17" t="s">
        <v>3379</v>
      </c>
      <c r="S728" s="17" t="s">
        <v>6639</v>
      </c>
      <c r="T728" s="18">
        <v>22</v>
      </c>
      <c r="U728" s="18">
        <v>20</v>
      </c>
      <c r="V728" s="13" t="s">
        <v>3380</v>
      </c>
      <c r="X728" s="132">
        <v>721</v>
      </c>
      <c r="Y728" s="6"/>
    </row>
    <row r="729" spans="1:25" ht="15" customHeight="1" x14ac:dyDescent="0.2">
      <c r="A729" s="20" t="s">
        <v>3383</v>
      </c>
      <c r="B729" s="22" t="s">
        <v>2608</v>
      </c>
      <c r="C729" s="14">
        <v>45273</v>
      </c>
      <c r="D729" s="13" t="s">
        <v>1533</v>
      </c>
      <c r="E729" s="6" t="s">
        <v>6316</v>
      </c>
      <c r="F729" s="15" t="s">
        <v>11894</v>
      </c>
      <c r="G729" s="6" t="s">
        <v>3386</v>
      </c>
      <c r="H729" s="6" t="s">
        <v>3386</v>
      </c>
      <c r="I729" s="13" t="s">
        <v>39</v>
      </c>
      <c r="J729" s="13">
        <v>12</v>
      </c>
      <c r="K729" s="13" t="s">
        <v>1714</v>
      </c>
      <c r="L729" s="6" t="s">
        <v>3385</v>
      </c>
      <c r="M729" s="108" t="s">
        <v>3387</v>
      </c>
      <c r="N729" s="13" t="s">
        <v>2271</v>
      </c>
      <c r="O729" s="13" t="s">
        <v>36</v>
      </c>
      <c r="P729" s="13" t="s">
        <v>4</v>
      </c>
      <c r="Q729" s="6" t="s">
        <v>3390</v>
      </c>
      <c r="R729" s="17" t="s">
        <v>3388</v>
      </c>
      <c r="S729" s="17" t="s">
        <v>3389</v>
      </c>
      <c r="T729" s="18">
        <v>30</v>
      </c>
      <c r="U729" s="18">
        <v>15</v>
      </c>
      <c r="V729" s="13" t="s">
        <v>3384</v>
      </c>
      <c r="X729" s="132">
        <v>722</v>
      </c>
      <c r="Y729" s="6"/>
    </row>
    <row r="730" spans="1:25" ht="15" customHeight="1" x14ac:dyDescent="0.2">
      <c r="A730" s="20" t="s">
        <v>6092</v>
      </c>
      <c r="B730" s="22" t="s">
        <v>2608</v>
      </c>
      <c r="C730" s="14">
        <v>45975</v>
      </c>
      <c r="D730" s="13" t="s">
        <v>1533</v>
      </c>
      <c r="E730" s="6" t="s">
        <v>6316</v>
      </c>
      <c r="F730" s="15" t="s">
        <v>11895</v>
      </c>
      <c r="G730" s="6" t="s">
        <v>3386</v>
      </c>
      <c r="H730" s="6" t="s">
        <v>3386</v>
      </c>
      <c r="I730" s="13" t="s">
        <v>39</v>
      </c>
      <c r="J730" s="13">
        <v>12</v>
      </c>
      <c r="K730" s="13" t="s">
        <v>1714</v>
      </c>
      <c r="L730" s="6" t="s">
        <v>6102</v>
      </c>
      <c r="M730" s="108" t="s">
        <v>6103</v>
      </c>
      <c r="N730" s="13" t="s">
        <v>5446</v>
      </c>
      <c r="O730" s="13" t="s">
        <v>165</v>
      </c>
      <c r="P730" s="13" t="s">
        <v>9</v>
      </c>
      <c r="Q730" s="6" t="s">
        <v>6105</v>
      </c>
      <c r="R730" s="17" t="s">
        <v>6106</v>
      </c>
      <c r="S730" s="17" t="s">
        <v>3389</v>
      </c>
      <c r="T730" s="18">
        <v>48</v>
      </c>
      <c r="U730" s="18">
        <v>48</v>
      </c>
      <c r="V730" s="13" t="s">
        <v>3384</v>
      </c>
      <c r="X730" s="132">
        <v>723</v>
      </c>
      <c r="Y730" s="6"/>
    </row>
    <row r="731" spans="1:25" ht="15" customHeight="1" x14ac:dyDescent="0.2">
      <c r="A731" s="20" t="s">
        <v>6093</v>
      </c>
      <c r="B731" s="22" t="s">
        <v>2608</v>
      </c>
      <c r="C731" s="14">
        <v>45975</v>
      </c>
      <c r="D731" s="13" t="s">
        <v>1533</v>
      </c>
      <c r="E731" s="6" t="s">
        <v>6316</v>
      </c>
      <c r="F731" s="15" t="s">
        <v>11896</v>
      </c>
      <c r="G731" s="6" t="s">
        <v>3386</v>
      </c>
      <c r="H731" s="6" t="s">
        <v>3386</v>
      </c>
      <c r="I731" s="13" t="s">
        <v>39</v>
      </c>
      <c r="J731" s="13">
        <v>12</v>
      </c>
      <c r="K731" s="13" t="s">
        <v>1714</v>
      </c>
      <c r="L731" s="6" t="s">
        <v>6099</v>
      </c>
      <c r="M731" s="108" t="s">
        <v>6104</v>
      </c>
      <c r="N731" s="13" t="s">
        <v>6100</v>
      </c>
      <c r="O731" s="13" t="s">
        <v>11948</v>
      </c>
      <c r="P731" s="13" t="s">
        <v>68</v>
      </c>
      <c r="Q731" s="6" t="s">
        <v>6101</v>
      </c>
      <c r="R731" s="17" t="s">
        <v>6106</v>
      </c>
      <c r="S731" s="17" t="s">
        <v>3389</v>
      </c>
      <c r="T731" s="18">
        <v>30</v>
      </c>
      <c r="U731" s="18">
        <v>30</v>
      </c>
      <c r="V731" s="13" t="s">
        <v>3384</v>
      </c>
      <c r="X731" s="132">
        <v>724</v>
      </c>
      <c r="Y731" s="6"/>
    </row>
    <row r="732" spans="1:25" ht="15" customHeight="1" x14ac:dyDescent="0.2">
      <c r="A732" s="20" t="s">
        <v>6094</v>
      </c>
      <c r="B732" s="22" t="s">
        <v>2608</v>
      </c>
      <c r="C732" s="14">
        <v>45975</v>
      </c>
      <c r="D732" s="13" t="s">
        <v>1533</v>
      </c>
      <c r="E732" s="6" t="s">
        <v>6316</v>
      </c>
      <c r="F732" s="15" t="s">
        <v>11897</v>
      </c>
      <c r="G732" s="6" t="s">
        <v>3386</v>
      </c>
      <c r="H732" s="6" t="s">
        <v>3386</v>
      </c>
      <c r="I732" s="13" t="s">
        <v>39</v>
      </c>
      <c r="J732" s="13">
        <v>12</v>
      </c>
      <c r="K732" s="13" t="s">
        <v>1714</v>
      </c>
      <c r="L732" s="6" t="s">
        <v>6095</v>
      </c>
      <c r="M732" s="108" t="s">
        <v>6097</v>
      </c>
      <c r="N732" s="13" t="s">
        <v>6096</v>
      </c>
      <c r="O732" s="13" t="s">
        <v>48</v>
      </c>
      <c r="P732" s="13" t="s">
        <v>16</v>
      </c>
      <c r="Q732" s="6" t="s">
        <v>6098</v>
      </c>
      <c r="R732" s="17" t="s">
        <v>6106</v>
      </c>
      <c r="S732" s="17" t="s">
        <v>3389</v>
      </c>
      <c r="T732" s="18">
        <v>60</v>
      </c>
      <c r="U732" s="18">
        <v>60</v>
      </c>
      <c r="V732" s="13" t="s">
        <v>3384</v>
      </c>
      <c r="X732" s="132">
        <v>725</v>
      </c>
      <c r="Y732" s="6"/>
    </row>
    <row r="733" spans="1:25" ht="15" customHeight="1" x14ac:dyDescent="0.2">
      <c r="A733" s="12" t="s">
        <v>3396</v>
      </c>
      <c r="B733" s="13" t="s">
        <v>4977</v>
      </c>
      <c r="C733" s="14">
        <v>46822</v>
      </c>
      <c r="D733" s="13" t="s">
        <v>1533</v>
      </c>
      <c r="E733" s="6" t="s">
        <v>3398</v>
      </c>
      <c r="F733" s="15" t="s">
        <v>11898</v>
      </c>
      <c r="G733" s="6" t="s">
        <v>3397</v>
      </c>
      <c r="H733" s="147" t="s">
        <v>3397</v>
      </c>
      <c r="I733" s="13" t="s">
        <v>39</v>
      </c>
      <c r="J733" s="13">
        <v>12</v>
      </c>
      <c r="K733" s="13" t="s">
        <v>1714</v>
      </c>
      <c r="L733" s="6" t="s">
        <v>3399</v>
      </c>
      <c r="M733" s="108" t="s">
        <v>3400</v>
      </c>
      <c r="N733" s="13" t="s">
        <v>15</v>
      </c>
      <c r="O733" s="13" t="s">
        <v>15</v>
      </c>
      <c r="P733" s="13" t="s">
        <v>16</v>
      </c>
      <c r="Q733" s="6" t="s">
        <v>3401</v>
      </c>
      <c r="R733" s="17" t="s">
        <v>3403</v>
      </c>
      <c r="S733" s="17" t="s">
        <v>3402</v>
      </c>
      <c r="T733" s="18">
        <v>500</v>
      </c>
      <c r="U733" s="18">
        <v>250</v>
      </c>
      <c r="V733" s="13" t="s">
        <v>3404</v>
      </c>
      <c r="X733" s="132">
        <v>726</v>
      </c>
      <c r="Y733" s="6"/>
    </row>
    <row r="734" spans="1:25" ht="15" customHeight="1" x14ac:dyDescent="0.2">
      <c r="A734" s="12" t="s">
        <v>3419</v>
      </c>
      <c r="B734" s="13" t="s">
        <v>4978</v>
      </c>
      <c r="C734" s="14">
        <v>47642</v>
      </c>
      <c r="D734" s="13" t="s">
        <v>33</v>
      </c>
      <c r="E734" s="6" t="s">
        <v>11999</v>
      </c>
      <c r="F734" s="15" t="s">
        <v>11899</v>
      </c>
      <c r="G734" s="6" t="s">
        <v>3420</v>
      </c>
      <c r="H734" s="6" t="s">
        <v>3420</v>
      </c>
      <c r="I734" s="13" t="s">
        <v>25</v>
      </c>
      <c r="J734" s="13">
        <v>3</v>
      </c>
      <c r="K734" s="13" t="s">
        <v>1714</v>
      </c>
      <c r="L734" s="6" t="s">
        <v>3421</v>
      </c>
      <c r="M734" s="108" t="s">
        <v>12000</v>
      </c>
      <c r="N734" s="13" t="s">
        <v>2235</v>
      </c>
      <c r="O734" s="13" t="s">
        <v>2146</v>
      </c>
      <c r="P734" s="13" t="s">
        <v>68</v>
      </c>
      <c r="Q734" s="6" t="s">
        <v>12001</v>
      </c>
      <c r="R734" s="17" t="s">
        <v>3422</v>
      </c>
      <c r="S734" s="17" t="s">
        <v>3423</v>
      </c>
      <c r="T734" s="18">
        <v>15</v>
      </c>
      <c r="U734" s="18">
        <v>13</v>
      </c>
      <c r="V734" s="13" t="s">
        <v>3424</v>
      </c>
      <c r="X734" s="132">
        <v>727</v>
      </c>
      <c r="Y734" s="6"/>
    </row>
    <row r="735" spans="1:25" ht="15" customHeight="1" x14ac:dyDescent="0.2">
      <c r="A735" s="12" t="s">
        <v>3432</v>
      </c>
      <c r="B735" s="24" t="s">
        <v>4978</v>
      </c>
      <c r="C735" s="14">
        <v>47679</v>
      </c>
      <c r="D735" s="13" t="s">
        <v>33</v>
      </c>
      <c r="E735" s="6" t="s">
        <v>3435</v>
      </c>
      <c r="F735" s="15" t="s">
        <v>11900</v>
      </c>
      <c r="G735" s="6" t="s">
        <v>3436</v>
      </c>
      <c r="H735" s="6" t="s">
        <v>3436</v>
      </c>
      <c r="I735" s="13" t="s">
        <v>25</v>
      </c>
      <c r="J735" s="13">
        <v>3</v>
      </c>
      <c r="K735" s="13" t="s">
        <v>1714</v>
      </c>
      <c r="L735" s="6" t="s">
        <v>3437</v>
      </c>
      <c r="M735" s="108" t="s">
        <v>4738</v>
      </c>
      <c r="N735" s="13" t="s">
        <v>2486</v>
      </c>
      <c r="O735" s="13" t="s">
        <v>61</v>
      </c>
      <c r="P735" s="13" t="s">
        <v>9</v>
      </c>
      <c r="Q735" s="6" t="s">
        <v>3438</v>
      </c>
      <c r="R735" s="17" t="s">
        <v>3439</v>
      </c>
      <c r="S735" s="17"/>
      <c r="T735" s="18">
        <v>22</v>
      </c>
      <c r="U735" s="18">
        <v>18</v>
      </c>
      <c r="V735" s="13" t="s">
        <v>3440</v>
      </c>
      <c r="X735" s="132">
        <v>728</v>
      </c>
      <c r="Y735" s="6"/>
    </row>
    <row r="736" spans="1:25" ht="15" customHeight="1" x14ac:dyDescent="0.2">
      <c r="A736" s="12" t="s">
        <v>3433</v>
      </c>
      <c r="B736" s="13" t="s">
        <v>4978</v>
      </c>
      <c r="C736" s="74">
        <v>46826</v>
      </c>
      <c r="D736" s="13" t="s">
        <v>33</v>
      </c>
      <c r="E736" s="6" t="s">
        <v>3441</v>
      </c>
      <c r="F736" s="15" t="s">
        <v>6951</v>
      </c>
      <c r="G736" s="6" t="s">
        <v>3442</v>
      </c>
      <c r="H736" s="6" t="s">
        <v>3442</v>
      </c>
      <c r="I736" s="13" t="s">
        <v>25</v>
      </c>
      <c r="J736" s="13">
        <v>3</v>
      </c>
      <c r="K736" s="13" t="s">
        <v>1714</v>
      </c>
      <c r="L736" s="6" t="s">
        <v>6954</v>
      </c>
      <c r="M736" s="108" t="s">
        <v>6587</v>
      </c>
      <c r="N736" s="13" t="s">
        <v>3443</v>
      </c>
      <c r="O736" s="13" t="s">
        <v>2146</v>
      </c>
      <c r="P736" s="13" t="s">
        <v>68</v>
      </c>
      <c r="Q736" s="6" t="s">
        <v>6952</v>
      </c>
      <c r="R736" s="17" t="s">
        <v>3444</v>
      </c>
      <c r="S736" s="17" t="s">
        <v>3445</v>
      </c>
      <c r="T736" s="18">
        <v>13</v>
      </c>
      <c r="U736" s="18">
        <v>11</v>
      </c>
      <c r="V736" s="13" t="s">
        <v>6953</v>
      </c>
      <c r="W736" s="13" t="s">
        <v>3446</v>
      </c>
      <c r="X736" s="132">
        <v>729</v>
      </c>
      <c r="Y736" s="6"/>
    </row>
    <row r="737" spans="1:25" ht="15" customHeight="1" x14ac:dyDescent="0.2">
      <c r="A737" s="12" t="s">
        <v>3434</v>
      </c>
      <c r="B737" s="13" t="s">
        <v>4978</v>
      </c>
      <c r="C737" s="74">
        <v>46826</v>
      </c>
      <c r="D737" s="13" t="s">
        <v>33</v>
      </c>
      <c r="E737" s="6" t="s">
        <v>6942</v>
      </c>
      <c r="F737" s="15" t="s">
        <v>6943</v>
      </c>
      <c r="G737" s="6" t="s">
        <v>3447</v>
      </c>
      <c r="H737" s="6" t="s">
        <v>3447</v>
      </c>
      <c r="I737" s="13" t="s">
        <v>25</v>
      </c>
      <c r="J737" s="13">
        <v>3</v>
      </c>
      <c r="K737" s="13" t="s">
        <v>1714</v>
      </c>
      <c r="L737" s="6" t="s">
        <v>6944</v>
      </c>
      <c r="M737" s="108" t="s">
        <v>6945</v>
      </c>
      <c r="N737" s="13" t="s">
        <v>3448</v>
      </c>
      <c r="O737" s="13" t="s">
        <v>445</v>
      </c>
      <c r="P737" s="13" t="s">
        <v>16</v>
      </c>
      <c r="Q737" s="6" t="s">
        <v>3449</v>
      </c>
      <c r="R737" s="17" t="s">
        <v>3450</v>
      </c>
      <c r="S737" s="17"/>
      <c r="T737" s="18">
        <v>21</v>
      </c>
      <c r="U737" s="18">
        <v>19</v>
      </c>
      <c r="V737" s="13" t="s">
        <v>6946</v>
      </c>
      <c r="W737" s="13" t="s">
        <v>3451</v>
      </c>
      <c r="X737" s="132">
        <v>730</v>
      </c>
      <c r="Y737" s="6"/>
    </row>
    <row r="738" spans="1:25" ht="15" customHeight="1" x14ac:dyDescent="0.2">
      <c r="A738" s="20" t="s">
        <v>3452</v>
      </c>
      <c r="B738" s="22" t="s">
        <v>2608</v>
      </c>
      <c r="C738" s="14">
        <v>46062</v>
      </c>
      <c r="D738" s="13" t="s">
        <v>33</v>
      </c>
      <c r="E738" s="6" t="s">
        <v>3691</v>
      </c>
      <c r="F738" s="15" t="s">
        <v>11901</v>
      </c>
      <c r="G738" s="6" t="s">
        <v>3482</v>
      </c>
      <c r="H738" s="147" t="s">
        <v>3482</v>
      </c>
      <c r="I738" s="13" t="s">
        <v>25</v>
      </c>
      <c r="J738" s="13">
        <v>3</v>
      </c>
      <c r="K738" s="13" t="s">
        <v>1714</v>
      </c>
      <c r="L738" s="6" t="s">
        <v>3483</v>
      </c>
      <c r="M738" s="108" t="s">
        <v>3484</v>
      </c>
      <c r="N738" s="13" t="s">
        <v>3485</v>
      </c>
      <c r="O738" s="13" t="s">
        <v>128</v>
      </c>
      <c r="P738" s="13" t="s">
        <v>16</v>
      </c>
      <c r="Q738" s="6" t="s">
        <v>3486</v>
      </c>
      <c r="R738" s="17" t="s">
        <v>3487</v>
      </c>
      <c r="S738" s="17"/>
      <c r="T738" s="18">
        <v>10</v>
      </c>
      <c r="U738" s="18">
        <v>2</v>
      </c>
      <c r="V738" s="13" t="s">
        <v>3488</v>
      </c>
      <c r="X738" s="132">
        <v>731</v>
      </c>
      <c r="Y738" s="6"/>
    </row>
    <row r="739" spans="1:25" ht="15" customHeight="1" x14ac:dyDescent="0.2">
      <c r="A739" s="20" t="s">
        <v>3453</v>
      </c>
      <c r="B739" s="22" t="s">
        <v>2608</v>
      </c>
      <c r="C739" s="14">
        <v>46062</v>
      </c>
      <c r="D739" s="13" t="s">
        <v>1533</v>
      </c>
      <c r="E739" s="6" t="s">
        <v>3490</v>
      </c>
      <c r="F739" s="15" t="s">
        <v>11902</v>
      </c>
      <c r="G739" s="6" t="s">
        <v>3489</v>
      </c>
      <c r="H739" s="147" t="s">
        <v>3489</v>
      </c>
      <c r="I739" s="13" t="s">
        <v>105</v>
      </c>
      <c r="J739" s="13">
        <v>10</v>
      </c>
      <c r="K739" s="13" t="s">
        <v>6603</v>
      </c>
      <c r="L739" s="6" t="s">
        <v>3491</v>
      </c>
      <c r="M739" s="108" t="s">
        <v>3492</v>
      </c>
      <c r="N739" s="13" t="s">
        <v>2676</v>
      </c>
      <c r="O739" s="13" t="s">
        <v>11948</v>
      </c>
      <c r="P739" s="13" t="s">
        <v>68</v>
      </c>
      <c r="Q739" s="6" t="s">
        <v>3493</v>
      </c>
      <c r="R739" s="17" t="s">
        <v>3494</v>
      </c>
      <c r="S739" s="17" t="s">
        <v>3495</v>
      </c>
      <c r="T739" s="18">
        <v>60</v>
      </c>
      <c r="U739" s="18">
        <v>60</v>
      </c>
      <c r="V739" s="13" t="s">
        <v>3496</v>
      </c>
      <c r="X739" s="132">
        <v>732</v>
      </c>
      <c r="Y739" s="6"/>
    </row>
    <row r="740" spans="1:25" ht="15" customHeight="1" x14ac:dyDescent="0.2">
      <c r="A740" s="12" t="s">
        <v>3497</v>
      </c>
      <c r="B740" s="24" t="s">
        <v>4978</v>
      </c>
      <c r="C740" s="14">
        <v>47642</v>
      </c>
      <c r="D740" s="13" t="s">
        <v>1533</v>
      </c>
      <c r="E740" s="6" t="s">
        <v>3499</v>
      </c>
      <c r="F740" s="15" t="s">
        <v>11903</v>
      </c>
      <c r="G740" s="6" t="s">
        <v>3500</v>
      </c>
      <c r="H740" s="6" t="s">
        <v>11984</v>
      </c>
      <c r="I740" s="13" t="s">
        <v>13</v>
      </c>
      <c r="J740" s="13">
        <v>7</v>
      </c>
      <c r="K740" s="13" t="s">
        <v>6603</v>
      </c>
      <c r="L740" s="6" t="s">
        <v>3501</v>
      </c>
      <c r="M740" s="108" t="s">
        <v>11985</v>
      </c>
      <c r="N740" s="13" t="s">
        <v>2733</v>
      </c>
      <c r="O740" s="13" t="s">
        <v>9664</v>
      </c>
      <c r="P740" s="13" t="s">
        <v>68</v>
      </c>
      <c r="Q740" s="6" t="s">
        <v>3502</v>
      </c>
      <c r="R740" s="17" t="s">
        <v>3503</v>
      </c>
      <c r="S740" s="17" t="s">
        <v>3504</v>
      </c>
      <c r="T740" s="18">
        <v>100</v>
      </c>
      <c r="U740" s="18">
        <v>100</v>
      </c>
      <c r="V740" s="13" t="s">
        <v>3505</v>
      </c>
      <c r="X740" s="132">
        <v>733</v>
      </c>
      <c r="Y740" s="6"/>
    </row>
    <row r="741" spans="1:25" ht="15" customHeight="1" x14ac:dyDescent="0.2">
      <c r="A741" s="12" t="s">
        <v>3498</v>
      </c>
      <c r="B741" s="24" t="s">
        <v>4978</v>
      </c>
      <c r="C741" s="14">
        <v>47642</v>
      </c>
      <c r="D741" s="13" t="s">
        <v>1533</v>
      </c>
      <c r="E741" s="6" t="s">
        <v>3499</v>
      </c>
      <c r="F741" s="15" t="s">
        <v>11904</v>
      </c>
      <c r="G741" s="6" t="s">
        <v>3506</v>
      </c>
      <c r="H741" s="6" t="s">
        <v>3506</v>
      </c>
      <c r="I741" s="13" t="s">
        <v>2702</v>
      </c>
      <c r="J741" s="13">
        <v>11</v>
      </c>
      <c r="K741" s="13" t="s">
        <v>6603</v>
      </c>
      <c r="L741" s="6" t="s">
        <v>3507</v>
      </c>
      <c r="M741" s="108" t="s">
        <v>11986</v>
      </c>
      <c r="N741" s="13" t="s">
        <v>2733</v>
      </c>
      <c r="O741" s="13" t="s">
        <v>9664</v>
      </c>
      <c r="P741" s="13" t="s">
        <v>68</v>
      </c>
      <c r="Q741" s="6" t="s">
        <v>11987</v>
      </c>
      <c r="R741" s="17" t="s">
        <v>3503</v>
      </c>
      <c r="S741" s="17" t="s">
        <v>3504</v>
      </c>
      <c r="T741" s="18">
        <v>120</v>
      </c>
      <c r="U741" s="18">
        <v>100</v>
      </c>
      <c r="V741" s="13" t="s">
        <v>3505</v>
      </c>
      <c r="X741" s="132">
        <v>734</v>
      </c>
      <c r="Y741" s="6"/>
    </row>
    <row r="742" spans="1:25" ht="15" customHeight="1" x14ac:dyDescent="0.2">
      <c r="A742" s="12" t="s">
        <v>4268</v>
      </c>
      <c r="B742" s="13" t="s">
        <v>4978</v>
      </c>
      <c r="C742" s="74">
        <v>46284</v>
      </c>
      <c r="D742" s="13" t="s">
        <v>1533</v>
      </c>
      <c r="E742" s="6" t="s">
        <v>3499</v>
      </c>
      <c r="F742" s="54" t="s">
        <v>11905</v>
      </c>
      <c r="G742" s="6" t="s">
        <v>3506</v>
      </c>
      <c r="H742" s="147" t="s">
        <v>3506</v>
      </c>
      <c r="I742" s="13" t="s">
        <v>7931</v>
      </c>
      <c r="J742" s="13">
        <v>9</v>
      </c>
      <c r="K742" s="13" t="s">
        <v>6603</v>
      </c>
      <c r="L742" s="6" t="s">
        <v>4269</v>
      </c>
      <c r="M742" s="108" t="s">
        <v>4270</v>
      </c>
      <c r="N742" s="13" t="s">
        <v>4271</v>
      </c>
      <c r="O742" s="13" t="s">
        <v>9664</v>
      </c>
      <c r="P742" s="13" t="s">
        <v>68</v>
      </c>
      <c r="Q742" s="6" t="s">
        <v>4272</v>
      </c>
      <c r="R742" s="17" t="s">
        <v>3503</v>
      </c>
      <c r="S742" s="17" t="s">
        <v>3504</v>
      </c>
      <c r="T742" s="18">
        <v>30</v>
      </c>
      <c r="U742" s="18">
        <v>20</v>
      </c>
      <c r="V742" s="13" t="s">
        <v>3505</v>
      </c>
      <c r="X742" s="132">
        <v>735</v>
      </c>
      <c r="Y742" s="6"/>
    </row>
    <row r="743" spans="1:25" ht="15" customHeight="1" x14ac:dyDescent="0.2">
      <c r="A743" s="20" t="s">
        <v>3454</v>
      </c>
      <c r="B743" s="22" t="s">
        <v>2608</v>
      </c>
      <c r="C743" s="14">
        <v>45331</v>
      </c>
      <c r="D743" s="13" t="s">
        <v>1533</v>
      </c>
      <c r="E743" s="55" t="s">
        <v>3509</v>
      </c>
      <c r="F743" s="15" t="s">
        <v>3511</v>
      </c>
      <c r="G743" s="6" t="s">
        <v>3510</v>
      </c>
      <c r="H743" s="147" t="s">
        <v>3510</v>
      </c>
      <c r="I743" s="13" t="s">
        <v>25</v>
      </c>
      <c r="J743" s="13">
        <v>6</v>
      </c>
      <c r="K743" s="13" t="s">
        <v>1714</v>
      </c>
      <c r="L743" s="6" t="s">
        <v>3512</v>
      </c>
      <c r="M743" s="108" t="s">
        <v>3513</v>
      </c>
      <c r="N743" s="13" t="s">
        <v>3514</v>
      </c>
      <c r="O743" s="13" t="s">
        <v>27</v>
      </c>
      <c r="P743" s="13" t="s">
        <v>9</v>
      </c>
      <c r="Q743" s="6" t="s">
        <v>3515</v>
      </c>
      <c r="R743" s="17" t="s">
        <v>3516</v>
      </c>
      <c r="S743" s="17" t="s">
        <v>6634</v>
      </c>
      <c r="T743" s="18">
        <v>12</v>
      </c>
      <c r="U743" s="18">
        <v>9</v>
      </c>
      <c r="V743" s="13" t="s">
        <v>3508</v>
      </c>
      <c r="X743" s="132">
        <v>736</v>
      </c>
      <c r="Y743" s="6"/>
    </row>
    <row r="744" spans="1:25" ht="15" customHeight="1" x14ac:dyDescent="0.2">
      <c r="A744" s="20" t="s">
        <v>3455</v>
      </c>
      <c r="B744" s="22" t="s">
        <v>2608</v>
      </c>
      <c r="C744" s="14">
        <v>45331</v>
      </c>
      <c r="D744" s="13" t="s">
        <v>33</v>
      </c>
      <c r="E744" s="6" t="s">
        <v>3542</v>
      </c>
      <c r="G744" s="6" t="s">
        <v>3543</v>
      </c>
      <c r="H744" s="147" t="s">
        <v>3543</v>
      </c>
      <c r="I744" s="13" t="s">
        <v>25</v>
      </c>
      <c r="J744" s="13">
        <v>3</v>
      </c>
      <c r="K744" s="13" t="s">
        <v>1714</v>
      </c>
      <c r="L744" s="6" t="s">
        <v>3544</v>
      </c>
      <c r="M744" s="108" t="s">
        <v>3545</v>
      </c>
      <c r="N744" s="13" t="s">
        <v>3546</v>
      </c>
      <c r="O744" s="13" t="s">
        <v>15</v>
      </c>
      <c r="P744" s="13" t="s">
        <v>16</v>
      </c>
      <c r="Q744" s="6" t="s">
        <v>3547</v>
      </c>
      <c r="R744" s="17" t="s">
        <v>3548</v>
      </c>
      <c r="S744" s="17" t="s">
        <v>3549</v>
      </c>
      <c r="T744" s="18"/>
      <c r="U744" s="18">
        <v>3</v>
      </c>
      <c r="V744" s="13" t="s">
        <v>3550</v>
      </c>
      <c r="X744" s="132">
        <v>737</v>
      </c>
      <c r="Y744" s="6"/>
    </row>
    <row r="745" spans="1:25" ht="15" customHeight="1" x14ac:dyDescent="0.25">
      <c r="A745" s="12" t="s">
        <v>3456</v>
      </c>
      <c r="B745" s="13" t="s">
        <v>4978</v>
      </c>
      <c r="C745" s="74">
        <v>47194</v>
      </c>
      <c r="D745" s="13" t="s">
        <v>1533</v>
      </c>
      <c r="E745" s="6" t="s">
        <v>9543</v>
      </c>
      <c r="F745" s="15" t="s">
        <v>9543</v>
      </c>
      <c r="G745" s="6" t="s">
        <v>3551</v>
      </c>
      <c r="H745" s="6" t="s">
        <v>3551</v>
      </c>
      <c r="I745" s="13" t="s">
        <v>25</v>
      </c>
      <c r="J745" s="13">
        <v>6</v>
      </c>
      <c r="K745" s="13" t="s">
        <v>1714</v>
      </c>
      <c r="L745" s="6" t="s">
        <v>9544</v>
      </c>
      <c r="M745" s="108" t="s">
        <v>9545</v>
      </c>
      <c r="N745" s="13" t="s">
        <v>172</v>
      </c>
      <c r="O745" s="13" t="s">
        <v>172</v>
      </c>
      <c r="P745" s="13" t="s">
        <v>9</v>
      </c>
      <c r="Q745" s="6" t="s">
        <v>3552</v>
      </c>
      <c r="R745" s="69" t="s">
        <v>9546</v>
      </c>
      <c r="S745" s="69" t="s">
        <v>9547</v>
      </c>
      <c r="T745" s="18">
        <v>35</v>
      </c>
      <c r="U745" s="18">
        <v>18</v>
      </c>
      <c r="V745" s="13" t="s">
        <v>9548</v>
      </c>
      <c r="W745" s="6" t="s">
        <v>3553</v>
      </c>
      <c r="X745" s="132">
        <v>738</v>
      </c>
      <c r="Y745" s="6"/>
    </row>
    <row r="746" spans="1:25" ht="15" customHeight="1" x14ac:dyDescent="0.25">
      <c r="A746" s="12" t="s">
        <v>3457</v>
      </c>
      <c r="B746" s="13" t="s">
        <v>4978</v>
      </c>
      <c r="C746" s="74">
        <v>47148</v>
      </c>
      <c r="D746" s="13" t="s">
        <v>1533</v>
      </c>
      <c r="E746" s="6" t="s">
        <v>3554</v>
      </c>
      <c r="F746" s="15" t="s">
        <v>9156</v>
      </c>
      <c r="G746" s="6" t="s">
        <v>3555</v>
      </c>
      <c r="H746" s="6" t="s">
        <v>3555</v>
      </c>
      <c r="I746" s="13" t="s">
        <v>25</v>
      </c>
      <c r="J746" s="13">
        <v>6</v>
      </c>
      <c r="K746" s="13" t="s">
        <v>1714</v>
      </c>
      <c r="L746" s="6" t="s">
        <v>3556</v>
      </c>
      <c r="M746" s="108" t="s">
        <v>4738</v>
      </c>
      <c r="N746" s="13" t="s">
        <v>2486</v>
      </c>
      <c r="O746" s="13" t="s">
        <v>61</v>
      </c>
      <c r="P746" s="13" t="s">
        <v>9</v>
      </c>
      <c r="Q746" s="6" t="s">
        <v>3557</v>
      </c>
      <c r="R746" s="69" t="s">
        <v>9034</v>
      </c>
      <c r="S746" s="69" t="s">
        <v>9035</v>
      </c>
      <c r="T746" s="18">
        <v>32</v>
      </c>
      <c r="U746" s="18">
        <v>15</v>
      </c>
      <c r="V746" s="13" t="s">
        <v>9036</v>
      </c>
      <c r="W746" s="6" t="s">
        <v>3553</v>
      </c>
      <c r="X746" s="132">
        <v>739</v>
      </c>
      <c r="Y746" s="6"/>
    </row>
    <row r="747" spans="1:25" ht="15" customHeight="1" x14ac:dyDescent="0.2">
      <c r="A747" s="12" t="s">
        <v>3458</v>
      </c>
      <c r="B747" s="13" t="s">
        <v>4978</v>
      </c>
      <c r="C747" s="74">
        <v>46917</v>
      </c>
      <c r="D747" s="13" t="s">
        <v>1533</v>
      </c>
      <c r="E747" s="6" t="s">
        <v>11680</v>
      </c>
      <c r="F747" s="15" t="s">
        <v>7446</v>
      </c>
      <c r="G747" s="6" t="s">
        <v>3558</v>
      </c>
      <c r="H747" s="6" t="s">
        <v>3558</v>
      </c>
      <c r="I747" s="13" t="s">
        <v>25</v>
      </c>
      <c r="J747" s="13">
        <v>6</v>
      </c>
      <c r="K747" s="13" t="s">
        <v>1714</v>
      </c>
      <c r="L747" s="6" t="s">
        <v>7447</v>
      </c>
      <c r="M747" s="108" t="s">
        <v>4738</v>
      </c>
      <c r="N747" s="13" t="s">
        <v>2486</v>
      </c>
      <c r="O747" s="13" t="s">
        <v>61</v>
      </c>
      <c r="P747" s="13" t="s">
        <v>9</v>
      </c>
      <c r="Q747" s="6" t="s">
        <v>3557</v>
      </c>
      <c r="R747" s="17" t="s">
        <v>7448</v>
      </c>
      <c r="S747" s="17" t="s">
        <v>7449</v>
      </c>
      <c r="T747" s="18">
        <v>35</v>
      </c>
      <c r="U747" s="18">
        <v>18</v>
      </c>
      <c r="V747" s="13" t="s">
        <v>3553</v>
      </c>
      <c r="W747" s="6" t="s">
        <v>3553</v>
      </c>
      <c r="X747" s="132">
        <v>740</v>
      </c>
      <c r="Y747" s="6"/>
    </row>
    <row r="748" spans="1:25" ht="15" customHeight="1" x14ac:dyDescent="0.2">
      <c r="A748" s="12" t="s">
        <v>3459</v>
      </c>
      <c r="B748" s="13" t="s">
        <v>1197</v>
      </c>
      <c r="C748" s="14">
        <v>46062</v>
      </c>
      <c r="D748" s="13" t="s">
        <v>1533</v>
      </c>
      <c r="E748" s="31" t="s">
        <v>1197</v>
      </c>
      <c r="F748" s="15" t="s">
        <v>1197</v>
      </c>
      <c r="G748" s="6" t="s">
        <v>1197</v>
      </c>
      <c r="H748" s="147" t="s">
        <v>1197</v>
      </c>
      <c r="I748" s="13" t="s">
        <v>25</v>
      </c>
      <c r="K748" s="13" t="s">
        <v>1714</v>
      </c>
      <c r="L748" s="6" t="s">
        <v>3560</v>
      </c>
      <c r="M748" s="108" t="s">
        <v>3561</v>
      </c>
      <c r="N748" s="13" t="s">
        <v>3562</v>
      </c>
      <c r="O748" s="13" t="s">
        <v>11948</v>
      </c>
      <c r="P748" s="13" t="s">
        <v>68</v>
      </c>
      <c r="Q748" s="6" t="s">
        <v>3563</v>
      </c>
      <c r="R748" s="17" t="s">
        <v>3564</v>
      </c>
      <c r="S748" s="17" t="s">
        <v>6632</v>
      </c>
      <c r="T748" s="18">
        <v>18</v>
      </c>
      <c r="U748" s="18">
        <v>13</v>
      </c>
      <c r="V748" s="13" t="s">
        <v>3559</v>
      </c>
      <c r="X748" s="132">
        <v>741</v>
      </c>
      <c r="Y748" s="6"/>
    </row>
    <row r="749" spans="1:25" ht="15" customHeight="1" x14ac:dyDescent="0.2">
      <c r="A749" s="20" t="s">
        <v>3460</v>
      </c>
      <c r="B749" s="22" t="s">
        <v>2608</v>
      </c>
      <c r="C749" s="14">
        <v>45331</v>
      </c>
      <c r="D749" s="13" t="s">
        <v>33</v>
      </c>
      <c r="E749" s="6" t="s">
        <v>3565</v>
      </c>
      <c r="F749" s="15" t="s">
        <v>11906</v>
      </c>
      <c r="G749" s="6" t="s">
        <v>3566</v>
      </c>
      <c r="H749" s="147" t="s">
        <v>3566</v>
      </c>
      <c r="I749" s="13" t="s">
        <v>25</v>
      </c>
      <c r="J749" s="13">
        <v>3</v>
      </c>
      <c r="K749" s="13" t="s">
        <v>1714</v>
      </c>
      <c r="L749" s="6" t="s">
        <v>3567</v>
      </c>
      <c r="M749" s="108" t="s">
        <v>3568</v>
      </c>
      <c r="N749" s="13" t="s">
        <v>2486</v>
      </c>
      <c r="O749" s="13" t="s">
        <v>61</v>
      </c>
      <c r="P749" s="13" t="s">
        <v>9</v>
      </c>
      <c r="Q749" s="6" t="s">
        <v>3569</v>
      </c>
      <c r="R749" s="17" t="s">
        <v>3570</v>
      </c>
      <c r="S749" s="17" t="s">
        <v>3571</v>
      </c>
      <c r="T749" s="18">
        <v>15</v>
      </c>
      <c r="U749" s="18">
        <v>10</v>
      </c>
      <c r="V749" s="13" t="s">
        <v>3572</v>
      </c>
      <c r="X749" s="132">
        <v>742</v>
      </c>
      <c r="Y749" s="6"/>
    </row>
    <row r="750" spans="1:25" ht="15" customHeight="1" x14ac:dyDescent="0.2">
      <c r="A750" s="12" t="s">
        <v>3461</v>
      </c>
      <c r="B750" s="13" t="s">
        <v>4978</v>
      </c>
      <c r="C750" s="74">
        <v>46848</v>
      </c>
      <c r="D750" s="13" t="s">
        <v>33</v>
      </c>
      <c r="E750" s="6" t="s">
        <v>3658</v>
      </c>
      <c r="G750" s="6" t="s">
        <v>3660</v>
      </c>
      <c r="H750" s="6" t="s">
        <v>3660</v>
      </c>
      <c r="I750" s="13" t="s">
        <v>25</v>
      </c>
      <c r="J750" s="13">
        <v>3</v>
      </c>
      <c r="K750" s="13" t="s">
        <v>1714</v>
      </c>
      <c r="L750" s="6" t="s">
        <v>7077</v>
      </c>
      <c r="M750" s="108" t="s">
        <v>6269</v>
      </c>
      <c r="N750" s="13" t="s">
        <v>3661</v>
      </c>
      <c r="O750" s="13" t="s">
        <v>240</v>
      </c>
      <c r="P750" s="13" t="s">
        <v>16</v>
      </c>
      <c r="Q750" s="6" t="s">
        <v>3662</v>
      </c>
      <c r="R750" s="17" t="s">
        <v>3663</v>
      </c>
      <c r="S750" s="17"/>
      <c r="T750" s="18">
        <v>35</v>
      </c>
      <c r="U750" s="18">
        <v>23</v>
      </c>
      <c r="V750" s="13" t="s">
        <v>7078</v>
      </c>
      <c r="W750" s="13" t="s">
        <v>3659</v>
      </c>
      <c r="X750" s="132">
        <v>743</v>
      </c>
      <c r="Y750" s="6"/>
    </row>
    <row r="751" spans="1:25" ht="15" customHeight="1" x14ac:dyDescent="0.2">
      <c r="A751" s="20" t="s">
        <v>3462</v>
      </c>
      <c r="B751" s="22" t="s">
        <v>2608</v>
      </c>
      <c r="C751" s="14">
        <v>46062</v>
      </c>
      <c r="D751" s="13" t="s">
        <v>33</v>
      </c>
      <c r="E751" s="6" t="s">
        <v>3573</v>
      </c>
      <c r="F751" s="15" t="s">
        <v>11907</v>
      </c>
      <c r="G751" s="6" t="s">
        <v>3574</v>
      </c>
      <c r="H751" s="147" t="s">
        <v>3574</v>
      </c>
      <c r="I751" s="13" t="s">
        <v>25</v>
      </c>
      <c r="J751" s="13">
        <v>3</v>
      </c>
      <c r="K751" s="13" t="s">
        <v>1714</v>
      </c>
      <c r="L751" s="6" t="s">
        <v>3576</v>
      </c>
      <c r="M751" s="108" t="s">
        <v>3575</v>
      </c>
      <c r="N751" s="13" t="s">
        <v>3281</v>
      </c>
      <c r="O751" s="13" t="s">
        <v>48</v>
      </c>
      <c r="P751" s="13" t="s">
        <v>16</v>
      </c>
      <c r="Q751" s="6" t="s">
        <v>3577</v>
      </c>
      <c r="R751" s="17" t="s">
        <v>3578</v>
      </c>
      <c r="S751" s="17" t="s">
        <v>6634</v>
      </c>
      <c r="T751" s="18"/>
      <c r="U751" s="18">
        <v>9</v>
      </c>
      <c r="V751" s="13" t="s">
        <v>3579</v>
      </c>
      <c r="X751" s="132">
        <v>744</v>
      </c>
      <c r="Y751" s="6"/>
    </row>
    <row r="752" spans="1:25" ht="15" customHeight="1" x14ac:dyDescent="0.2">
      <c r="A752" s="12" t="s">
        <v>3463</v>
      </c>
      <c r="B752" s="24" t="s">
        <v>4978</v>
      </c>
      <c r="C752" s="14">
        <v>47642</v>
      </c>
      <c r="D752" s="13" t="s">
        <v>33</v>
      </c>
      <c r="E752" s="6" t="s">
        <v>12090</v>
      </c>
      <c r="F752" s="15" t="s">
        <v>11908</v>
      </c>
      <c r="G752" s="6" t="s">
        <v>3580</v>
      </c>
      <c r="H752" s="6" t="s">
        <v>3580</v>
      </c>
      <c r="I752" s="13" t="s">
        <v>25</v>
      </c>
      <c r="J752" s="13">
        <v>3</v>
      </c>
      <c r="K752" s="13" t="s">
        <v>1714</v>
      </c>
      <c r="L752" s="6" t="s">
        <v>3581</v>
      </c>
      <c r="M752" s="108" t="s">
        <v>12091</v>
      </c>
      <c r="N752" s="13" t="s">
        <v>3582</v>
      </c>
      <c r="O752" s="13" t="s">
        <v>240</v>
      </c>
      <c r="P752" s="13" t="s">
        <v>16</v>
      </c>
      <c r="Q752" s="6" t="s">
        <v>3583</v>
      </c>
      <c r="R752" s="56" t="s">
        <v>3584</v>
      </c>
      <c r="S752" s="17" t="s">
        <v>3586</v>
      </c>
      <c r="T752" s="18">
        <v>26</v>
      </c>
      <c r="U752" s="18">
        <v>25</v>
      </c>
      <c r="V752" s="13" t="s">
        <v>3585</v>
      </c>
      <c r="X752" s="132">
        <v>745</v>
      </c>
      <c r="Y752" s="6"/>
    </row>
    <row r="753" spans="1:25" ht="15" customHeight="1" x14ac:dyDescent="0.2">
      <c r="A753" s="20" t="s">
        <v>3464</v>
      </c>
      <c r="B753" s="22" t="s">
        <v>2608</v>
      </c>
      <c r="C753" s="14">
        <v>46062</v>
      </c>
      <c r="D753" s="13" t="s">
        <v>33</v>
      </c>
      <c r="E753" s="6" t="s">
        <v>3587</v>
      </c>
      <c r="F753" s="15" t="s">
        <v>11909</v>
      </c>
      <c r="G753" s="6" t="s">
        <v>3588</v>
      </c>
      <c r="H753" s="147" t="s">
        <v>3588</v>
      </c>
      <c r="I753" s="13" t="s">
        <v>25</v>
      </c>
      <c r="J753" s="13">
        <v>3</v>
      </c>
      <c r="K753" s="13" t="s">
        <v>1714</v>
      </c>
      <c r="L753" s="6" t="s">
        <v>3589</v>
      </c>
      <c r="M753" s="108" t="s">
        <v>3590</v>
      </c>
      <c r="N753" s="13" t="s">
        <v>2229</v>
      </c>
      <c r="O753" s="13" t="s">
        <v>36</v>
      </c>
      <c r="P753" s="13" t="s">
        <v>4</v>
      </c>
      <c r="Q753" s="6" t="s">
        <v>3591</v>
      </c>
      <c r="R753" s="17" t="s">
        <v>3592</v>
      </c>
      <c r="S753" s="17" t="s">
        <v>3593</v>
      </c>
      <c r="T753" s="18">
        <v>17</v>
      </c>
      <c r="U753" s="18">
        <v>11</v>
      </c>
      <c r="V753" s="13" t="s">
        <v>3594</v>
      </c>
      <c r="X753" s="132">
        <v>746</v>
      </c>
      <c r="Y753" s="6"/>
    </row>
    <row r="754" spans="1:25" ht="15" customHeight="1" x14ac:dyDescent="0.2">
      <c r="A754" s="12" t="s">
        <v>3465</v>
      </c>
      <c r="B754" s="13" t="s">
        <v>4978</v>
      </c>
      <c r="C754" s="74">
        <v>47615</v>
      </c>
      <c r="D754" s="13" t="s">
        <v>33</v>
      </c>
      <c r="E754" s="6" t="s">
        <v>3595</v>
      </c>
      <c r="F754" s="15" t="s">
        <v>11427</v>
      </c>
      <c r="G754" s="6" t="s">
        <v>3596</v>
      </c>
      <c r="H754" s="6" t="s">
        <v>3596</v>
      </c>
      <c r="I754" s="13" t="s">
        <v>25</v>
      </c>
      <c r="J754" s="13">
        <v>3</v>
      </c>
      <c r="K754" s="13" t="s">
        <v>1714</v>
      </c>
      <c r="L754" s="6" t="s">
        <v>3597</v>
      </c>
      <c r="M754" s="108" t="s">
        <v>11428</v>
      </c>
      <c r="N754" s="13" t="s">
        <v>3598</v>
      </c>
      <c r="O754" s="13" t="s">
        <v>61</v>
      </c>
      <c r="P754" s="13" t="s">
        <v>9</v>
      </c>
      <c r="Q754" s="6" t="s">
        <v>3599</v>
      </c>
      <c r="R754" s="17" t="s">
        <v>3600</v>
      </c>
      <c r="S754" s="17" t="s">
        <v>3601</v>
      </c>
      <c r="T754" s="18">
        <v>36</v>
      </c>
      <c r="U754" s="18">
        <v>36</v>
      </c>
      <c r="V754" s="13" t="s">
        <v>3602</v>
      </c>
      <c r="X754" s="132">
        <v>747</v>
      </c>
      <c r="Y754" s="6"/>
    </row>
    <row r="755" spans="1:25" ht="15" customHeight="1" x14ac:dyDescent="0.2">
      <c r="A755" s="12" t="s">
        <v>3466</v>
      </c>
      <c r="B755" s="13" t="s">
        <v>4978</v>
      </c>
      <c r="C755" s="74">
        <v>47552</v>
      </c>
      <c r="D755" s="13" t="s">
        <v>33</v>
      </c>
      <c r="E755" s="6" t="s">
        <v>3603</v>
      </c>
      <c r="F755" s="15" t="s">
        <v>11397</v>
      </c>
      <c r="G755" s="6" t="s">
        <v>3604</v>
      </c>
      <c r="H755" s="6" t="s">
        <v>3604</v>
      </c>
      <c r="I755" s="13" t="s">
        <v>25</v>
      </c>
      <c r="J755" s="13">
        <v>3</v>
      </c>
      <c r="K755" s="13" t="s">
        <v>1714</v>
      </c>
      <c r="L755" s="6" t="s">
        <v>3605</v>
      </c>
      <c r="M755" s="108" t="s">
        <v>11398</v>
      </c>
      <c r="N755" s="13" t="s">
        <v>2647</v>
      </c>
      <c r="O755" s="13" t="s">
        <v>2146</v>
      </c>
      <c r="P755" s="13" t="s">
        <v>68</v>
      </c>
      <c r="Q755" s="6" t="s">
        <v>3606</v>
      </c>
      <c r="R755" s="17" t="s">
        <v>3607</v>
      </c>
      <c r="S755" s="17"/>
      <c r="T755" s="18">
        <v>26</v>
      </c>
      <c r="U755" s="18">
        <v>22</v>
      </c>
      <c r="V755" s="13" t="s">
        <v>3608</v>
      </c>
      <c r="X755" s="132">
        <v>748</v>
      </c>
      <c r="Y755" s="6"/>
    </row>
    <row r="756" spans="1:25" ht="15" customHeight="1" x14ac:dyDescent="0.25">
      <c r="A756" s="12" t="s">
        <v>10251</v>
      </c>
      <c r="B756" s="79" t="s">
        <v>4977</v>
      </c>
      <c r="C756" s="80">
        <v>46584</v>
      </c>
      <c r="D756" s="79" t="s">
        <v>33</v>
      </c>
      <c r="E756" s="81" t="s">
        <v>3603</v>
      </c>
      <c r="F756" s="82" t="s">
        <v>10252</v>
      </c>
      <c r="G756" s="81" t="s">
        <v>10253</v>
      </c>
      <c r="H756" s="81" t="s">
        <v>10253</v>
      </c>
      <c r="I756" s="79" t="s">
        <v>25</v>
      </c>
      <c r="J756" s="79">
        <v>3</v>
      </c>
      <c r="K756" s="79" t="s">
        <v>1714</v>
      </c>
      <c r="L756" s="81" t="s">
        <v>10254</v>
      </c>
      <c r="M756" s="109" t="s">
        <v>10255</v>
      </c>
      <c r="N756" s="79" t="s">
        <v>3338</v>
      </c>
      <c r="O756" s="13" t="s">
        <v>1055</v>
      </c>
      <c r="P756" s="13" t="s">
        <v>16</v>
      </c>
      <c r="Q756" s="81" t="s">
        <v>10256</v>
      </c>
      <c r="R756" s="69" t="s">
        <v>3607</v>
      </c>
      <c r="S756" s="84"/>
      <c r="T756" s="85">
        <v>24</v>
      </c>
      <c r="U756" s="85">
        <v>12</v>
      </c>
      <c r="V756" s="79" t="s">
        <v>10257</v>
      </c>
      <c r="W756" s="81"/>
      <c r="X756" s="132">
        <v>749</v>
      </c>
      <c r="Y756" s="6"/>
    </row>
    <row r="757" spans="1:25" ht="15" customHeight="1" x14ac:dyDescent="0.2">
      <c r="A757" s="12" t="s">
        <v>3467</v>
      </c>
      <c r="B757" s="13" t="s">
        <v>4978</v>
      </c>
      <c r="C757" s="74">
        <v>47615</v>
      </c>
      <c r="D757" s="13" t="s">
        <v>33</v>
      </c>
      <c r="E757" s="6" t="s">
        <v>3610</v>
      </c>
      <c r="F757" s="15" t="s">
        <v>11544</v>
      </c>
      <c r="G757" s="6" t="s">
        <v>3611</v>
      </c>
      <c r="H757" s="6" t="s">
        <v>3611</v>
      </c>
      <c r="I757" s="13" t="s">
        <v>25</v>
      </c>
      <c r="J757" s="13">
        <v>3</v>
      </c>
      <c r="K757" s="13" t="s">
        <v>1714</v>
      </c>
      <c r="L757" s="6" t="s">
        <v>3612</v>
      </c>
      <c r="M757" s="108" t="s">
        <v>11545</v>
      </c>
      <c r="N757" s="13" t="s">
        <v>177</v>
      </c>
      <c r="O757" s="13" t="s">
        <v>177</v>
      </c>
      <c r="P757" s="13" t="s">
        <v>9</v>
      </c>
      <c r="Q757" s="6" t="s">
        <v>3613</v>
      </c>
      <c r="R757" s="17" t="s">
        <v>3614</v>
      </c>
      <c r="S757" s="17" t="s">
        <v>3615</v>
      </c>
      <c r="T757" s="18">
        <v>35</v>
      </c>
      <c r="U757" s="18">
        <v>31</v>
      </c>
      <c r="V757" s="13" t="s">
        <v>3609</v>
      </c>
      <c r="X757" s="132">
        <v>750</v>
      </c>
      <c r="Y757" s="6"/>
    </row>
    <row r="758" spans="1:25" ht="15" customHeight="1" x14ac:dyDescent="0.2">
      <c r="A758" s="12" t="s">
        <v>3468</v>
      </c>
      <c r="B758" s="13" t="s">
        <v>4978</v>
      </c>
      <c r="C758" s="74">
        <v>46826</v>
      </c>
      <c r="D758" s="13" t="s">
        <v>33</v>
      </c>
      <c r="E758" s="6" t="s">
        <v>11591</v>
      </c>
      <c r="F758" s="15" t="s">
        <v>6947</v>
      </c>
      <c r="G758" s="6" t="s">
        <v>3617</v>
      </c>
      <c r="H758" s="6" t="s">
        <v>3617</v>
      </c>
      <c r="I758" s="13" t="s">
        <v>25</v>
      </c>
      <c r="J758" s="13">
        <v>3</v>
      </c>
      <c r="K758" s="13" t="s">
        <v>1714</v>
      </c>
      <c r="L758" s="6" t="s">
        <v>6948</v>
      </c>
      <c r="M758" s="108" t="s">
        <v>6949</v>
      </c>
      <c r="N758" s="13" t="s">
        <v>2161</v>
      </c>
      <c r="O758" s="13" t="s">
        <v>2146</v>
      </c>
      <c r="P758" s="13" t="s">
        <v>68</v>
      </c>
      <c r="Q758" s="6" t="s">
        <v>3618</v>
      </c>
      <c r="R758" s="17" t="s">
        <v>3619</v>
      </c>
      <c r="S758" s="17" t="s">
        <v>3620</v>
      </c>
      <c r="T758" s="18">
        <v>23</v>
      </c>
      <c r="U758" s="18">
        <v>23</v>
      </c>
      <c r="V758" s="13" t="s">
        <v>6950</v>
      </c>
      <c r="W758" s="13" t="s">
        <v>3621</v>
      </c>
      <c r="X758" s="132">
        <v>751</v>
      </c>
      <c r="Y758" s="6"/>
    </row>
    <row r="759" spans="1:25" ht="15" customHeight="1" x14ac:dyDescent="0.2">
      <c r="A759" s="12" t="s">
        <v>7991</v>
      </c>
      <c r="B759" s="13" t="s">
        <v>4977</v>
      </c>
      <c r="C759" s="14">
        <v>46295</v>
      </c>
      <c r="D759" s="13" t="s">
        <v>33</v>
      </c>
      <c r="E759" s="6" t="s">
        <v>3616</v>
      </c>
      <c r="F759" s="15" t="s">
        <v>7992</v>
      </c>
      <c r="G759" s="6" t="s">
        <v>3617</v>
      </c>
      <c r="H759" s="6" t="s">
        <v>7993</v>
      </c>
      <c r="I759" s="13" t="s">
        <v>25</v>
      </c>
      <c r="J759" s="13">
        <v>3</v>
      </c>
      <c r="K759" s="13" t="s">
        <v>1714</v>
      </c>
      <c r="L759" s="6" t="s">
        <v>7994</v>
      </c>
      <c r="M759" s="108" t="s">
        <v>5274</v>
      </c>
      <c r="N759" s="13" t="s">
        <v>2161</v>
      </c>
      <c r="O759" s="13" t="s">
        <v>2146</v>
      </c>
      <c r="P759" s="13" t="s">
        <v>68</v>
      </c>
      <c r="Q759" s="6" t="s">
        <v>7995</v>
      </c>
      <c r="R759" s="17" t="s">
        <v>3619</v>
      </c>
      <c r="S759" s="17" t="s">
        <v>3620</v>
      </c>
      <c r="T759" s="18">
        <v>17</v>
      </c>
      <c r="U759" s="18">
        <v>16</v>
      </c>
      <c r="V759" s="13" t="s">
        <v>7996</v>
      </c>
      <c r="W759" s="13"/>
      <c r="X759" s="132">
        <v>752</v>
      </c>
      <c r="Y759" s="6"/>
    </row>
    <row r="760" spans="1:25" ht="15" customHeight="1" x14ac:dyDescent="0.2">
      <c r="A760" s="20" t="s">
        <v>3469</v>
      </c>
      <c r="B760" s="22" t="s">
        <v>2608</v>
      </c>
      <c r="C760" s="14">
        <v>46062</v>
      </c>
      <c r="D760" s="13" t="s">
        <v>33</v>
      </c>
      <c r="E760" s="6" t="s">
        <v>3622</v>
      </c>
      <c r="F760" s="15" t="s">
        <v>11910</v>
      </c>
      <c r="G760" s="6" t="s">
        <v>3624</v>
      </c>
      <c r="H760" s="147" t="s">
        <v>3624</v>
      </c>
      <c r="I760" s="13" t="s">
        <v>25</v>
      </c>
      <c r="J760" s="13">
        <v>3</v>
      </c>
      <c r="K760" s="13" t="s">
        <v>1714</v>
      </c>
      <c r="L760" s="6" t="s">
        <v>3625</v>
      </c>
      <c r="M760" s="108" t="s">
        <v>3626</v>
      </c>
      <c r="N760" s="13" t="s">
        <v>2536</v>
      </c>
      <c r="O760" s="13" t="s">
        <v>128</v>
      </c>
      <c r="P760" s="13" t="s">
        <v>16</v>
      </c>
      <c r="Q760" s="6" t="s">
        <v>3627</v>
      </c>
      <c r="R760" s="17" t="s">
        <v>3628</v>
      </c>
      <c r="S760" s="17" t="s">
        <v>6634</v>
      </c>
      <c r="T760" s="18">
        <v>16</v>
      </c>
      <c r="U760" s="18">
        <v>10</v>
      </c>
      <c r="V760" s="13" t="s">
        <v>3623</v>
      </c>
      <c r="X760" s="132">
        <v>753</v>
      </c>
      <c r="Y760" s="6"/>
    </row>
    <row r="761" spans="1:25" ht="15" customHeight="1" x14ac:dyDescent="0.2">
      <c r="A761" s="20" t="s">
        <v>3470</v>
      </c>
      <c r="B761" s="22" t="s">
        <v>2608</v>
      </c>
      <c r="C761" s="14">
        <v>46062</v>
      </c>
      <c r="D761" s="13" t="s">
        <v>33</v>
      </c>
      <c r="E761" s="6" t="s">
        <v>3635</v>
      </c>
      <c r="F761" s="54" t="s">
        <v>11911</v>
      </c>
      <c r="G761" s="6" t="s">
        <v>3636</v>
      </c>
      <c r="H761" s="147" t="s">
        <v>3636</v>
      </c>
      <c r="I761" s="13" t="s">
        <v>25</v>
      </c>
      <c r="J761" s="13">
        <v>3</v>
      </c>
      <c r="K761" s="13" t="s">
        <v>1714</v>
      </c>
      <c r="L761" s="6" t="s">
        <v>3637</v>
      </c>
      <c r="M761" s="108" t="s">
        <v>3638</v>
      </c>
      <c r="N761" s="13" t="s">
        <v>2757</v>
      </c>
      <c r="O761" s="13" t="s">
        <v>15</v>
      </c>
      <c r="P761" s="13" t="s">
        <v>16</v>
      </c>
      <c r="Q761" s="6" t="s">
        <v>3639</v>
      </c>
      <c r="R761" s="17" t="s">
        <v>3640</v>
      </c>
      <c r="S761" s="17" t="s">
        <v>6634</v>
      </c>
      <c r="T761" s="18">
        <v>14</v>
      </c>
      <c r="U761" s="18">
        <v>12</v>
      </c>
      <c r="V761" s="13" t="s">
        <v>3641</v>
      </c>
      <c r="X761" s="132">
        <v>754</v>
      </c>
      <c r="Y761" s="6"/>
    </row>
    <row r="762" spans="1:25" ht="15" customHeight="1" x14ac:dyDescent="0.2">
      <c r="A762" s="12" t="s">
        <v>3471</v>
      </c>
      <c r="B762" s="13" t="s">
        <v>4978</v>
      </c>
      <c r="C762" s="74">
        <v>46917</v>
      </c>
      <c r="D762" s="13" t="s">
        <v>33</v>
      </c>
      <c r="E762" s="6" t="s">
        <v>3675</v>
      </c>
      <c r="F762" s="15" t="s">
        <v>7478</v>
      </c>
      <c r="G762" s="6" t="s">
        <v>3664</v>
      </c>
      <c r="H762" s="6" t="s">
        <v>3664</v>
      </c>
      <c r="I762" s="13" t="s">
        <v>25</v>
      </c>
      <c r="J762" s="13">
        <v>3</v>
      </c>
      <c r="K762" s="13" t="s">
        <v>1714</v>
      </c>
      <c r="L762" s="6" t="s">
        <v>7542</v>
      </c>
      <c r="M762" s="108" t="s">
        <v>7543</v>
      </c>
      <c r="N762" s="13" t="s">
        <v>2259</v>
      </c>
      <c r="O762" s="13" t="s">
        <v>21</v>
      </c>
      <c r="P762" s="13" t="s">
        <v>9</v>
      </c>
      <c r="Q762" s="6" t="s">
        <v>3667</v>
      </c>
      <c r="R762" s="17" t="s">
        <v>3668</v>
      </c>
      <c r="S762" s="17" t="s">
        <v>3669</v>
      </c>
      <c r="T762" s="18">
        <v>28</v>
      </c>
      <c r="U762" s="18">
        <v>23</v>
      </c>
      <c r="V762" s="6" t="s">
        <v>7479</v>
      </c>
      <c r="W762" s="13" t="s">
        <v>3666</v>
      </c>
      <c r="X762" s="132">
        <v>755</v>
      </c>
      <c r="Y762" s="6"/>
    </row>
    <row r="763" spans="1:25" ht="15" customHeight="1" x14ac:dyDescent="0.2">
      <c r="A763" s="12" t="s">
        <v>3472</v>
      </c>
      <c r="B763" s="13" t="s">
        <v>4978</v>
      </c>
      <c r="C763" s="74">
        <v>46799</v>
      </c>
      <c r="D763" s="13" t="s">
        <v>1533</v>
      </c>
      <c r="E763" s="6" t="s">
        <v>3670</v>
      </c>
      <c r="F763" s="15" t="s">
        <v>11912</v>
      </c>
      <c r="G763" s="6" t="s">
        <v>3672</v>
      </c>
      <c r="H763" s="6" t="s">
        <v>3672</v>
      </c>
      <c r="I763" s="13" t="s">
        <v>25</v>
      </c>
      <c r="J763" s="13">
        <v>6</v>
      </c>
      <c r="K763" s="13" t="s">
        <v>1714</v>
      </c>
      <c r="L763" s="6" t="s">
        <v>6853</v>
      </c>
      <c r="M763" s="108" t="s">
        <v>3673</v>
      </c>
      <c r="N763" s="13" t="s">
        <v>3674</v>
      </c>
      <c r="O763" s="13" t="s">
        <v>21</v>
      </c>
      <c r="P763" s="13" t="s">
        <v>9</v>
      </c>
      <c r="Q763" s="6" t="s">
        <v>6732</v>
      </c>
      <c r="R763" s="17" t="s">
        <v>6733</v>
      </c>
      <c r="S763" s="17"/>
      <c r="T763" s="18">
        <v>24</v>
      </c>
      <c r="U763" s="18">
        <v>24</v>
      </c>
      <c r="V763" s="6" t="s">
        <v>6734</v>
      </c>
      <c r="W763" s="13" t="s">
        <v>3671</v>
      </c>
      <c r="X763" s="132">
        <v>756</v>
      </c>
      <c r="Y763" s="6"/>
    </row>
    <row r="764" spans="1:25" ht="15" customHeight="1" x14ac:dyDescent="0.2">
      <c r="A764" s="12" t="s">
        <v>3473</v>
      </c>
      <c r="B764" s="24" t="s">
        <v>4977</v>
      </c>
      <c r="C764" s="14">
        <v>47642</v>
      </c>
      <c r="D764" s="13" t="s">
        <v>1533</v>
      </c>
      <c r="E764" s="6" t="s">
        <v>3677</v>
      </c>
      <c r="F764" s="15" t="s">
        <v>3677</v>
      </c>
      <c r="G764" s="6" t="s">
        <v>3678</v>
      </c>
      <c r="H764" s="6" t="s">
        <v>12033</v>
      </c>
      <c r="I764" s="13" t="s">
        <v>25</v>
      </c>
      <c r="J764" s="13">
        <v>6</v>
      </c>
      <c r="K764" s="13" t="s">
        <v>1714</v>
      </c>
      <c r="L764" s="6" t="s">
        <v>3679</v>
      </c>
      <c r="M764" s="108" t="s">
        <v>12034</v>
      </c>
      <c r="N764" s="13" t="s">
        <v>3680</v>
      </c>
      <c r="O764" s="13" t="s">
        <v>925</v>
      </c>
      <c r="P764" s="13" t="s">
        <v>16</v>
      </c>
      <c r="Q764" s="6" t="s">
        <v>12035</v>
      </c>
      <c r="R764" s="17" t="s">
        <v>3681</v>
      </c>
      <c r="S764" s="17"/>
      <c r="T764" s="18">
        <v>30</v>
      </c>
      <c r="U764" s="18">
        <v>11</v>
      </c>
      <c r="V764" s="13" t="s">
        <v>3676</v>
      </c>
      <c r="X764" s="132">
        <v>757</v>
      </c>
      <c r="Y764" s="6"/>
    </row>
    <row r="765" spans="1:25" ht="15" customHeight="1" x14ac:dyDescent="0.25">
      <c r="A765" s="12" t="s">
        <v>3474</v>
      </c>
      <c r="B765" s="13" t="s">
        <v>4978</v>
      </c>
      <c r="C765" s="74">
        <v>47615</v>
      </c>
      <c r="D765" s="13" t="s">
        <v>33</v>
      </c>
      <c r="E765" s="6" t="s">
        <v>3683</v>
      </c>
      <c r="F765" s="54" t="s">
        <v>11459</v>
      </c>
      <c r="G765" s="6" t="s">
        <v>3684</v>
      </c>
      <c r="H765" s="6" t="s">
        <v>3684</v>
      </c>
      <c r="I765" s="13" t="s">
        <v>25</v>
      </c>
      <c r="J765" s="13">
        <v>3</v>
      </c>
      <c r="K765" s="13" t="s">
        <v>1714</v>
      </c>
      <c r="L765" s="6" t="s">
        <v>3685</v>
      </c>
      <c r="M765" s="108" t="s">
        <v>11460</v>
      </c>
      <c r="N765" s="13" t="s">
        <v>3096</v>
      </c>
      <c r="O765" s="13" t="s">
        <v>128</v>
      </c>
      <c r="P765" s="13" t="s">
        <v>16</v>
      </c>
      <c r="Q765" s="6" t="s">
        <v>11461</v>
      </c>
      <c r="R765" s="69" t="s">
        <v>11462</v>
      </c>
      <c r="S765" s="17"/>
      <c r="T765" s="18">
        <v>20</v>
      </c>
      <c r="U765" s="18">
        <v>16</v>
      </c>
      <c r="V765" s="13" t="s">
        <v>3682</v>
      </c>
      <c r="X765" s="132">
        <v>758</v>
      </c>
      <c r="Y765" s="6"/>
    </row>
    <row r="766" spans="1:25" ht="15" customHeight="1" x14ac:dyDescent="0.25">
      <c r="A766" s="12" t="s">
        <v>3475</v>
      </c>
      <c r="B766" s="13" t="s">
        <v>4978</v>
      </c>
      <c r="C766" s="74">
        <v>47552</v>
      </c>
      <c r="D766" s="13" t="s">
        <v>33</v>
      </c>
      <c r="E766" s="6" t="s">
        <v>3686</v>
      </c>
      <c r="F766" s="15" t="s">
        <v>11326</v>
      </c>
      <c r="G766" s="6" t="s">
        <v>3688</v>
      </c>
      <c r="H766" s="6" t="s">
        <v>3688</v>
      </c>
      <c r="I766" s="13" t="s">
        <v>25</v>
      </c>
      <c r="J766" s="13">
        <v>3</v>
      </c>
      <c r="K766" s="13" t="s">
        <v>1714</v>
      </c>
      <c r="L766" s="6" t="s">
        <v>3689</v>
      </c>
      <c r="M766" s="108" t="s">
        <v>11327</v>
      </c>
      <c r="N766" s="13" t="s">
        <v>3690</v>
      </c>
      <c r="O766" s="13" t="s">
        <v>36</v>
      </c>
      <c r="P766" s="13" t="s">
        <v>4</v>
      </c>
      <c r="Q766" s="6" t="s">
        <v>11328</v>
      </c>
      <c r="R766" s="69" t="s">
        <v>11329</v>
      </c>
      <c r="S766" s="17"/>
      <c r="T766" s="18">
        <v>37</v>
      </c>
      <c r="U766" s="18">
        <v>32</v>
      </c>
      <c r="V766" s="13" t="s">
        <v>3687</v>
      </c>
      <c r="X766" s="132">
        <v>759</v>
      </c>
      <c r="Y766" s="6"/>
    </row>
    <row r="767" spans="1:25" ht="15" customHeight="1" x14ac:dyDescent="0.25">
      <c r="A767" s="12" t="s">
        <v>3757</v>
      </c>
      <c r="B767" s="13" t="s">
        <v>4978</v>
      </c>
      <c r="C767" s="74">
        <v>47552</v>
      </c>
      <c r="D767" s="13" t="s">
        <v>1533</v>
      </c>
      <c r="E767" s="6" t="s">
        <v>3769</v>
      </c>
      <c r="F767" s="15" t="s">
        <v>11318</v>
      </c>
      <c r="G767" s="6" t="s">
        <v>3770</v>
      </c>
      <c r="H767" s="6" t="s">
        <v>11319</v>
      </c>
      <c r="I767" s="13" t="s">
        <v>7931</v>
      </c>
      <c r="J767" s="13">
        <v>9</v>
      </c>
      <c r="K767" s="13" t="s">
        <v>6603</v>
      </c>
      <c r="L767" s="6" t="s">
        <v>3771</v>
      </c>
      <c r="M767" s="108" t="s">
        <v>4427</v>
      </c>
      <c r="N767" s="13" t="s">
        <v>3338</v>
      </c>
      <c r="O767" s="13" t="s">
        <v>1055</v>
      </c>
      <c r="P767" s="13" t="s">
        <v>16</v>
      </c>
      <c r="Q767" s="6" t="s">
        <v>11320</v>
      </c>
      <c r="R767" s="90" t="s">
        <v>11321</v>
      </c>
      <c r="S767" s="17" t="s">
        <v>3772</v>
      </c>
      <c r="T767" s="18">
        <v>30</v>
      </c>
      <c r="U767" s="18">
        <v>34</v>
      </c>
      <c r="V767" s="13" t="s">
        <v>3773</v>
      </c>
      <c r="X767" s="132">
        <v>760</v>
      </c>
      <c r="Y767" s="6"/>
    </row>
    <row r="768" spans="1:25" ht="15" customHeight="1" x14ac:dyDescent="0.25">
      <c r="A768" s="12" t="s">
        <v>3758</v>
      </c>
      <c r="B768" s="24" t="s">
        <v>4978</v>
      </c>
      <c r="C768" s="14">
        <v>47679</v>
      </c>
      <c r="D768" s="13" t="s">
        <v>33</v>
      </c>
      <c r="E768" s="6" t="s">
        <v>12252</v>
      </c>
      <c r="F768" s="15" t="s">
        <v>11913</v>
      </c>
      <c r="G768" s="6" t="s">
        <v>3782</v>
      </c>
      <c r="H768" s="6" t="s">
        <v>3782</v>
      </c>
      <c r="I768" s="13" t="s">
        <v>25</v>
      </c>
      <c r="J768" s="13">
        <v>3</v>
      </c>
      <c r="K768" s="13" t="s">
        <v>1714</v>
      </c>
      <c r="L768" s="6" t="s">
        <v>3784</v>
      </c>
      <c r="M768" s="108" t="s">
        <v>12253</v>
      </c>
      <c r="N768" s="13" t="s">
        <v>3785</v>
      </c>
      <c r="O768" s="13" t="s">
        <v>2085</v>
      </c>
      <c r="P768" s="13" t="s">
        <v>68</v>
      </c>
      <c r="Q768" s="6" t="s">
        <v>3786</v>
      </c>
      <c r="R768" s="69" t="s">
        <v>12254</v>
      </c>
      <c r="S768" s="17"/>
      <c r="T768" s="18">
        <v>15</v>
      </c>
      <c r="U768" s="18">
        <v>12</v>
      </c>
      <c r="V768" s="13" t="s">
        <v>3783</v>
      </c>
      <c r="X768" s="132">
        <v>761</v>
      </c>
      <c r="Y768" s="6"/>
    </row>
    <row r="769" spans="1:25" ht="15" customHeight="1" x14ac:dyDescent="0.2">
      <c r="A769" s="12" t="s">
        <v>3759</v>
      </c>
      <c r="B769" s="24" t="s">
        <v>4978</v>
      </c>
      <c r="C769" s="14">
        <v>47679</v>
      </c>
      <c r="D769" s="13" t="s">
        <v>33</v>
      </c>
      <c r="E769" s="6" t="s">
        <v>3788</v>
      </c>
      <c r="F769" s="15" t="s">
        <v>11914</v>
      </c>
      <c r="G769" s="6" t="s">
        <v>3787</v>
      </c>
      <c r="H769" s="6" t="s">
        <v>3787</v>
      </c>
      <c r="I769" s="13" t="s">
        <v>25</v>
      </c>
      <c r="J769" s="13">
        <v>3</v>
      </c>
      <c r="K769" s="13" t="s">
        <v>1714</v>
      </c>
      <c r="L769" s="6" t="s">
        <v>3790</v>
      </c>
      <c r="M769" s="108" t="s">
        <v>12216</v>
      </c>
      <c r="N769" s="13" t="s">
        <v>3789</v>
      </c>
      <c r="O769" s="13" t="s">
        <v>2085</v>
      </c>
      <c r="P769" s="13" t="s">
        <v>68</v>
      </c>
      <c r="Q769" s="6" t="s">
        <v>3793</v>
      </c>
      <c r="R769" s="17" t="s">
        <v>3791</v>
      </c>
      <c r="S769" s="17"/>
      <c r="T769" s="18">
        <v>37</v>
      </c>
      <c r="U769" s="18">
        <v>29</v>
      </c>
      <c r="V769" s="13" t="s">
        <v>3792</v>
      </c>
      <c r="X769" s="132">
        <v>762</v>
      </c>
      <c r="Y769" s="6"/>
    </row>
    <row r="770" spans="1:25" ht="15" customHeight="1" x14ac:dyDescent="0.2">
      <c r="A770" s="12" t="s">
        <v>3760</v>
      </c>
      <c r="B770" s="13" t="s">
        <v>4978</v>
      </c>
      <c r="C770" s="74">
        <v>47615</v>
      </c>
      <c r="D770" s="13" t="s">
        <v>33</v>
      </c>
      <c r="E770" s="6" t="s">
        <v>3795</v>
      </c>
      <c r="F770" s="15" t="s">
        <v>11605</v>
      </c>
      <c r="G770" s="6" t="s">
        <v>3794</v>
      </c>
      <c r="H770" s="6" t="s">
        <v>3794</v>
      </c>
      <c r="I770" s="13" t="s">
        <v>25</v>
      </c>
      <c r="J770" s="13">
        <v>3</v>
      </c>
      <c r="K770" s="13" t="s">
        <v>1714</v>
      </c>
      <c r="L770" s="6" t="s">
        <v>3796</v>
      </c>
      <c r="M770" s="108" t="s">
        <v>2781</v>
      </c>
      <c r="N770" s="13" t="s">
        <v>3797</v>
      </c>
      <c r="O770" s="13" t="s">
        <v>36</v>
      </c>
      <c r="P770" s="13" t="s">
        <v>4</v>
      </c>
      <c r="Q770" s="6" t="s">
        <v>3799</v>
      </c>
      <c r="R770" s="121" t="s">
        <v>3800</v>
      </c>
      <c r="S770" s="17" t="s">
        <v>3801</v>
      </c>
      <c r="T770" s="18">
        <v>41</v>
      </c>
      <c r="U770" s="18">
        <v>36</v>
      </c>
      <c r="V770" s="13" t="s">
        <v>3798</v>
      </c>
      <c r="X770" s="132">
        <v>763</v>
      </c>
      <c r="Y770" s="6"/>
    </row>
    <row r="771" spans="1:25" ht="15" customHeight="1" x14ac:dyDescent="0.2">
      <c r="A771" s="20" t="s">
        <v>3761</v>
      </c>
      <c r="B771" s="22" t="s">
        <v>2608</v>
      </c>
      <c r="C771" s="14">
        <v>45361</v>
      </c>
      <c r="D771" s="13" t="s">
        <v>1533</v>
      </c>
      <c r="E771" s="6" t="s">
        <v>3803</v>
      </c>
      <c r="F771" s="15" t="s">
        <v>11915</v>
      </c>
      <c r="G771" s="6" t="s">
        <v>3802</v>
      </c>
      <c r="H771" s="147" t="s">
        <v>3802</v>
      </c>
      <c r="I771" s="13" t="s">
        <v>39</v>
      </c>
      <c r="J771" s="13">
        <v>12</v>
      </c>
      <c r="K771" s="13" t="s">
        <v>1714</v>
      </c>
      <c r="L771" s="6" t="s">
        <v>3804</v>
      </c>
      <c r="M771" s="108" t="s">
        <v>3805</v>
      </c>
      <c r="N771" s="13" t="s">
        <v>3806</v>
      </c>
      <c r="O771" s="13" t="s">
        <v>445</v>
      </c>
      <c r="P771" s="13" t="s">
        <v>16</v>
      </c>
      <c r="Q771" s="6" t="s">
        <v>3807</v>
      </c>
      <c r="R771" s="17" t="s">
        <v>3808</v>
      </c>
      <c r="S771" s="17" t="s">
        <v>6639</v>
      </c>
      <c r="T771" s="18">
        <v>150</v>
      </c>
      <c r="U771" s="18">
        <v>150</v>
      </c>
      <c r="V771" s="13" t="s">
        <v>3809</v>
      </c>
      <c r="X771" s="132">
        <v>764</v>
      </c>
      <c r="Y771" s="6"/>
    </row>
    <row r="772" spans="1:25" ht="15" customHeight="1" x14ac:dyDescent="0.2">
      <c r="A772" s="12" t="s">
        <v>3762</v>
      </c>
      <c r="B772" s="24" t="s">
        <v>4978</v>
      </c>
      <c r="C772" s="14">
        <v>47615</v>
      </c>
      <c r="D772" s="13" t="s">
        <v>33</v>
      </c>
      <c r="E772" s="6" t="s">
        <v>3811</v>
      </c>
      <c r="F772" s="15" t="s">
        <v>11916</v>
      </c>
      <c r="G772" s="6" t="s">
        <v>3812</v>
      </c>
      <c r="H772" s="6" t="s">
        <v>3812</v>
      </c>
      <c r="I772" s="13" t="s">
        <v>25</v>
      </c>
      <c r="J772" s="13">
        <v>3</v>
      </c>
      <c r="K772" s="13" t="s">
        <v>1714</v>
      </c>
      <c r="L772" s="6" t="s">
        <v>5413</v>
      </c>
      <c r="M772" s="108" t="s">
        <v>5414</v>
      </c>
      <c r="N772" s="13" t="s">
        <v>5415</v>
      </c>
      <c r="O772" s="13" t="s">
        <v>21</v>
      </c>
      <c r="P772" s="13" t="s">
        <v>9</v>
      </c>
      <c r="Q772" s="6" t="s">
        <v>3814</v>
      </c>
      <c r="R772" s="17" t="s">
        <v>3813</v>
      </c>
      <c r="S772" s="17"/>
      <c r="T772" s="18">
        <v>18</v>
      </c>
      <c r="U772" s="18">
        <v>16</v>
      </c>
      <c r="V772" s="13" t="s">
        <v>3810</v>
      </c>
      <c r="X772" s="132">
        <v>765</v>
      </c>
      <c r="Y772" s="6"/>
    </row>
    <row r="773" spans="1:25" ht="15" customHeight="1" x14ac:dyDescent="0.25">
      <c r="A773" s="12" t="s">
        <v>3763</v>
      </c>
      <c r="B773" s="24" t="s">
        <v>4978</v>
      </c>
      <c r="C773" s="14">
        <v>47642</v>
      </c>
      <c r="D773" s="13" t="s">
        <v>33</v>
      </c>
      <c r="E773" s="6" t="s">
        <v>3816</v>
      </c>
      <c r="F773" s="15" t="s">
        <v>11917</v>
      </c>
      <c r="G773" s="6" t="s">
        <v>3817</v>
      </c>
      <c r="H773" s="6" t="s">
        <v>3817</v>
      </c>
      <c r="I773" s="13" t="s">
        <v>25</v>
      </c>
      <c r="J773" s="13">
        <v>3</v>
      </c>
      <c r="K773" s="13" t="s">
        <v>1714</v>
      </c>
      <c r="L773" s="6" t="s">
        <v>3818</v>
      </c>
      <c r="M773" s="108" t="s">
        <v>10939</v>
      </c>
      <c r="N773" s="13" t="s">
        <v>2229</v>
      </c>
      <c r="O773" s="13" t="s">
        <v>36</v>
      </c>
      <c r="P773" s="13" t="s">
        <v>4</v>
      </c>
      <c r="Q773" s="6" t="s">
        <v>12088</v>
      </c>
      <c r="R773" s="69" t="s">
        <v>12089</v>
      </c>
      <c r="S773" s="17"/>
      <c r="T773" s="18">
        <v>25</v>
      </c>
      <c r="U773" s="18">
        <v>21</v>
      </c>
      <c r="V773" s="13" t="s">
        <v>3815</v>
      </c>
      <c r="X773" s="132">
        <v>766</v>
      </c>
      <c r="Y773" s="6"/>
    </row>
    <row r="774" spans="1:25" ht="15" customHeight="1" x14ac:dyDescent="0.2">
      <c r="A774" s="12" t="s">
        <v>3764</v>
      </c>
      <c r="B774" s="13" t="s">
        <v>4977</v>
      </c>
      <c r="C774" s="14">
        <v>46374</v>
      </c>
      <c r="D774" s="13" t="s">
        <v>1533</v>
      </c>
      <c r="E774" s="6" t="s">
        <v>3820</v>
      </c>
      <c r="F774" s="15" t="s">
        <v>8870</v>
      </c>
      <c r="G774" s="6" t="s">
        <v>3822</v>
      </c>
      <c r="H774" s="6" t="s">
        <v>3822</v>
      </c>
      <c r="I774" s="13" t="s">
        <v>13</v>
      </c>
      <c r="J774" s="13">
        <v>8</v>
      </c>
      <c r="K774" s="13" t="s">
        <v>1714</v>
      </c>
      <c r="L774" s="6" t="s">
        <v>3823</v>
      </c>
      <c r="M774" s="108" t="s">
        <v>8871</v>
      </c>
      <c r="N774" s="13" t="s">
        <v>3824</v>
      </c>
      <c r="O774" s="13" t="s">
        <v>11949</v>
      </c>
      <c r="P774" s="13" t="s">
        <v>68</v>
      </c>
      <c r="Q774" s="6" t="s">
        <v>8872</v>
      </c>
      <c r="R774" s="17" t="s">
        <v>3826</v>
      </c>
      <c r="S774" s="17" t="s">
        <v>3825</v>
      </c>
      <c r="T774" s="18">
        <v>76</v>
      </c>
      <c r="U774" s="18">
        <v>76</v>
      </c>
      <c r="V774" s="13" t="s">
        <v>3821</v>
      </c>
      <c r="X774" s="132">
        <v>767</v>
      </c>
      <c r="Y774" s="6"/>
    </row>
    <row r="775" spans="1:25" ht="15" customHeight="1" x14ac:dyDescent="0.25">
      <c r="A775" s="12" t="s">
        <v>3765</v>
      </c>
      <c r="B775" s="13" t="s">
        <v>4978</v>
      </c>
      <c r="C775" s="74">
        <v>47615</v>
      </c>
      <c r="D775" s="13" t="s">
        <v>33</v>
      </c>
      <c r="E775" s="6" t="s">
        <v>3831</v>
      </c>
      <c r="F775" s="15" t="s">
        <v>11494</v>
      </c>
      <c r="G775" s="6" t="s">
        <v>3832</v>
      </c>
      <c r="H775" s="6" t="s">
        <v>3832</v>
      </c>
      <c r="I775" s="13" t="s">
        <v>25</v>
      </c>
      <c r="J775" s="13">
        <v>3</v>
      </c>
      <c r="K775" s="13" t="s">
        <v>1714</v>
      </c>
      <c r="L775" s="6" t="s">
        <v>3833</v>
      </c>
      <c r="M775" s="108" t="s">
        <v>11495</v>
      </c>
      <c r="N775" s="13" t="s">
        <v>3141</v>
      </c>
      <c r="O775" s="13" t="s">
        <v>97</v>
      </c>
      <c r="P775" s="13" t="s">
        <v>4</v>
      </c>
      <c r="Q775" s="6" t="s">
        <v>11496</v>
      </c>
      <c r="R775" s="69" t="s">
        <v>11497</v>
      </c>
      <c r="S775" s="17"/>
      <c r="T775" s="18">
        <v>24</v>
      </c>
      <c r="U775" s="18">
        <v>24</v>
      </c>
      <c r="V775" s="13" t="s">
        <v>3834</v>
      </c>
      <c r="X775" s="132">
        <v>768</v>
      </c>
      <c r="Y775" s="6"/>
    </row>
    <row r="776" spans="1:25" ht="15" customHeight="1" x14ac:dyDescent="0.25">
      <c r="A776" s="12" t="s">
        <v>3766</v>
      </c>
      <c r="B776" s="13" t="s">
        <v>4978</v>
      </c>
      <c r="C776" s="74">
        <v>47615</v>
      </c>
      <c r="D776" s="13" t="s">
        <v>1533</v>
      </c>
      <c r="E776" s="6" t="s">
        <v>3835</v>
      </c>
      <c r="F776" s="15" t="s">
        <v>6010</v>
      </c>
      <c r="G776" s="6" t="s">
        <v>3837</v>
      </c>
      <c r="H776" s="6" t="s">
        <v>3837</v>
      </c>
      <c r="I776" s="13" t="s">
        <v>13</v>
      </c>
      <c r="J776" s="13">
        <v>7</v>
      </c>
      <c r="K776" s="13" t="s">
        <v>6603</v>
      </c>
      <c r="L776" s="6" t="s">
        <v>11423</v>
      </c>
      <c r="M776" s="108" t="s">
        <v>11424</v>
      </c>
      <c r="N776" s="13" t="s">
        <v>3562</v>
      </c>
      <c r="O776" s="13" t="s">
        <v>11948</v>
      </c>
      <c r="P776" s="13" t="s">
        <v>68</v>
      </c>
      <c r="Q776" s="6" t="s">
        <v>3838</v>
      </c>
      <c r="R776" s="69" t="s">
        <v>11425</v>
      </c>
      <c r="S776" s="17" t="s">
        <v>11426</v>
      </c>
      <c r="T776" s="18">
        <v>60</v>
      </c>
      <c r="U776" s="18">
        <v>93</v>
      </c>
      <c r="V776" s="13" t="s">
        <v>3836</v>
      </c>
      <c r="X776" s="132">
        <v>769</v>
      </c>
      <c r="Y776" s="6"/>
    </row>
    <row r="777" spans="1:25" ht="15" customHeight="1" x14ac:dyDescent="0.2">
      <c r="A777" s="12" t="s">
        <v>3767</v>
      </c>
      <c r="B777" s="13" t="s">
        <v>4978</v>
      </c>
      <c r="C777" s="74">
        <v>47615</v>
      </c>
      <c r="D777" s="13" t="s">
        <v>33</v>
      </c>
      <c r="E777" s="6" t="s">
        <v>3845</v>
      </c>
      <c r="F777" s="15" t="s">
        <v>11542</v>
      </c>
      <c r="G777" s="6" t="s">
        <v>3846</v>
      </c>
      <c r="H777" s="6" t="s">
        <v>3846</v>
      </c>
      <c r="I777" s="13" t="s">
        <v>25</v>
      </c>
      <c r="J777" s="13">
        <v>3</v>
      </c>
      <c r="K777" s="13" t="s">
        <v>1714</v>
      </c>
      <c r="L777" s="6" t="s">
        <v>3847</v>
      </c>
      <c r="M777" s="108" t="s">
        <v>11543</v>
      </c>
      <c r="N777" s="13" t="s">
        <v>3848</v>
      </c>
      <c r="O777" s="13" t="s">
        <v>204</v>
      </c>
      <c r="P777" s="13" t="s">
        <v>9</v>
      </c>
      <c r="Q777" s="6" t="s">
        <v>3849</v>
      </c>
      <c r="R777" s="17" t="s">
        <v>3850</v>
      </c>
      <c r="S777" s="17"/>
      <c r="T777" s="18">
        <v>24</v>
      </c>
      <c r="U777" s="18">
        <v>20</v>
      </c>
      <c r="V777" s="13" t="s">
        <v>3844</v>
      </c>
      <c r="X777" s="132">
        <v>770</v>
      </c>
      <c r="Y777" s="6"/>
    </row>
    <row r="778" spans="1:25" ht="15" customHeight="1" x14ac:dyDescent="0.2">
      <c r="A778" s="12" t="s">
        <v>3768</v>
      </c>
      <c r="B778" s="13" t="s">
        <v>4977</v>
      </c>
      <c r="C778" s="14">
        <v>46158</v>
      </c>
      <c r="D778" s="13" t="s">
        <v>33</v>
      </c>
      <c r="E778" s="6" t="s">
        <v>3856</v>
      </c>
      <c r="F778" s="15" t="s">
        <v>7297</v>
      </c>
      <c r="G778" s="6" t="s">
        <v>3851</v>
      </c>
      <c r="H778" s="6" t="s">
        <v>3851</v>
      </c>
      <c r="I778" s="13" t="s">
        <v>25</v>
      </c>
      <c r="J778" s="13">
        <v>3</v>
      </c>
      <c r="K778" s="13" t="s">
        <v>1714</v>
      </c>
      <c r="L778" s="6" t="s">
        <v>7298</v>
      </c>
      <c r="M778" s="108" t="s">
        <v>7299</v>
      </c>
      <c r="N778" s="13" t="s">
        <v>3853</v>
      </c>
      <c r="O778" s="13" t="s">
        <v>36</v>
      </c>
      <c r="P778" s="13" t="s">
        <v>4</v>
      </c>
      <c r="Q778" s="6" t="s">
        <v>3854</v>
      </c>
      <c r="R778" s="17" t="s">
        <v>7300</v>
      </c>
      <c r="S778" s="17" t="s">
        <v>2853</v>
      </c>
      <c r="T778" s="18">
        <v>25</v>
      </c>
      <c r="U778" s="18">
        <v>18</v>
      </c>
      <c r="V778" s="13" t="s">
        <v>7301</v>
      </c>
      <c r="W778" s="13" t="s">
        <v>3852</v>
      </c>
      <c r="X778" s="132">
        <v>771</v>
      </c>
      <c r="Y778" s="6"/>
    </row>
    <row r="779" spans="1:25" ht="15" customHeight="1" x14ac:dyDescent="0.2">
      <c r="A779" s="12" t="s">
        <v>3866</v>
      </c>
      <c r="B779" s="13" t="s">
        <v>4978</v>
      </c>
      <c r="C779" s="74">
        <v>46173</v>
      </c>
      <c r="D779" s="13" t="s">
        <v>33</v>
      </c>
      <c r="E779" s="6" t="s">
        <v>3870</v>
      </c>
      <c r="G779" s="6" t="s">
        <v>3871</v>
      </c>
      <c r="H779" s="147" t="s">
        <v>3871</v>
      </c>
      <c r="I779" s="13" t="s">
        <v>25</v>
      </c>
      <c r="J779" s="13">
        <v>3</v>
      </c>
      <c r="K779" s="13" t="s">
        <v>1714</v>
      </c>
      <c r="L779" s="6" t="s">
        <v>3873</v>
      </c>
      <c r="M779" s="108" t="s">
        <v>3872</v>
      </c>
      <c r="N779" s="13" t="s">
        <v>3141</v>
      </c>
      <c r="O779" s="13" t="s">
        <v>97</v>
      </c>
      <c r="P779" s="13" t="s">
        <v>4</v>
      </c>
      <c r="Q779" s="6" t="s">
        <v>3874</v>
      </c>
      <c r="R779" s="17" t="s">
        <v>3875</v>
      </c>
      <c r="S779" s="17" t="s">
        <v>3876</v>
      </c>
      <c r="T779" s="18">
        <v>13</v>
      </c>
      <c r="U779" s="18">
        <v>11</v>
      </c>
      <c r="V779" s="13" t="s">
        <v>3877</v>
      </c>
      <c r="X779" s="132">
        <v>772</v>
      </c>
      <c r="Y779" s="6"/>
    </row>
    <row r="780" spans="1:25" ht="15" customHeight="1" x14ac:dyDescent="0.2">
      <c r="A780" s="12" t="s">
        <v>3867</v>
      </c>
      <c r="B780" s="13" t="s">
        <v>4978</v>
      </c>
      <c r="C780" s="74">
        <v>46173</v>
      </c>
      <c r="D780" s="13" t="s">
        <v>33</v>
      </c>
      <c r="E780" s="6" t="s">
        <v>3878</v>
      </c>
      <c r="F780" s="15" t="s">
        <v>11918</v>
      </c>
      <c r="G780" s="6" t="s">
        <v>3879</v>
      </c>
      <c r="H780" s="147" t="s">
        <v>3879</v>
      </c>
      <c r="I780" s="13" t="s">
        <v>25</v>
      </c>
      <c r="J780" s="13">
        <v>3</v>
      </c>
      <c r="K780" s="13" t="s">
        <v>1714</v>
      </c>
      <c r="L780" s="6" t="s">
        <v>3880</v>
      </c>
      <c r="M780" s="108" t="s">
        <v>3881</v>
      </c>
      <c r="N780" s="13" t="s">
        <v>3882</v>
      </c>
      <c r="O780" s="13" t="s">
        <v>240</v>
      </c>
      <c r="P780" s="13" t="s">
        <v>16</v>
      </c>
      <c r="Q780" s="6" t="s">
        <v>3883</v>
      </c>
      <c r="R780" s="17" t="s">
        <v>3884</v>
      </c>
      <c r="S780" s="17" t="s">
        <v>6634</v>
      </c>
      <c r="T780" s="18">
        <v>17</v>
      </c>
      <c r="U780" s="18">
        <v>12</v>
      </c>
      <c r="V780" s="13" t="s">
        <v>3885</v>
      </c>
      <c r="X780" s="132">
        <v>773</v>
      </c>
      <c r="Y780" s="6"/>
    </row>
    <row r="781" spans="1:25" ht="15" customHeight="1" x14ac:dyDescent="0.2">
      <c r="A781" s="12" t="s">
        <v>3868</v>
      </c>
      <c r="B781" s="13" t="s">
        <v>4978</v>
      </c>
      <c r="C781" s="74">
        <v>47679</v>
      </c>
      <c r="D781" s="13" t="s">
        <v>33</v>
      </c>
      <c r="E781" s="6" t="s">
        <v>12312</v>
      </c>
      <c r="F781" s="15" t="s">
        <v>12313</v>
      </c>
      <c r="G781" s="6" t="s">
        <v>3886</v>
      </c>
      <c r="H781" s="6" t="s">
        <v>3886</v>
      </c>
      <c r="I781" s="13" t="s">
        <v>25</v>
      </c>
      <c r="J781" s="13">
        <v>3</v>
      </c>
      <c r="K781" s="13" t="s">
        <v>1714</v>
      </c>
      <c r="L781" s="6" t="s">
        <v>3887</v>
      </c>
      <c r="M781" s="108" t="s">
        <v>12314</v>
      </c>
      <c r="N781" s="13" t="s">
        <v>3888</v>
      </c>
      <c r="O781" s="13" t="s">
        <v>53</v>
      </c>
      <c r="P781" s="13" t="s">
        <v>54</v>
      </c>
      <c r="Q781" s="6" t="s">
        <v>3889</v>
      </c>
      <c r="R781" s="17" t="s">
        <v>3896</v>
      </c>
      <c r="S781" s="17" t="s">
        <v>3890</v>
      </c>
      <c r="T781" s="18">
        <v>34</v>
      </c>
      <c r="U781" s="18">
        <v>30</v>
      </c>
      <c r="V781" s="13" t="s">
        <v>3891</v>
      </c>
      <c r="X781" s="132">
        <v>774</v>
      </c>
      <c r="Y781" s="6"/>
    </row>
    <row r="782" spans="1:25" ht="15" customHeight="1" x14ac:dyDescent="0.2">
      <c r="A782" s="154" t="s">
        <v>3869</v>
      </c>
      <c r="B782" s="13" t="s">
        <v>4978</v>
      </c>
      <c r="C782" s="74"/>
      <c r="D782" s="13" t="s">
        <v>33</v>
      </c>
      <c r="E782" s="6" t="s">
        <v>12346</v>
      </c>
      <c r="F782" s="15" t="s">
        <v>11919</v>
      </c>
      <c r="G782" s="6" t="s">
        <v>3892</v>
      </c>
      <c r="H782" s="147" t="s">
        <v>3892</v>
      </c>
      <c r="I782" s="13" t="s">
        <v>25</v>
      </c>
      <c r="J782" s="13">
        <v>3</v>
      </c>
      <c r="K782" s="13" t="s">
        <v>1714</v>
      </c>
      <c r="L782" s="6" t="s">
        <v>3893</v>
      </c>
      <c r="M782" s="108" t="s">
        <v>12347</v>
      </c>
      <c r="N782" s="13" t="s">
        <v>2601</v>
      </c>
      <c r="O782" s="13" t="s">
        <v>8</v>
      </c>
      <c r="P782" s="13" t="s">
        <v>9</v>
      </c>
      <c r="Q782" s="6" t="s">
        <v>12348</v>
      </c>
      <c r="R782" s="17" t="s">
        <v>3894</v>
      </c>
      <c r="S782" s="17"/>
      <c r="T782" s="18">
        <v>25</v>
      </c>
      <c r="U782" s="18">
        <v>24</v>
      </c>
      <c r="V782" s="13" t="s">
        <v>3895</v>
      </c>
      <c r="X782" s="132">
        <v>775</v>
      </c>
      <c r="Y782" s="6"/>
    </row>
    <row r="783" spans="1:25" ht="15" customHeight="1" x14ac:dyDescent="0.2">
      <c r="A783" s="12" t="s">
        <v>3901</v>
      </c>
      <c r="B783" s="13" t="s">
        <v>4978</v>
      </c>
      <c r="C783" s="74">
        <v>46173</v>
      </c>
      <c r="D783" s="13" t="s">
        <v>33</v>
      </c>
      <c r="E783" s="6" t="s">
        <v>3903</v>
      </c>
      <c r="F783" s="15" t="s">
        <v>11920</v>
      </c>
      <c r="G783" s="6" t="s">
        <v>3902</v>
      </c>
      <c r="H783" s="147" t="s">
        <v>3902</v>
      </c>
      <c r="I783" s="13" t="s">
        <v>25</v>
      </c>
      <c r="J783" s="13">
        <v>3</v>
      </c>
      <c r="K783" s="13" t="s">
        <v>1714</v>
      </c>
      <c r="L783" s="6" t="s">
        <v>3904</v>
      </c>
      <c r="M783" s="108" t="s">
        <v>3905</v>
      </c>
      <c r="N783" s="13" t="s">
        <v>3906</v>
      </c>
      <c r="O783" s="13" t="s">
        <v>128</v>
      </c>
      <c r="P783" s="13" t="s">
        <v>16</v>
      </c>
      <c r="Q783" s="6" t="s">
        <v>3907</v>
      </c>
      <c r="R783" s="17" t="s">
        <v>3908</v>
      </c>
      <c r="S783" s="17" t="s">
        <v>6645</v>
      </c>
      <c r="T783" s="18">
        <v>25</v>
      </c>
      <c r="U783" s="18">
        <v>18</v>
      </c>
      <c r="V783" s="13" t="s">
        <v>3909</v>
      </c>
      <c r="X783" s="132">
        <v>776</v>
      </c>
      <c r="Y783" s="6"/>
    </row>
    <row r="784" spans="1:25" ht="15" customHeight="1" x14ac:dyDescent="0.2">
      <c r="A784" s="12" t="s">
        <v>3912</v>
      </c>
      <c r="B784" s="13" t="s">
        <v>4978</v>
      </c>
      <c r="C784" s="74">
        <v>46173</v>
      </c>
      <c r="D784" s="13" t="s">
        <v>33</v>
      </c>
      <c r="E784" s="6" t="s">
        <v>3913</v>
      </c>
      <c r="F784" s="15" t="s">
        <v>11921</v>
      </c>
      <c r="G784" s="6" t="s">
        <v>3911</v>
      </c>
      <c r="H784" s="147" t="s">
        <v>3911</v>
      </c>
      <c r="I784" s="13" t="s">
        <v>25</v>
      </c>
      <c r="J784" s="13">
        <v>3</v>
      </c>
      <c r="K784" s="13" t="s">
        <v>1714</v>
      </c>
      <c r="L784" s="6" t="s">
        <v>3914</v>
      </c>
      <c r="M784" s="108" t="s">
        <v>3915</v>
      </c>
      <c r="N784" s="13" t="s">
        <v>3916</v>
      </c>
      <c r="O784" s="13" t="s">
        <v>36</v>
      </c>
      <c r="P784" s="13" t="s">
        <v>4</v>
      </c>
      <c r="Q784" s="6" t="s">
        <v>3917</v>
      </c>
      <c r="R784" s="17" t="s">
        <v>3918</v>
      </c>
      <c r="S784" s="17" t="s">
        <v>3919</v>
      </c>
      <c r="T784" s="18">
        <v>19</v>
      </c>
      <c r="U784" s="18">
        <v>15</v>
      </c>
      <c r="V784" s="13" t="s">
        <v>3910</v>
      </c>
      <c r="X784" s="132">
        <v>777</v>
      </c>
      <c r="Y784" s="6"/>
    </row>
    <row r="785" spans="1:25" ht="15" customHeight="1" x14ac:dyDescent="0.2">
      <c r="A785" s="12" t="s">
        <v>3920</v>
      </c>
      <c r="B785" s="13" t="s">
        <v>4978</v>
      </c>
      <c r="C785" s="74">
        <v>46173</v>
      </c>
      <c r="D785" s="13" t="s">
        <v>33</v>
      </c>
      <c r="E785" s="6" t="s">
        <v>11681</v>
      </c>
      <c r="F785" s="15" t="s">
        <v>11922</v>
      </c>
      <c r="G785" s="6" t="s">
        <v>3921</v>
      </c>
      <c r="H785" s="6" t="s">
        <v>3921</v>
      </c>
      <c r="I785" s="13" t="s">
        <v>25</v>
      </c>
      <c r="J785" s="13">
        <v>3</v>
      </c>
      <c r="K785" s="13" t="s">
        <v>1714</v>
      </c>
      <c r="L785" s="6" t="s">
        <v>3922</v>
      </c>
      <c r="M785" s="108" t="s">
        <v>3923</v>
      </c>
      <c r="N785" s="13" t="s">
        <v>3924</v>
      </c>
      <c r="O785" s="13" t="s">
        <v>11949</v>
      </c>
      <c r="P785" s="13" t="s">
        <v>68</v>
      </c>
      <c r="Q785" s="6" t="s">
        <v>3925</v>
      </c>
      <c r="R785" s="17" t="s">
        <v>3926</v>
      </c>
      <c r="S785" s="17" t="s">
        <v>3927</v>
      </c>
      <c r="T785" s="18">
        <v>32</v>
      </c>
      <c r="U785" s="18">
        <v>0</v>
      </c>
      <c r="V785" s="13" t="s">
        <v>3928</v>
      </c>
      <c r="X785" s="132">
        <v>778</v>
      </c>
      <c r="Y785" s="6"/>
    </row>
    <row r="786" spans="1:25" ht="15" customHeight="1" x14ac:dyDescent="0.2">
      <c r="A786" s="12" t="s">
        <v>3929</v>
      </c>
      <c r="B786" s="13" t="s">
        <v>4978</v>
      </c>
      <c r="C786" s="74">
        <v>46173</v>
      </c>
      <c r="D786" s="13" t="s">
        <v>33</v>
      </c>
      <c r="E786" s="6" t="s">
        <v>3930</v>
      </c>
      <c r="F786" s="15" t="s">
        <v>11923</v>
      </c>
      <c r="G786" s="6" t="s">
        <v>3931</v>
      </c>
      <c r="H786" s="147" t="s">
        <v>3931</v>
      </c>
      <c r="I786" s="13" t="s">
        <v>25</v>
      </c>
      <c r="J786" s="13">
        <v>3</v>
      </c>
      <c r="K786" s="13" t="s">
        <v>1714</v>
      </c>
      <c r="L786" s="6" t="s">
        <v>3932</v>
      </c>
      <c r="M786" s="108" t="s">
        <v>3933</v>
      </c>
      <c r="N786" s="13" t="s">
        <v>2271</v>
      </c>
      <c r="O786" s="13" t="s">
        <v>36</v>
      </c>
      <c r="P786" s="13" t="s">
        <v>4</v>
      </c>
      <c r="Q786" s="6" t="s">
        <v>3934</v>
      </c>
      <c r="R786" s="17" t="s">
        <v>3935</v>
      </c>
      <c r="S786" s="17" t="s">
        <v>3936</v>
      </c>
      <c r="T786" s="18">
        <v>28</v>
      </c>
      <c r="U786" s="18">
        <v>24</v>
      </c>
      <c r="V786" s="13" t="s">
        <v>3937</v>
      </c>
      <c r="X786" s="132">
        <v>779</v>
      </c>
      <c r="Y786" s="6"/>
    </row>
    <row r="787" spans="1:25" ht="15" customHeight="1" x14ac:dyDescent="0.2">
      <c r="A787" s="12" t="s">
        <v>3938</v>
      </c>
      <c r="B787" s="13" t="s">
        <v>4978</v>
      </c>
      <c r="C787" s="74">
        <v>46980</v>
      </c>
      <c r="D787" s="13" t="s">
        <v>33</v>
      </c>
      <c r="E787" s="6" t="s">
        <v>3939</v>
      </c>
      <c r="F787" s="15" t="s">
        <v>11924</v>
      </c>
      <c r="G787" s="6" t="s">
        <v>3943</v>
      </c>
      <c r="H787" s="6" t="s">
        <v>3943</v>
      </c>
      <c r="I787" s="13" t="s">
        <v>25</v>
      </c>
      <c r="J787" s="13">
        <v>3</v>
      </c>
      <c r="K787" s="13" t="s">
        <v>1714</v>
      </c>
      <c r="L787" s="6" t="s">
        <v>3944</v>
      </c>
      <c r="M787" s="108" t="s">
        <v>2834</v>
      </c>
      <c r="N787" s="13" t="s">
        <v>2470</v>
      </c>
      <c r="O787" s="13" t="s">
        <v>136</v>
      </c>
      <c r="P787" s="13" t="s">
        <v>4</v>
      </c>
      <c r="Q787" s="6" t="s">
        <v>7930</v>
      </c>
      <c r="R787" s="17" t="s">
        <v>3945</v>
      </c>
      <c r="S787" s="17"/>
      <c r="T787" s="18">
        <v>39</v>
      </c>
      <c r="U787" s="18">
        <v>32</v>
      </c>
      <c r="V787" s="13" t="s">
        <v>7929</v>
      </c>
      <c r="X787" s="132">
        <v>780</v>
      </c>
      <c r="Y787" s="6"/>
    </row>
    <row r="788" spans="1:25" ht="15" customHeight="1" x14ac:dyDescent="0.2">
      <c r="A788" s="19" t="s">
        <v>3946</v>
      </c>
      <c r="B788" s="13" t="s">
        <v>4978</v>
      </c>
      <c r="C788" s="74">
        <v>46173</v>
      </c>
      <c r="D788" s="13" t="s">
        <v>33</v>
      </c>
      <c r="E788" s="6" t="s">
        <v>3975</v>
      </c>
      <c r="F788" s="15" t="s">
        <v>11925</v>
      </c>
      <c r="G788" s="6" t="s">
        <v>3976</v>
      </c>
      <c r="H788" s="147" t="s">
        <v>3976</v>
      </c>
      <c r="I788" s="13" t="s">
        <v>25</v>
      </c>
      <c r="J788" s="13">
        <v>3</v>
      </c>
      <c r="K788" s="13" t="s">
        <v>1714</v>
      </c>
      <c r="L788" s="6" t="s">
        <v>3977</v>
      </c>
      <c r="M788" s="108" t="s">
        <v>3978</v>
      </c>
      <c r="N788" s="13" t="s">
        <v>3979</v>
      </c>
      <c r="O788" s="13" t="s">
        <v>128</v>
      </c>
      <c r="P788" s="13" t="s">
        <v>16</v>
      </c>
      <c r="Q788" s="6" t="s">
        <v>3980</v>
      </c>
      <c r="R788" s="17" t="s">
        <v>3981</v>
      </c>
      <c r="S788" s="17" t="s">
        <v>6632</v>
      </c>
      <c r="T788" s="18">
        <v>26</v>
      </c>
      <c r="U788" s="18">
        <v>20</v>
      </c>
      <c r="V788" s="13" t="s">
        <v>3982</v>
      </c>
      <c r="X788" s="132">
        <v>781</v>
      </c>
      <c r="Y788" s="6"/>
    </row>
    <row r="789" spans="1:25" ht="15" customHeight="1" x14ac:dyDescent="0.2">
      <c r="A789" s="19" t="s">
        <v>3947</v>
      </c>
      <c r="B789" s="13" t="s">
        <v>4978</v>
      </c>
      <c r="C789" s="74">
        <v>46173</v>
      </c>
      <c r="D789" s="13" t="s">
        <v>33</v>
      </c>
      <c r="E789" s="6" t="s">
        <v>3983</v>
      </c>
      <c r="F789" s="15" t="s">
        <v>11926</v>
      </c>
      <c r="G789" s="6" t="s">
        <v>3984</v>
      </c>
      <c r="H789" s="147" t="s">
        <v>3984</v>
      </c>
      <c r="I789" s="13" t="s">
        <v>25</v>
      </c>
      <c r="J789" s="13">
        <v>3</v>
      </c>
      <c r="K789" s="13" t="s">
        <v>1714</v>
      </c>
      <c r="L789" s="6" t="s">
        <v>3985</v>
      </c>
      <c r="M789" s="108" t="s">
        <v>3986</v>
      </c>
      <c r="N789" s="13" t="s">
        <v>445</v>
      </c>
      <c r="O789" s="13" t="s">
        <v>445</v>
      </c>
      <c r="P789" s="13" t="s">
        <v>16</v>
      </c>
      <c r="Q789" s="6" t="s">
        <v>3987</v>
      </c>
      <c r="R789" s="17" t="s">
        <v>3988</v>
      </c>
      <c r="S789" s="17" t="s">
        <v>6628</v>
      </c>
      <c r="T789" s="18">
        <v>29</v>
      </c>
      <c r="U789" s="18">
        <v>28</v>
      </c>
      <c r="V789" s="13" t="s">
        <v>3989</v>
      </c>
      <c r="X789" s="132">
        <v>782</v>
      </c>
      <c r="Y789" s="6"/>
    </row>
    <row r="790" spans="1:25" ht="15" customHeight="1" x14ac:dyDescent="0.2">
      <c r="A790" s="19" t="s">
        <v>3948</v>
      </c>
      <c r="B790" s="13" t="s">
        <v>4978</v>
      </c>
      <c r="C790" s="74">
        <v>46173</v>
      </c>
      <c r="D790" s="13" t="s">
        <v>33</v>
      </c>
      <c r="E790" s="6" t="s">
        <v>3990</v>
      </c>
      <c r="F790" s="15" t="s">
        <v>11927</v>
      </c>
      <c r="G790" s="6" t="s">
        <v>3991</v>
      </c>
      <c r="H790" s="147" t="s">
        <v>3991</v>
      </c>
      <c r="I790" s="13" t="s">
        <v>25</v>
      </c>
      <c r="J790" s="13">
        <v>3</v>
      </c>
      <c r="K790" s="13" t="s">
        <v>1714</v>
      </c>
      <c r="L790" s="6" t="s">
        <v>3992</v>
      </c>
      <c r="M790" s="108" t="s">
        <v>3993</v>
      </c>
      <c r="N790" s="13" t="s">
        <v>2213</v>
      </c>
      <c r="O790" s="13" t="s">
        <v>925</v>
      </c>
      <c r="P790" s="13" t="s">
        <v>16</v>
      </c>
      <c r="Q790" s="6" t="s">
        <v>3994</v>
      </c>
      <c r="R790" s="17" t="s">
        <v>3995</v>
      </c>
      <c r="S790" s="17" t="s">
        <v>6634</v>
      </c>
      <c r="T790" s="18">
        <v>14</v>
      </c>
      <c r="U790" s="18">
        <v>10</v>
      </c>
      <c r="V790" s="13" t="s">
        <v>3996</v>
      </c>
      <c r="X790" s="132">
        <v>783</v>
      </c>
      <c r="Y790" s="6"/>
    </row>
    <row r="791" spans="1:25" ht="15" customHeight="1" x14ac:dyDescent="0.2">
      <c r="A791" s="12" t="s">
        <v>3949</v>
      </c>
      <c r="B791" s="13" t="s">
        <v>4978</v>
      </c>
      <c r="C791" s="74">
        <v>47679</v>
      </c>
      <c r="D791" s="13" t="s">
        <v>33</v>
      </c>
      <c r="E791" s="6" t="s">
        <v>3997</v>
      </c>
      <c r="F791" s="15" t="s">
        <v>11928</v>
      </c>
      <c r="G791" s="6" t="s">
        <v>3998</v>
      </c>
      <c r="H791" s="6" t="s">
        <v>3998</v>
      </c>
      <c r="I791" s="13" t="s">
        <v>25</v>
      </c>
      <c r="J791" s="13">
        <v>3</v>
      </c>
      <c r="K791" s="13" t="s">
        <v>1714</v>
      </c>
      <c r="L791" s="6" t="s">
        <v>3999</v>
      </c>
      <c r="M791" s="108" t="s">
        <v>12226</v>
      </c>
      <c r="N791" s="13" t="s">
        <v>2478</v>
      </c>
      <c r="O791" s="13" t="s">
        <v>61</v>
      </c>
      <c r="P791" s="13" t="s">
        <v>9</v>
      </c>
      <c r="Q791" s="6" t="s">
        <v>12227</v>
      </c>
      <c r="R791" s="17" t="s">
        <v>4000</v>
      </c>
      <c r="S791" s="17" t="s">
        <v>12228</v>
      </c>
      <c r="T791" s="18">
        <v>23</v>
      </c>
      <c r="U791" s="18">
        <v>22</v>
      </c>
      <c r="V791" s="13" t="s">
        <v>4001</v>
      </c>
      <c r="X791" s="132">
        <v>784</v>
      </c>
      <c r="Y791" s="6"/>
    </row>
    <row r="792" spans="1:25" ht="15" customHeight="1" x14ac:dyDescent="0.2">
      <c r="A792" s="20" t="s">
        <v>3950</v>
      </c>
      <c r="B792" s="22" t="s">
        <v>2608</v>
      </c>
      <c r="C792" s="14">
        <v>45443</v>
      </c>
      <c r="D792" s="13" t="s">
        <v>1533</v>
      </c>
      <c r="E792" s="6" t="s">
        <v>11682</v>
      </c>
      <c r="F792" s="15" t="s">
        <v>11929</v>
      </c>
      <c r="G792" s="6" t="s">
        <v>3953</v>
      </c>
      <c r="H792" s="6" t="s">
        <v>3953</v>
      </c>
      <c r="I792" s="13" t="s">
        <v>39</v>
      </c>
      <c r="J792" s="13">
        <v>12</v>
      </c>
      <c r="K792" s="13" t="s">
        <v>1714</v>
      </c>
      <c r="L792" s="6" t="s">
        <v>3954</v>
      </c>
      <c r="M792" s="108" t="s">
        <v>3955</v>
      </c>
      <c r="N792" s="13" t="s">
        <v>3888</v>
      </c>
      <c r="O792" s="13" t="s">
        <v>53</v>
      </c>
      <c r="P792" s="13" t="s">
        <v>54</v>
      </c>
      <c r="Q792" s="6" t="s">
        <v>3956</v>
      </c>
      <c r="R792" s="17" t="s">
        <v>3957</v>
      </c>
      <c r="S792" s="17" t="s">
        <v>3958</v>
      </c>
      <c r="T792" s="18"/>
      <c r="U792" s="18"/>
      <c r="V792" s="13" t="s">
        <v>4002</v>
      </c>
      <c r="X792" s="132">
        <v>785</v>
      </c>
      <c r="Y792" s="6"/>
    </row>
    <row r="793" spans="1:25" ht="15" customHeight="1" x14ac:dyDescent="0.2">
      <c r="A793" s="12" t="s">
        <v>7392</v>
      </c>
      <c r="B793" s="13" t="s">
        <v>4977</v>
      </c>
      <c r="C793" s="14">
        <v>46158</v>
      </c>
      <c r="D793" s="13" t="s">
        <v>1533</v>
      </c>
      <c r="E793" s="6" t="s">
        <v>11682</v>
      </c>
      <c r="F793" s="15" t="s">
        <v>7534</v>
      </c>
      <c r="G793" s="6" t="s">
        <v>3953</v>
      </c>
      <c r="H793" s="6" t="s">
        <v>3953</v>
      </c>
      <c r="I793" s="13" t="s">
        <v>39</v>
      </c>
      <c r="J793" s="13">
        <v>12</v>
      </c>
      <c r="K793" s="13" t="s">
        <v>7032</v>
      </c>
      <c r="L793" s="6" t="s">
        <v>7646</v>
      </c>
      <c r="M793" s="108" t="s">
        <v>2851</v>
      </c>
      <c r="N793" s="13" t="s">
        <v>7647</v>
      </c>
      <c r="O793" s="13" t="s">
        <v>8</v>
      </c>
      <c r="P793" s="13" t="s">
        <v>9</v>
      </c>
      <c r="Q793" s="6" t="s">
        <v>7393</v>
      </c>
      <c r="R793" s="17" t="s">
        <v>7394</v>
      </c>
      <c r="S793" s="17" t="s">
        <v>7395</v>
      </c>
      <c r="T793" s="18">
        <v>50</v>
      </c>
      <c r="U793" s="18">
        <v>50</v>
      </c>
      <c r="V793" s="13" t="s">
        <v>4002</v>
      </c>
      <c r="X793" s="132">
        <v>786</v>
      </c>
      <c r="Y793" s="6"/>
    </row>
    <row r="794" spans="1:25" ht="15" customHeight="1" x14ac:dyDescent="0.25">
      <c r="A794" s="12" t="s">
        <v>10749</v>
      </c>
      <c r="B794" s="13" t="s">
        <v>4977</v>
      </c>
      <c r="C794" s="14">
        <v>46675</v>
      </c>
      <c r="D794" s="13" t="s">
        <v>1533</v>
      </c>
      <c r="E794" s="6" t="s">
        <v>10750</v>
      </c>
      <c r="F794" s="15" t="s">
        <v>10751</v>
      </c>
      <c r="G794" s="6" t="s">
        <v>3953</v>
      </c>
      <c r="H794" s="6" t="s">
        <v>3953</v>
      </c>
      <c r="I794" s="13" t="s">
        <v>39</v>
      </c>
      <c r="J794" s="13">
        <v>12</v>
      </c>
      <c r="K794" s="13" t="s">
        <v>7032</v>
      </c>
      <c r="L794" s="6" t="s">
        <v>10752</v>
      </c>
      <c r="M794" s="108" t="s">
        <v>2851</v>
      </c>
      <c r="N794" s="13" t="s">
        <v>7647</v>
      </c>
      <c r="O794" s="13" t="s">
        <v>8</v>
      </c>
      <c r="P794" s="13" t="s">
        <v>9</v>
      </c>
      <c r="Q794" s="6" t="s">
        <v>7393</v>
      </c>
      <c r="R794" s="69" t="s">
        <v>7394</v>
      </c>
      <c r="S794" s="69" t="s">
        <v>7395</v>
      </c>
      <c r="T794" s="18">
        <v>30</v>
      </c>
      <c r="U794" s="18">
        <v>30</v>
      </c>
      <c r="V794" s="13" t="s">
        <v>4002</v>
      </c>
      <c r="X794" s="132">
        <v>787</v>
      </c>
      <c r="Y794" s="6"/>
    </row>
    <row r="795" spans="1:25" ht="15" customHeight="1" x14ac:dyDescent="0.2">
      <c r="A795" s="19" t="s">
        <v>3951</v>
      </c>
      <c r="B795" s="13" t="s">
        <v>4978</v>
      </c>
      <c r="C795" s="74">
        <v>46173</v>
      </c>
      <c r="D795" s="13" t="s">
        <v>33</v>
      </c>
      <c r="E795" s="6" t="s">
        <v>4003</v>
      </c>
      <c r="F795" s="15" t="s">
        <v>11930</v>
      </c>
      <c r="G795" s="6" t="s">
        <v>4004</v>
      </c>
      <c r="H795" s="147" t="s">
        <v>4004</v>
      </c>
      <c r="I795" s="13" t="s">
        <v>25</v>
      </c>
      <c r="J795" s="13">
        <v>3</v>
      </c>
      <c r="K795" s="13" t="s">
        <v>1714</v>
      </c>
      <c r="L795" s="6" t="s">
        <v>4005</v>
      </c>
      <c r="M795" s="108" t="s">
        <v>4006</v>
      </c>
      <c r="N795" s="13" t="s">
        <v>2145</v>
      </c>
      <c r="O795" s="13" t="s">
        <v>2146</v>
      </c>
      <c r="P795" s="13" t="s">
        <v>68</v>
      </c>
      <c r="Q795" s="6" t="s">
        <v>4007</v>
      </c>
      <c r="R795" s="17" t="s">
        <v>4008</v>
      </c>
      <c r="S795" s="17" t="s">
        <v>4009</v>
      </c>
      <c r="T795" s="18">
        <v>11</v>
      </c>
      <c r="U795" s="18">
        <v>9</v>
      </c>
      <c r="V795" s="13" t="s">
        <v>4010</v>
      </c>
      <c r="X795" s="132">
        <v>788</v>
      </c>
      <c r="Y795" s="6"/>
    </row>
    <row r="796" spans="1:25" ht="15" customHeight="1" x14ac:dyDescent="0.2">
      <c r="A796" s="12" t="s">
        <v>3952</v>
      </c>
      <c r="B796" s="13" t="s">
        <v>4977</v>
      </c>
      <c r="C796" s="14">
        <v>46537</v>
      </c>
      <c r="D796" s="13" t="s">
        <v>1533</v>
      </c>
      <c r="E796" s="6" t="s">
        <v>4011</v>
      </c>
      <c r="F796" s="15" t="s">
        <v>10008</v>
      </c>
      <c r="G796" s="6" t="s">
        <v>4013</v>
      </c>
      <c r="H796" s="6" t="s">
        <v>4013</v>
      </c>
      <c r="I796" s="13" t="s">
        <v>13</v>
      </c>
      <c r="J796" s="13">
        <v>8</v>
      </c>
      <c r="K796" s="13" t="s">
        <v>1714</v>
      </c>
      <c r="L796" s="6" t="s">
        <v>4014</v>
      </c>
      <c r="M796" s="108" t="s">
        <v>10009</v>
      </c>
      <c r="N796" s="13" t="s">
        <v>4015</v>
      </c>
      <c r="O796" s="13" t="s">
        <v>165</v>
      </c>
      <c r="P796" s="13" t="s">
        <v>9</v>
      </c>
      <c r="Q796" s="6" t="s">
        <v>10010</v>
      </c>
      <c r="R796" s="17" t="s">
        <v>4016</v>
      </c>
      <c r="S796" s="17" t="s">
        <v>4017</v>
      </c>
      <c r="T796" s="18">
        <v>100</v>
      </c>
      <c r="U796" s="18">
        <v>139</v>
      </c>
      <c r="V796" s="13" t="s">
        <v>4012</v>
      </c>
      <c r="X796" s="132">
        <v>789</v>
      </c>
      <c r="Y796" s="6"/>
    </row>
    <row r="797" spans="1:25" ht="15" customHeight="1" x14ac:dyDescent="0.2">
      <c r="A797" s="19" t="s">
        <v>4018</v>
      </c>
      <c r="B797" s="13" t="s">
        <v>4978</v>
      </c>
      <c r="C797" s="74">
        <v>46173</v>
      </c>
      <c r="D797" s="13" t="s">
        <v>1533</v>
      </c>
      <c r="E797" s="6" t="s">
        <v>4019</v>
      </c>
      <c r="F797" s="15" t="s">
        <v>11931</v>
      </c>
      <c r="G797" s="6" t="s">
        <v>4020</v>
      </c>
      <c r="H797" s="147" t="s">
        <v>4020</v>
      </c>
      <c r="I797" s="13" t="s">
        <v>13</v>
      </c>
      <c r="J797" s="13">
        <v>7</v>
      </c>
      <c r="K797" s="13" t="s">
        <v>6603</v>
      </c>
      <c r="L797" s="6" t="s">
        <v>4021</v>
      </c>
      <c r="M797" s="108" t="s">
        <v>4022</v>
      </c>
      <c r="N797" s="13" t="s">
        <v>36</v>
      </c>
      <c r="O797" s="13" t="s">
        <v>36</v>
      </c>
      <c r="P797" s="13" t="s">
        <v>4</v>
      </c>
      <c r="Q797" s="6" t="s">
        <v>4023</v>
      </c>
      <c r="R797" s="17" t="s">
        <v>4024</v>
      </c>
      <c r="S797" s="17" t="s">
        <v>6627</v>
      </c>
      <c r="T797" s="18">
        <v>130</v>
      </c>
      <c r="U797" s="18">
        <v>192</v>
      </c>
      <c r="V797" s="13" t="s">
        <v>4025</v>
      </c>
      <c r="X797" s="132">
        <v>790</v>
      </c>
      <c r="Y797" s="6"/>
    </row>
    <row r="798" spans="1:25" ht="15" customHeight="1" x14ac:dyDescent="0.2">
      <c r="A798" s="20" t="s">
        <v>4051</v>
      </c>
      <c r="B798" s="22" t="s">
        <v>2608</v>
      </c>
      <c r="C798" s="14">
        <v>45508</v>
      </c>
      <c r="D798" s="13" t="s">
        <v>1533</v>
      </c>
      <c r="E798" s="6" t="s">
        <v>4054</v>
      </c>
      <c r="F798" s="15" t="s">
        <v>11932</v>
      </c>
      <c r="G798" s="6" t="s">
        <v>4053</v>
      </c>
      <c r="H798" s="147" t="s">
        <v>4053</v>
      </c>
      <c r="I798" s="13" t="s">
        <v>39</v>
      </c>
      <c r="J798" s="13">
        <v>12</v>
      </c>
      <c r="K798" s="13" t="s">
        <v>1714</v>
      </c>
      <c r="L798" s="6" t="s">
        <v>4055</v>
      </c>
      <c r="M798" s="108" t="s">
        <v>4056</v>
      </c>
      <c r="N798" s="13" t="s">
        <v>54</v>
      </c>
      <c r="O798" s="13" t="s">
        <v>53</v>
      </c>
      <c r="P798" s="13" t="s">
        <v>54</v>
      </c>
      <c r="Q798" s="6" t="s">
        <v>4057</v>
      </c>
      <c r="R798" s="17" t="s">
        <v>4058</v>
      </c>
      <c r="S798" s="17" t="s">
        <v>4059</v>
      </c>
      <c r="T798" s="18">
        <v>150</v>
      </c>
      <c r="U798" s="18">
        <v>150</v>
      </c>
      <c r="V798" s="13" t="s">
        <v>4060</v>
      </c>
      <c r="X798" s="132">
        <v>791</v>
      </c>
      <c r="Y798" s="6"/>
    </row>
    <row r="799" spans="1:25" ht="15" customHeight="1" x14ac:dyDescent="0.2">
      <c r="A799" s="20" t="s">
        <v>4052</v>
      </c>
      <c r="B799" s="22" t="s">
        <v>2608</v>
      </c>
      <c r="C799" s="14">
        <v>45508</v>
      </c>
      <c r="D799" s="13" t="s">
        <v>1533</v>
      </c>
      <c r="E799" s="6" t="s">
        <v>4054</v>
      </c>
      <c r="F799" s="15" t="s">
        <v>11933</v>
      </c>
      <c r="G799" s="6" t="s">
        <v>4053</v>
      </c>
      <c r="H799" s="147" t="s">
        <v>4053</v>
      </c>
      <c r="I799" s="13" t="s">
        <v>39</v>
      </c>
      <c r="J799" s="13">
        <v>12</v>
      </c>
      <c r="K799" s="13" t="s">
        <v>1714</v>
      </c>
      <c r="L799" s="6" t="s">
        <v>4055</v>
      </c>
      <c r="M799" s="108" t="s">
        <v>4056</v>
      </c>
      <c r="N799" s="13" t="s">
        <v>54</v>
      </c>
      <c r="O799" s="13" t="s">
        <v>53</v>
      </c>
      <c r="P799" s="13" t="s">
        <v>54</v>
      </c>
      <c r="Q799" s="6" t="s">
        <v>4062</v>
      </c>
      <c r="R799" s="17" t="s">
        <v>4058</v>
      </c>
      <c r="S799" s="17" t="s">
        <v>4059</v>
      </c>
      <c r="T799" s="18">
        <v>120</v>
      </c>
      <c r="U799" s="18">
        <v>60</v>
      </c>
      <c r="V799" s="13" t="s">
        <v>4061</v>
      </c>
      <c r="X799" s="132">
        <v>792</v>
      </c>
      <c r="Y799" s="6"/>
    </row>
    <row r="800" spans="1:25" ht="15" customHeight="1" x14ac:dyDescent="0.2">
      <c r="A800" s="12" t="s">
        <v>7762</v>
      </c>
      <c r="B800" s="13" t="s">
        <v>4977</v>
      </c>
      <c r="C800" s="14">
        <v>46249</v>
      </c>
      <c r="D800" s="13" t="s">
        <v>1533</v>
      </c>
      <c r="E800" s="6" t="s">
        <v>4054</v>
      </c>
      <c r="F800" s="15" t="s">
        <v>7763</v>
      </c>
      <c r="G800" s="6" t="s">
        <v>4053</v>
      </c>
      <c r="H800" s="6" t="s">
        <v>4053</v>
      </c>
      <c r="I800" s="13" t="s">
        <v>39</v>
      </c>
      <c r="J800" s="13">
        <v>12</v>
      </c>
      <c r="K800" s="13" t="s">
        <v>6574</v>
      </c>
      <c r="L800" s="6" t="s">
        <v>7764</v>
      </c>
      <c r="M800" s="108" t="s">
        <v>7765</v>
      </c>
      <c r="N800" s="13" t="s">
        <v>445</v>
      </c>
      <c r="O800" s="13" t="s">
        <v>445</v>
      </c>
      <c r="P800" s="13" t="s">
        <v>16</v>
      </c>
      <c r="Q800" s="6" t="s">
        <v>7872</v>
      </c>
      <c r="R800" s="17" t="s">
        <v>4058</v>
      </c>
      <c r="S800" s="17" t="s">
        <v>4059</v>
      </c>
      <c r="T800" s="18">
        <v>300</v>
      </c>
      <c r="U800" s="18">
        <v>300</v>
      </c>
      <c r="V800" s="26" t="s">
        <v>7873</v>
      </c>
      <c r="X800" s="132">
        <v>793</v>
      </c>
      <c r="Y800" s="6"/>
    </row>
    <row r="801" spans="1:25" ht="15" customHeight="1" x14ac:dyDescent="0.2">
      <c r="A801" s="20" t="s">
        <v>4047</v>
      </c>
      <c r="B801" s="22" t="s">
        <v>2608</v>
      </c>
      <c r="C801" s="14">
        <v>45508</v>
      </c>
      <c r="D801" s="13" t="s">
        <v>1533</v>
      </c>
      <c r="E801" s="6" t="s">
        <v>4076</v>
      </c>
      <c r="F801" s="15" t="s">
        <v>11934</v>
      </c>
      <c r="G801" s="6" t="s">
        <v>4077</v>
      </c>
      <c r="H801" s="147" t="s">
        <v>4077</v>
      </c>
      <c r="I801" s="13" t="s">
        <v>39</v>
      </c>
      <c r="J801" s="13">
        <v>12</v>
      </c>
      <c r="K801" s="13" t="s">
        <v>1714</v>
      </c>
      <c r="L801" s="6" t="s">
        <v>4078</v>
      </c>
      <c r="M801" s="108" t="s">
        <v>4079</v>
      </c>
      <c r="N801" s="13" t="s">
        <v>4080</v>
      </c>
      <c r="O801" s="13" t="s">
        <v>1732</v>
      </c>
      <c r="P801" s="13" t="s">
        <v>16</v>
      </c>
      <c r="Q801" s="6" t="s">
        <v>4081</v>
      </c>
      <c r="R801" s="17" t="s">
        <v>4082</v>
      </c>
      <c r="S801" s="17" t="s">
        <v>6634</v>
      </c>
      <c r="T801" s="18">
        <v>120</v>
      </c>
      <c r="U801" s="18">
        <v>134</v>
      </c>
      <c r="V801" s="13" t="s">
        <v>4075</v>
      </c>
      <c r="X801" s="132">
        <v>794</v>
      </c>
      <c r="Y801" s="6"/>
    </row>
    <row r="802" spans="1:25" ht="15" customHeight="1" x14ac:dyDescent="0.25">
      <c r="A802" s="12" t="s">
        <v>12159</v>
      </c>
      <c r="B802" s="145" t="s">
        <v>4978</v>
      </c>
      <c r="C802" s="146">
        <v>47679</v>
      </c>
      <c r="D802" s="145" t="s">
        <v>1533</v>
      </c>
      <c r="E802" s="147" t="s">
        <v>4076</v>
      </c>
      <c r="F802" s="148" t="s">
        <v>12160</v>
      </c>
      <c r="G802" s="147" t="s">
        <v>4077</v>
      </c>
      <c r="H802" s="147" t="s">
        <v>12161</v>
      </c>
      <c r="I802" s="145" t="s">
        <v>2702</v>
      </c>
      <c r="J802" s="145">
        <v>11</v>
      </c>
      <c r="K802" s="145" t="s">
        <v>6603</v>
      </c>
      <c r="L802" s="147" t="s">
        <v>12162</v>
      </c>
      <c r="M802" s="149" t="s">
        <v>4079</v>
      </c>
      <c r="N802" s="145" t="s">
        <v>12163</v>
      </c>
      <c r="O802" s="145" t="s">
        <v>1732</v>
      </c>
      <c r="P802" s="145" t="s">
        <v>16</v>
      </c>
      <c r="Q802" s="147" t="s">
        <v>4081</v>
      </c>
      <c r="R802" s="69" t="s">
        <v>4082</v>
      </c>
      <c r="S802" s="150" t="s">
        <v>12164</v>
      </c>
      <c r="T802" s="151">
        <v>180</v>
      </c>
      <c r="U802" s="151">
        <v>213</v>
      </c>
      <c r="V802" s="145" t="s">
        <v>4075</v>
      </c>
      <c r="W802" s="147"/>
      <c r="X802" s="152"/>
      <c r="Y802" s="6"/>
    </row>
    <row r="803" spans="1:25" ht="15" customHeight="1" x14ac:dyDescent="0.2">
      <c r="A803" s="12" t="s">
        <v>4048</v>
      </c>
      <c r="B803" s="13" t="s">
        <v>4977</v>
      </c>
      <c r="C803" s="14">
        <v>46249</v>
      </c>
      <c r="D803" s="13" t="s">
        <v>33</v>
      </c>
      <c r="E803" s="6" t="s">
        <v>7866</v>
      </c>
      <c r="F803" s="15" t="s">
        <v>7867</v>
      </c>
      <c r="G803" s="6" t="s">
        <v>4083</v>
      </c>
      <c r="H803" s="6" t="s">
        <v>4083</v>
      </c>
      <c r="I803" s="13" t="s">
        <v>25</v>
      </c>
      <c r="J803" s="13">
        <v>3</v>
      </c>
      <c r="K803" s="13" t="s">
        <v>1714</v>
      </c>
      <c r="L803" s="6" t="s">
        <v>4084</v>
      </c>
      <c r="M803" s="108" t="s">
        <v>7868</v>
      </c>
      <c r="N803" s="13" t="s">
        <v>2116</v>
      </c>
      <c r="O803" s="13" t="s">
        <v>53</v>
      </c>
      <c r="P803" s="13" t="s">
        <v>54</v>
      </c>
      <c r="Q803" s="6" t="s">
        <v>7869</v>
      </c>
      <c r="R803" s="17" t="s">
        <v>4085</v>
      </c>
      <c r="S803" s="17" t="s">
        <v>4086</v>
      </c>
      <c r="T803" s="18">
        <v>19</v>
      </c>
      <c r="U803" s="18">
        <v>17</v>
      </c>
      <c r="V803" s="13" t="s">
        <v>7761</v>
      </c>
      <c r="X803" s="132">
        <v>795</v>
      </c>
      <c r="Y803" s="6"/>
    </row>
    <row r="804" spans="1:25" ht="15" customHeight="1" x14ac:dyDescent="0.2">
      <c r="A804" s="20" t="s">
        <v>4089</v>
      </c>
      <c r="B804" s="22" t="s">
        <v>2608</v>
      </c>
      <c r="C804" s="14">
        <v>45508</v>
      </c>
      <c r="D804" s="13" t="s">
        <v>1533</v>
      </c>
      <c r="E804" s="6" t="s">
        <v>4093</v>
      </c>
      <c r="F804" s="54" t="s">
        <v>11935</v>
      </c>
      <c r="G804" s="6" t="s">
        <v>4090</v>
      </c>
      <c r="H804" s="147" t="s">
        <v>4090</v>
      </c>
      <c r="I804" s="13" t="s">
        <v>39</v>
      </c>
      <c r="J804" s="13">
        <v>12</v>
      </c>
      <c r="K804" s="13" t="s">
        <v>1714</v>
      </c>
      <c r="L804" s="6" t="s">
        <v>4094</v>
      </c>
      <c r="M804" s="108" t="s">
        <v>4101</v>
      </c>
      <c r="N804" s="13" t="s">
        <v>2776</v>
      </c>
      <c r="O804" s="13" t="s">
        <v>136</v>
      </c>
      <c r="P804" s="13" t="s">
        <v>4</v>
      </c>
      <c r="Q804" s="6" t="s">
        <v>4095</v>
      </c>
      <c r="R804" s="17" t="s">
        <v>4096</v>
      </c>
      <c r="S804" s="17" t="s">
        <v>4097</v>
      </c>
      <c r="T804" s="18">
        <v>1048</v>
      </c>
      <c r="U804" s="18">
        <v>1009</v>
      </c>
      <c r="V804" s="13" t="s">
        <v>4098</v>
      </c>
      <c r="X804" s="132">
        <v>796</v>
      </c>
      <c r="Y804" s="6"/>
    </row>
    <row r="805" spans="1:25" ht="15" customHeight="1" x14ac:dyDescent="0.2">
      <c r="A805" s="20" t="s">
        <v>4087</v>
      </c>
      <c r="B805" s="22" t="s">
        <v>2608</v>
      </c>
      <c r="C805" s="14">
        <v>45508</v>
      </c>
      <c r="D805" s="13" t="s">
        <v>1533</v>
      </c>
      <c r="E805" s="6" t="s">
        <v>4093</v>
      </c>
      <c r="F805" s="15" t="s">
        <v>11936</v>
      </c>
      <c r="G805" s="6" t="s">
        <v>4091</v>
      </c>
      <c r="H805" s="147" t="s">
        <v>4091</v>
      </c>
      <c r="I805" s="13" t="s">
        <v>39</v>
      </c>
      <c r="J805" s="13">
        <v>12</v>
      </c>
      <c r="K805" s="13" t="s">
        <v>1714</v>
      </c>
      <c r="L805" s="6" t="s">
        <v>4102</v>
      </c>
      <c r="M805" s="108" t="s">
        <v>4103</v>
      </c>
      <c r="N805" s="13" t="s">
        <v>4104</v>
      </c>
      <c r="O805" s="13" t="s">
        <v>8</v>
      </c>
      <c r="P805" s="13" t="s">
        <v>9</v>
      </c>
      <c r="Q805" s="6" t="s">
        <v>4105</v>
      </c>
      <c r="R805" s="17" t="s">
        <v>4096</v>
      </c>
      <c r="S805" s="17" t="s">
        <v>4097</v>
      </c>
      <c r="T805" s="18">
        <v>210</v>
      </c>
      <c r="U805" s="18">
        <v>35</v>
      </c>
      <c r="V805" s="13" t="s">
        <v>4099</v>
      </c>
      <c r="X805" s="132">
        <v>797</v>
      </c>
      <c r="Y805" s="6"/>
    </row>
    <row r="806" spans="1:25" s="58" customFormat="1" ht="15" customHeight="1" x14ac:dyDescent="0.25">
      <c r="A806" s="20" t="s">
        <v>4088</v>
      </c>
      <c r="B806" s="22" t="s">
        <v>2608</v>
      </c>
      <c r="C806" s="14">
        <v>45508</v>
      </c>
      <c r="D806" s="13" t="s">
        <v>1533</v>
      </c>
      <c r="E806" s="6" t="s">
        <v>4093</v>
      </c>
      <c r="F806" s="15" t="s">
        <v>11937</v>
      </c>
      <c r="G806" s="6" t="s">
        <v>4092</v>
      </c>
      <c r="H806" s="147" t="s">
        <v>4092</v>
      </c>
      <c r="I806" s="13" t="s">
        <v>39</v>
      </c>
      <c r="J806" s="13">
        <v>12</v>
      </c>
      <c r="K806" s="13" t="s">
        <v>1714</v>
      </c>
      <c r="L806" s="6" t="s">
        <v>4106</v>
      </c>
      <c r="M806" s="108" t="s">
        <v>4107</v>
      </c>
      <c r="N806" s="13" t="s">
        <v>2776</v>
      </c>
      <c r="O806" s="13" t="s">
        <v>136</v>
      </c>
      <c r="P806" s="13" t="s">
        <v>4</v>
      </c>
      <c r="Q806" s="6" t="s">
        <v>4095</v>
      </c>
      <c r="R806" s="17" t="s">
        <v>4096</v>
      </c>
      <c r="S806" s="69" t="s">
        <v>4097</v>
      </c>
      <c r="T806" s="18">
        <v>6800</v>
      </c>
      <c r="U806" s="18">
        <v>2000</v>
      </c>
      <c r="V806" s="13" t="s">
        <v>4100</v>
      </c>
      <c r="W806" s="6"/>
      <c r="X806" s="132">
        <v>798</v>
      </c>
    </row>
    <row r="807" spans="1:25" ht="15" customHeight="1" x14ac:dyDescent="0.25">
      <c r="A807" s="20" t="s">
        <v>6163</v>
      </c>
      <c r="B807" s="22" t="s">
        <v>2608</v>
      </c>
      <c r="C807" s="14">
        <v>45975</v>
      </c>
      <c r="D807" s="13" t="s">
        <v>1533</v>
      </c>
      <c r="E807" s="6" t="s">
        <v>4093</v>
      </c>
      <c r="F807" s="57" t="s">
        <v>6164</v>
      </c>
      <c r="G807" s="6" t="s">
        <v>6165</v>
      </c>
      <c r="H807" s="6" t="s">
        <v>6165</v>
      </c>
      <c r="I807" s="13" t="s">
        <v>39</v>
      </c>
      <c r="J807" s="13">
        <v>12</v>
      </c>
      <c r="K807" s="13" t="s">
        <v>1714</v>
      </c>
      <c r="L807" s="6" t="s">
        <v>4106</v>
      </c>
      <c r="M807" s="108" t="s">
        <v>4107</v>
      </c>
      <c r="N807" s="13" t="s">
        <v>2776</v>
      </c>
      <c r="O807" s="13" t="s">
        <v>136</v>
      </c>
      <c r="P807" s="13" t="s">
        <v>4</v>
      </c>
      <c r="Q807" s="6" t="s">
        <v>6166</v>
      </c>
      <c r="R807" s="69" t="s">
        <v>4096</v>
      </c>
      <c r="S807" s="30" t="s">
        <v>4097</v>
      </c>
      <c r="T807" s="18">
        <v>1500</v>
      </c>
      <c r="U807" s="18">
        <v>750</v>
      </c>
      <c r="V807" s="13" t="s">
        <v>4098</v>
      </c>
      <c r="X807" s="132">
        <v>799</v>
      </c>
      <c r="Y807" s="6"/>
    </row>
    <row r="808" spans="1:25" ht="15" customHeight="1" x14ac:dyDescent="0.25">
      <c r="A808" s="12" t="s">
        <v>11248</v>
      </c>
      <c r="B808" s="79" t="s">
        <v>4977</v>
      </c>
      <c r="C808" s="80">
        <v>46822</v>
      </c>
      <c r="D808" s="79" t="s">
        <v>1533</v>
      </c>
      <c r="E808" s="81" t="s">
        <v>11253</v>
      </c>
      <c r="F808" s="52" t="s">
        <v>11254</v>
      </c>
      <c r="G808" s="6" t="s">
        <v>4090</v>
      </c>
      <c r="H808" s="6" t="s">
        <v>4090</v>
      </c>
      <c r="I808" s="13" t="s">
        <v>39</v>
      </c>
      <c r="J808" s="79">
        <v>12</v>
      </c>
      <c r="K808" s="13" t="s">
        <v>1714</v>
      </c>
      <c r="L808" s="6" t="s">
        <v>11249</v>
      </c>
      <c r="M808" s="108" t="s">
        <v>11250</v>
      </c>
      <c r="N808" s="13" t="s">
        <v>11251</v>
      </c>
      <c r="O808" s="13" t="s">
        <v>136</v>
      </c>
      <c r="P808" s="13" t="s">
        <v>4</v>
      </c>
      <c r="Q808" s="6" t="s">
        <v>11252</v>
      </c>
      <c r="R808" s="69" t="s">
        <v>4096</v>
      </c>
      <c r="S808" s="69" t="s">
        <v>4097</v>
      </c>
      <c r="T808" s="85">
        <v>300</v>
      </c>
      <c r="U808" s="85">
        <v>120</v>
      </c>
      <c r="V808" s="13" t="s">
        <v>4098</v>
      </c>
      <c r="W808" s="81"/>
      <c r="X808" s="132">
        <v>800</v>
      </c>
      <c r="Y808" s="6"/>
    </row>
    <row r="809" spans="1:25" ht="15" customHeight="1" x14ac:dyDescent="0.2">
      <c r="A809" s="19" t="s">
        <v>4049</v>
      </c>
      <c r="B809" s="13" t="s">
        <v>4978</v>
      </c>
      <c r="C809" s="74">
        <v>47243</v>
      </c>
      <c r="D809" s="13" t="s">
        <v>33</v>
      </c>
      <c r="E809" s="6" t="s">
        <v>4109</v>
      </c>
      <c r="F809" s="6" t="s">
        <v>9246</v>
      </c>
      <c r="G809" s="6" t="s">
        <v>4108</v>
      </c>
      <c r="H809" s="6" t="s">
        <v>4108</v>
      </c>
      <c r="I809" s="13" t="s">
        <v>25</v>
      </c>
      <c r="J809" s="13">
        <v>3</v>
      </c>
      <c r="K809" s="13" t="s">
        <v>1714</v>
      </c>
      <c r="L809" s="6" t="s">
        <v>4113</v>
      </c>
      <c r="M809" s="108" t="s">
        <v>4115</v>
      </c>
      <c r="N809" s="13" t="s">
        <v>4114</v>
      </c>
      <c r="O809" s="13" t="s">
        <v>1847</v>
      </c>
      <c r="P809" s="13" t="s">
        <v>68</v>
      </c>
      <c r="Q809" s="6" t="s">
        <v>4112</v>
      </c>
      <c r="R809" s="17" t="s">
        <v>4111</v>
      </c>
      <c r="S809" s="17"/>
      <c r="T809" s="18">
        <v>16</v>
      </c>
      <c r="U809" s="18">
        <v>15</v>
      </c>
      <c r="V809" s="13" t="s">
        <v>4110</v>
      </c>
      <c r="W809" s="58"/>
      <c r="X809" s="132">
        <v>801</v>
      </c>
      <c r="Y809" s="6"/>
    </row>
    <row r="810" spans="1:25" ht="15" customHeight="1" x14ac:dyDescent="0.2">
      <c r="A810" s="20" t="s">
        <v>4050</v>
      </c>
      <c r="B810" s="22" t="s">
        <v>2608</v>
      </c>
      <c r="C810" s="14">
        <v>45508</v>
      </c>
      <c r="D810" s="13" t="s">
        <v>33</v>
      </c>
      <c r="E810" s="6" t="s">
        <v>4117</v>
      </c>
      <c r="F810" s="15" t="s">
        <v>9245</v>
      </c>
      <c r="G810" s="6" t="s">
        <v>4116</v>
      </c>
      <c r="H810" s="147" t="s">
        <v>4116</v>
      </c>
      <c r="I810" s="13" t="s">
        <v>25</v>
      </c>
      <c r="J810" s="13">
        <v>3</v>
      </c>
      <c r="K810" s="13" t="s">
        <v>1714</v>
      </c>
      <c r="L810" s="6" t="s">
        <v>4119</v>
      </c>
      <c r="M810" s="108" t="s">
        <v>4120</v>
      </c>
      <c r="N810" s="13" t="s">
        <v>4121</v>
      </c>
      <c r="O810" s="13" t="s">
        <v>8</v>
      </c>
      <c r="P810" s="13" t="s">
        <v>9</v>
      </c>
      <c r="Q810" s="6" t="s">
        <v>4122</v>
      </c>
      <c r="R810" s="17" t="s">
        <v>4123</v>
      </c>
      <c r="S810" s="17" t="s">
        <v>6634</v>
      </c>
      <c r="T810" s="18">
        <v>13</v>
      </c>
      <c r="U810" s="18">
        <v>12</v>
      </c>
      <c r="V810" s="13" t="s">
        <v>4118</v>
      </c>
      <c r="X810" s="132">
        <v>802</v>
      </c>
      <c r="Y810" s="6"/>
    </row>
    <row r="811" spans="1:25" ht="15" customHeight="1" x14ac:dyDescent="0.2">
      <c r="A811" s="12" t="s">
        <v>4124</v>
      </c>
      <c r="B811" s="13" t="s">
        <v>4978</v>
      </c>
      <c r="C811" s="74">
        <v>46238</v>
      </c>
      <c r="D811" s="13" t="s">
        <v>33</v>
      </c>
      <c r="E811" s="6" t="s">
        <v>4126</v>
      </c>
      <c r="F811" s="6" t="s">
        <v>9247</v>
      </c>
      <c r="G811" s="6" t="s">
        <v>4127</v>
      </c>
      <c r="H811" s="147" t="s">
        <v>4127</v>
      </c>
      <c r="I811" s="13" t="s">
        <v>25</v>
      </c>
      <c r="J811" s="13">
        <v>3</v>
      </c>
      <c r="K811" s="13" t="s">
        <v>1714</v>
      </c>
      <c r="L811" s="6" t="s">
        <v>4128</v>
      </c>
      <c r="M811" s="108" t="s">
        <v>4129</v>
      </c>
      <c r="N811" s="13" t="s">
        <v>2340</v>
      </c>
      <c r="O811" s="13" t="s">
        <v>1055</v>
      </c>
      <c r="P811" s="13" t="s">
        <v>16</v>
      </c>
      <c r="Q811" s="6" t="s">
        <v>4130</v>
      </c>
      <c r="R811" s="17" t="s">
        <v>4131</v>
      </c>
      <c r="S811" s="17" t="s">
        <v>4132</v>
      </c>
      <c r="T811" s="18">
        <v>14</v>
      </c>
      <c r="U811" s="18">
        <v>8</v>
      </c>
      <c r="V811" s="13" t="s">
        <v>4125</v>
      </c>
      <c r="X811" s="132">
        <v>803</v>
      </c>
      <c r="Y811" s="6"/>
    </row>
    <row r="812" spans="1:25" ht="15" customHeight="1" x14ac:dyDescent="0.2">
      <c r="A812" s="12" t="s">
        <v>4133</v>
      </c>
      <c r="B812" s="13" t="s">
        <v>4978</v>
      </c>
      <c r="C812" s="74">
        <v>46238</v>
      </c>
      <c r="D812" s="13" t="s">
        <v>1533</v>
      </c>
      <c r="E812" s="6" t="s">
        <v>4135</v>
      </c>
      <c r="F812" s="54" t="s">
        <v>9244</v>
      </c>
      <c r="G812" s="6" t="s">
        <v>4134</v>
      </c>
      <c r="H812" s="147" t="s">
        <v>4134</v>
      </c>
      <c r="I812" s="13" t="s">
        <v>13</v>
      </c>
      <c r="J812" s="13">
        <v>7</v>
      </c>
      <c r="K812" s="13" t="s">
        <v>6603</v>
      </c>
      <c r="L812" s="6" t="s">
        <v>4137</v>
      </c>
      <c r="M812" s="108" t="s">
        <v>4138</v>
      </c>
      <c r="N812" s="13" t="s">
        <v>4139</v>
      </c>
      <c r="O812" s="13" t="s">
        <v>21</v>
      </c>
      <c r="P812" s="13" t="s">
        <v>9</v>
      </c>
      <c r="Q812" s="6" t="s">
        <v>4140</v>
      </c>
      <c r="R812" s="17" t="s">
        <v>4141</v>
      </c>
      <c r="S812" s="17" t="s">
        <v>6627</v>
      </c>
      <c r="T812" s="18">
        <v>100</v>
      </c>
      <c r="U812" s="18">
        <v>94</v>
      </c>
      <c r="V812" s="13" t="s">
        <v>4136</v>
      </c>
      <c r="X812" s="132">
        <v>804</v>
      </c>
      <c r="Y812" s="6"/>
    </row>
    <row r="813" spans="1:25" ht="15" customHeight="1" x14ac:dyDescent="0.2">
      <c r="A813" s="12" t="s">
        <v>4143</v>
      </c>
      <c r="B813" s="13" t="s">
        <v>4978</v>
      </c>
      <c r="C813" s="74">
        <v>46238</v>
      </c>
      <c r="D813" s="13" t="s">
        <v>1533</v>
      </c>
      <c r="E813" s="6" t="s">
        <v>4144</v>
      </c>
      <c r="F813" s="15" t="s">
        <v>9243</v>
      </c>
      <c r="G813" s="6" t="s">
        <v>4142</v>
      </c>
      <c r="H813" s="147" t="s">
        <v>4142</v>
      </c>
      <c r="I813" s="13" t="s">
        <v>25</v>
      </c>
      <c r="J813" s="13">
        <v>6</v>
      </c>
      <c r="K813" s="13" t="s">
        <v>1714</v>
      </c>
      <c r="L813" s="6" t="s">
        <v>4145</v>
      </c>
      <c r="M813" s="108" t="s">
        <v>4146</v>
      </c>
      <c r="N813" s="13" t="s">
        <v>4147</v>
      </c>
      <c r="O813" s="13" t="s">
        <v>704</v>
      </c>
      <c r="P813" s="13" t="s">
        <v>16</v>
      </c>
      <c r="Q813" s="6" t="s">
        <v>4148</v>
      </c>
      <c r="R813" s="17" t="s">
        <v>4149</v>
      </c>
      <c r="S813" s="17" t="s">
        <v>6689</v>
      </c>
      <c r="T813" s="18">
        <v>15</v>
      </c>
      <c r="U813" s="18">
        <v>5</v>
      </c>
      <c r="V813" s="13" t="s">
        <v>4150</v>
      </c>
      <c r="X813" s="132">
        <v>805</v>
      </c>
      <c r="Y813" s="6"/>
    </row>
    <row r="814" spans="1:25" ht="15" customHeight="1" x14ac:dyDescent="0.2">
      <c r="A814" s="12" t="s">
        <v>4151</v>
      </c>
      <c r="B814" s="13" t="s">
        <v>4978</v>
      </c>
      <c r="C814" s="74">
        <v>46238</v>
      </c>
      <c r="D814" s="13" t="s">
        <v>33</v>
      </c>
      <c r="E814" s="6" t="s">
        <v>4153</v>
      </c>
      <c r="F814" s="6" t="s">
        <v>9242</v>
      </c>
      <c r="G814" s="6" t="s">
        <v>4152</v>
      </c>
      <c r="H814" s="147" t="s">
        <v>4152</v>
      </c>
      <c r="I814" s="13" t="s">
        <v>25</v>
      </c>
      <c r="J814" s="13">
        <v>3</v>
      </c>
      <c r="K814" s="13" t="s">
        <v>1714</v>
      </c>
      <c r="L814" s="6" t="s">
        <v>4155</v>
      </c>
      <c r="M814" s="108" t="s">
        <v>4156</v>
      </c>
      <c r="N814" s="13" t="s">
        <v>3654</v>
      </c>
      <c r="O814" s="13" t="s">
        <v>2146</v>
      </c>
      <c r="P814" s="13" t="s">
        <v>68</v>
      </c>
      <c r="Q814" s="6" t="s">
        <v>3786</v>
      </c>
      <c r="R814" s="17" t="s">
        <v>1959</v>
      </c>
      <c r="S814" s="17" t="s">
        <v>6631</v>
      </c>
      <c r="T814" s="18">
        <v>40</v>
      </c>
      <c r="U814" s="18">
        <v>23</v>
      </c>
      <c r="V814" s="13" t="s">
        <v>4154</v>
      </c>
      <c r="X814" s="132">
        <v>806</v>
      </c>
      <c r="Y814" s="6"/>
    </row>
    <row r="815" spans="1:25" ht="15" customHeight="1" x14ac:dyDescent="0.2">
      <c r="A815" s="12" t="s">
        <v>4163</v>
      </c>
      <c r="B815" s="13" t="s">
        <v>4977</v>
      </c>
      <c r="D815" s="13" t="s">
        <v>33</v>
      </c>
      <c r="E815" s="6" t="s">
        <v>4165</v>
      </c>
      <c r="F815" s="15" t="s">
        <v>9241</v>
      </c>
      <c r="G815" s="6" t="s">
        <v>4164</v>
      </c>
      <c r="H815" s="147" t="s">
        <v>4164</v>
      </c>
      <c r="I815" s="13" t="s">
        <v>25</v>
      </c>
      <c r="J815" s="13">
        <v>3</v>
      </c>
      <c r="K815" s="13" t="s">
        <v>1714</v>
      </c>
      <c r="L815" s="6" t="s">
        <v>4167</v>
      </c>
      <c r="M815" s="108" t="s">
        <v>4168</v>
      </c>
      <c r="N815" s="13" t="s">
        <v>2123</v>
      </c>
      <c r="O815" s="13" t="s">
        <v>15</v>
      </c>
      <c r="P815" s="13" t="s">
        <v>16</v>
      </c>
      <c r="Q815" s="6" t="s">
        <v>4169</v>
      </c>
      <c r="R815" s="46" t="s">
        <v>4170</v>
      </c>
      <c r="S815" s="17" t="s">
        <v>6632</v>
      </c>
      <c r="T815" s="59"/>
      <c r="U815" s="59">
        <v>24</v>
      </c>
      <c r="V815" s="13" t="s">
        <v>4166</v>
      </c>
      <c r="X815" s="132">
        <v>807</v>
      </c>
      <c r="Y815" s="6"/>
    </row>
    <row r="816" spans="1:25" ht="15" customHeight="1" x14ac:dyDescent="0.2">
      <c r="A816" s="12" t="s">
        <v>4179</v>
      </c>
      <c r="B816" s="13" t="s">
        <v>4978</v>
      </c>
      <c r="C816" s="74">
        <v>46238</v>
      </c>
      <c r="D816" s="13" t="s">
        <v>33</v>
      </c>
      <c r="E816" s="6" t="s">
        <v>4234</v>
      </c>
      <c r="F816" s="6" t="s">
        <v>9240</v>
      </c>
      <c r="G816" s="6" t="s">
        <v>4180</v>
      </c>
      <c r="H816" s="147" t="s">
        <v>4180</v>
      </c>
      <c r="I816" s="13" t="s">
        <v>25</v>
      </c>
      <c r="J816" s="13">
        <v>3</v>
      </c>
      <c r="K816" s="13" t="s">
        <v>1714</v>
      </c>
      <c r="L816" s="6" t="s">
        <v>4185</v>
      </c>
      <c r="M816" s="108" t="s">
        <v>4186</v>
      </c>
      <c r="N816" s="13" t="s">
        <v>2357</v>
      </c>
      <c r="O816" s="13" t="s">
        <v>2146</v>
      </c>
      <c r="P816" s="13" t="s">
        <v>68</v>
      </c>
      <c r="Q816" s="6" t="s">
        <v>4184</v>
      </c>
      <c r="R816" s="17" t="s">
        <v>4182</v>
      </c>
      <c r="S816" s="17" t="s">
        <v>4183</v>
      </c>
      <c r="T816" s="18">
        <v>34</v>
      </c>
      <c r="U816" s="18">
        <v>28</v>
      </c>
      <c r="V816" s="13" t="s">
        <v>4181</v>
      </c>
      <c r="X816" s="132">
        <v>808</v>
      </c>
      <c r="Y816" s="6"/>
    </row>
    <row r="817" spans="1:25" ht="15" customHeight="1" x14ac:dyDescent="0.2">
      <c r="A817" s="12" t="s">
        <v>4235</v>
      </c>
      <c r="B817" s="13" t="s">
        <v>4978</v>
      </c>
      <c r="C817" s="74">
        <v>47026</v>
      </c>
      <c r="D817" s="13" t="s">
        <v>33</v>
      </c>
      <c r="E817" s="6" t="s">
        <v>4224</v>
      </c>
      <c r="F817" s="15" t="s">
        <v>9239</v>
      </c>
      <c r="G817" s="6" t="s">
        <v>4223</v>
      </c>
      <c r="H817" s="6" t="s">
        <v>4223</v>
      </c>
      <c r="I817" s="13" t="s">
        <v>25</v>
      </c>
      <c r="J817" s="13">
        <v>3</v>
      </c>
      <c r="K817" s="13" t="s">
        <v>1714</v>
      </c>
      <c r="L817" s="6" t="s">
        <v>4226</v>
      </c>
      <c r="M817" s="108" t="s">
        <v>4227</v>
      </c>
      <c r="N817" s="13" t="s">
        <v>3888</v>
      </c>
      <c r="O817" s="13" t="s">
        <v>53</v>
      </c>
      <c r="P817" s="13" t="s">
        <v>54</v>
      </c>
      <c r="Q817" s="6" t="s">
        <v>4228</v>
      </c>
      <c r="R817" s="17" t="s">
        <v>4229</v>
      </c>
      <c r="S817" s="17" t="s">
        <v>2853</v>
      </c>
      <c r="T817" s="18">
        <v>55</v>
      </c>
      <c r="U817" s="18">
        <v>26</v>
      </c>
      <c r="V817" s="13" t="s">
        <v>4225</v>
      </c>
      <c r="X817" s="132">
        <v>809</v>
      </c>
      <c r="Y817" s="6"/>
    </row>
    <row r="818" spans="1:25" ht="15" customHeight="1" x14ac:dyDescent="0.25">
      <c r="A818" s="12" t="s">
        <v>4214</v>
      </c>
      <c r="B818" s="13" t="s">
        <v>4977</v>
      </c>
      <c r="C818" s="14">
        <v>46628</v>
      </c>
      <c r="D818" s="13" t="s">
        <v>1533</v>
      </c>
      <c r="E818" s="41" t="s">
        <v>11683</v>
      </c>
      <c r="F818" s="15" t="s">
        <v>9238</v>
      </c>
      <c r="G818" s="6" t="s">
        <v>4230</v>
      </c>
      <c r="H818" s="6" t="s">
        <v>4230</v>
      </c>
      <c r="I818" s="13" t="s">
        <v>39</v>
      </c>
      <c r="J818" s="13">
        <v>12</v>
      </c>
      <c r="K818" s="13" t="s">
        <v>6574</v>
      </c>
      <c r="L818" s="6" t="s">
        <v>4231</v>
      </c>
      <c r="M818" s="108" t="s">
        <v>10458</v>
      </c>
      <c r="N818" s="13" t="s">
        <v>4232</v>
      </c>
      <c r="O818" s="13" t="s">
        <v>177</v>
      </c>
      <c r="P818" s="13" t="s">
        <v>9</v>
      </c>
      <c r="Q818" s="6" t="s">
        <v>10459</v>
      </c>
      <c r="R818" s="69" t="s">
        <v>10460</v>
      </c>
      <c r="S818" s="69" t="s">
        <v>10461</v>
      </c>
      <c r="T818" s="18">
        <v>130</v>
      </c>
      <c r="U818" s="18">
        <v>53</v>
      </c>
      <c r="V818" s="13" t="s">
        <v>4233</v>
      </c>
      <c r="X818" s="132">
        <v>810</v>
      </c>
      <c r="Y818" s="6"/>
    </row>
    <row r="819" spans="1:25" ht="15" customHeight="1" x14ac:dyDescent="0.2">
      <c r="A819" s="12" t="s">
        <v>4238</v>
      </c>
      <c r="B819" s="13" t="s">
        <v>4978</v>
      </c>
      <c r="C819" s="74">
        <v>46284</v>
      </c>
      <c r="D819" s="13" t="s">
        <v>1533</v>
      </c>
      <c r="E819" s="6" t="s">
        <v>4240</v>
      </c>
      <c r="F819" s="15" t="s">
        <v>9237</v>
      </c>
      <c r="G819" s="6" t="s">
        <v>4241</v>
      </c>
      <c r="H819" s="147" t="s">
        <v>4241</v>
      </c>
      <c r="I819" s="13" t="s">
        <v>105</v>
      </c>
      <c r="J819" s="13">
        <v>10</v>
      </c>
      <c r="K819" s="13" t="s">
        <v>6603</v>
      </c>
      <c r="L819" s="6" t="s">
        <v>4243</v>
      </c>
      <c r="M819" s="108" t="s">
        <v>4244</v>
      </c>
      <c r="N819" s="13" t="s">
        <v>54</v>
      </c>
      <c r="O819" s="13" t="s">
        <v>53</v>
      </c>
      <c r="P819" s="13" t="s">
        <v>54</v>
      </c>
      <c r="Q819" s="6" t="s">
        <v>4245</v>
      </c>
      <c r="R819" s="17" t="s">
        <v>4246</v>
      </c>
      <c r="S819" s="17" t="s">
        <v>4247</v>
      </c>
      <c r="T819" s="18">
        <v>50</v>
      </c>
      <c r="U819" s="18">
        <v>50</v>
      </c>
      <c r="V819" s="13" t="s">
        <v>4242</v>
      </c>
      <c r="X819" s="132">
        <v>811</v>
      </c>
      <c r="Y819" s="6"/>
    </row>
    <row r="820" spans="1:25" ht="15" customHeight="1" x14ac:dyDescent="0.2">
      <c r="A820" s="20" t="s">
        <v>6068</v>
      </c>
      <c r="B820" s="22" t="s">
        <v>2608</v>
      </c>
      <c r="C820" s="14">
        <v>45975</v>
      </c>
      <c r="D820" s="13" t="s">
        <v>1533</v>
      </c>
      <c r="E820" s="6" t="s">
        <v>4240</v>
      </c>
      <c r="F820" s="15" t="s">
        <v>6069</v>
      </c>
      <c r="G820" s="6" t="s">
        <v>4241</v>
      </c>
      <c r="H820" s="6" t="s">
        <v>4241</v>
      </c>
      <c r="I820" s="13" t="s">
        <v>39</v>
      </c>
      <c r="J820" s="13">
        <v>12</v>
      </c>
      <c r="K820" s="13" t="s">
        <v>6574</v>
      </c>
      <c r="L820" s="6" t="s">
        <v>6070</v>
      </c>
      <c r="M820" s="108" t="s">
        <v>6071</v>
      </c>
      <c r="N820" s="13" t="s">
        <v>15</v>
      </c>
      <c r="O820" s="13" t="s">
        <v>15</v>
      </c>
      <c r="P820" s="13" t="s">
        <v>16</v>
      </c>
      <c r="Q820" s="6" t="s">
        <v>6072</v>
      </c>
      <c r="R820" s="17" t="s">
        <v>4246</v>
      </c>
      <c r="S820" s="17" t="s">
        <v>4247</v>
      </c>
      <c r="T820" s="18">
        <v>120</v>
      </c>
      <c r="U820" s="18">
        <v>120</v>
      </c>
      <c r="V820" s="13" t="s">
        <v>4242</v>
      </c>
      <c r="X820" s="132">
        <v>812</v>
      </c>
      <c r="Y820" s="6"/>
    </row>
    <row r="821" spans="1:25" ht="15" customHeight="1" x14ac:dyDescent="0.25">
      <c r="A821" s="12" t="s">
        <v>11130</v>
      </c>
      <c r="B821" s="13" t="s">
        <v>4978</v>
      </c>
      <c r="C821" s="102">
        <v>47552</v>
      </c>
      <c r="D821" s="79" t="s">
        <v>1533</v>
      </c>
      <c r="E821" s="81" t="s">
        <v>4240</v>
      </c>
      <c r="F821" s="82" t="s">
        <v>11131</v>
      </c>
      <c r="G821" s="81" t="s">
        <v>4241</v>
      </c>
      <c r="H821" s="81" t="s">
        <v>4241</v>
      </c>
      <c r="I821" s="79" t="s">
        <v>7931</v>
      </c>
      <c r="J821" s="79">
        <v>9</v>
      </c>
      <c r="K821" s="79" t="s">
        <v>6603</v>
      </c>
      <c r="L821" s="81" t="s">
        <v>6070</v>
      </c>
      <c r="M821" s="109" t="s">
        <v>6071</v>
      </c>
      <c r="N821" s="79" t="s">
        <v>15</v>
      </c>
      <c r="O821" s="13" t="s">
        <v>15</v>
      </c>
      <c r="P821" s="13" t="s">
        <v>16</v>
      </c>
      <c r="Q821" s="81" t="s">
        <v>11132</v>
      </c>
      <c r="R821" s="69" t="s">
        <v>4246</v>
      </c>
      <c r="S821" s="69" t="s">
        <v>4247</v>
      </c>
      <c r="T821" s="85">
        <v>30</v>
      </c>
      <c r="U821" s="85">
        <v>25</v>
      </c>
      <c r="V821" s="79" t="s">
        <v>4242</v>
      </c>
      <c r="W821" s="81"/>
      <c r="X821" s="132">
        <v>813</v>
      </c>
      <c r="Y821" s="6"/>
    </row>
    <row r="822" spans="1:25" ht="15" customHeight="1" x14ac:dyDescent="0.2">
      <c r="A822" s="12" t="s">
        <v>4239</v>
      </c>
      <c r="B822" s="13" t="s">
        <v>4978</v>
      </c>
      <c r="C822" s="74">
        <v>46284</v>
      </c>
      <c r="D822" s="13" t="s">
        <v>33</v>
      </c>
      <c r="E822" s="6" t="s">
        <v>4249</v>
      </c>
      <c r="F822" s="15" t="s">
        <v>9236</v>
      </c>
      <c r="G822" s="6" t="s">
        <v>4248</v>
      </c>
      <c r="H822" s="147" t="s">
        <v>4248</v>
      </c>
      <c r="I822" s="13" t="s">
        <v>25</v>
      </c>
      <c r="J822" s="13">
        <v>3</v>
      </c>
      <c r="K822" s="13" t="s">
        <v>1714</v>
      </c>
      <c r="L822" s="6" t="s">
        <v>4250</v>
      </c>
      <c r="M822" s="108" t="s">
        <v>4251</v>
      </c>
      <c r="N822" s="13" t="s">
        <v>2217</v>
      </c>
      <c r="O822" s="13" t="s">
        <v>2085</v>
      </c>
      <c r="P822" s="13" t="s">
        <v>68</v>
      </c>
      <c r="Q822" s="6" t="s">
        <v>4252</v>
      </c>
      <c r="R822" s="17" t="s">
        <v>4253</v>
      </c>
      <c r="S822" s="17" t="s">
        <v>6639</v>
      </c>
      <c r="T822" s="18">
        <v>30</v>
      </c>
      <c r="U822" s="18">
        <v>28</v>
      </c>
      <c r="V822" s="13" t="s">
        <v>4254</v>
      </c>
      <c r="X822" s="132">
        <v>814</v>
      </c>
      <c r="Y822" s="6"/>
    </row>
    <row r="823" spans="1:25" ht="15" customHeight="1" x14ac:dyDescent="0.2">
      <c r="A823" s="12" t="s">
        <v>4256</v>
      </c>
      <c r="B823" s="13" t="s">
        <v>4978</v>
      </c>
      <c r="C823" s="74">
        <v>46284</v>
      </c>
      <c r="D823" s="13" t="s">
        <v>33</v>
      </c>
      <c r="E823" s="6" t="s">
        <v>4257</v>
      </c>
      <c r="F823" s="54" t="s">
        <v>9235</v>
      </c>
      <c r="G823" s="6" t="s">
        <v>4255</v>
      </c>
      <c r="H823" s="147" t="s">
        <v>4255</v>
      </c>
      <c r="I823" s="13" t="s">
        <v>25</v>
      </c>
      <c r="J823" s="13">
        <v>3</v>
      </c>
      <c r="K823" s="13" t="s">
        <v>1714</v>
      </c>
      <c r="L823" s="6" t="s">
        <v>4260</v>
      </c>
      <c r="M823" s="108" t="s">
        <v>4258</v>
      </c>
      <c r="N823" s="13" t="s">
        <v>293</v>
      </c>
      <c r="O823" s="13" t="s">
        <v>293</v>
      </c>
      <c r="P823" s="13" t="s">
        <v>16</v>
      </c>
      <c r="Q823" s="6" t="s">
        <v>4261</v>
      </c>
      <c r="R823" s="17" t="s">
        <v>4262</v>
      </c>
      <c r="S823" s="17" t="s">
        <v>6634</v>
      </c>
      <c r="T823" s="18">
        <v>25</v>
      </c>
      <c r="U823" s="18">
        <v>12</v>
      </c>
      <c r="V823" s="13" t="s">
        <v>4259</v>
      </c>
      <c r="X823" s="132">
        <v>815</v>
      </c>
      <c r="Y823" s="6"/>
    </row>
    <row r="824" spans="1:25" ht="15" customHeight="1" x14ac:dyDescent="0.2">
      <c r="A824" s="20" t="s">
        <v>4273</v>
      </c>
      <c r="B824" s="22" t="s">
        <v>2608</v>
      </c>
      <c r="C824" s="14">
        <v>45554</v>
      </c>
      <c r="D824" s="13" t="s">
        <v>1533</v>
      </c>
      <c r="E824" s="6" t="s">
        <v>4275</v>
      </c>
      <c r="F824" s="15" t="s">
        <v>9234</v>
      </c>
      <c r="G824" s="6" t="s">
        <v>4274</v>
      </c>
      <c r="H824" s="147" t="s">
        <v>4274</v>
      </c>
      <c r="I824" s="13" t="s">
        <v>39</v>
      </c>
      <c r="J824" s="13">
        <v>12</v>
      </c>
      <c r="K824" s="13" t="s">
        <v>1714</v>
      </c>
      <c r="L824" s="6" t="s">
        <v>4280</v>
      </c>
      <c r="M824" s="108" t="s">
        <v>4281</v>
      </c>
      <c r="N824" s="13" t="s">
        <v>36</v>
      </c>
      <c r="O824" s="13" t="s">
        <v>36</v>
      </c>
      <c r="P824" s="13" t="s">
        <v>4</v>
      </c>
      <c r="Q824" s="6" t="s">
        <v>4279</v>
      </c>
      <c r="R824" s="17" t="s">
        <v>4278</v>
      </c>
      <c r="S824" s="30" t="s">
        <v>4277</v>
      </c>
      <c r="T824" s="18">
        <v>120</v>
      </c>
      <c r="U824" s="18">
        <v>60</v>
      </c>
      <c r="V824" s="13" t="s">
        <v>4276</v>
      </c>
      <c r="X824" s="132">
        <v>816</v>
      </c>
      <c r="Y824" s="6"/>
    </row>
    <row r="825" spans="1:25" ht="15" customHeight="1" x14ac:dyDescent="0.2">
      <c r="A825" s="12" t="s">
        <v>4291</v>
      </c>
      <c r="B825" s="13" t="s">
        <v>4978</v>
      </c>
      <c r="C825" s="74">
        <v>46284</v>
      </c>
      <c r="D825" s="13" t="s">
        <v>33</v>
      </c>
      <c r="E825" s="6" t="s">
        <v>4293</v>
      </c>
      <c r="F825" s="15" t="s">
        <v>9232</v>
      </c>
      <c r="G825" s="6" t="s">
        <v>4292</v>
      </c>
      <c r="H825" s="147" t="s">
        <v>4292</v>
      </c>
      <c r="I825" s="13" t="s">
        <v>25</v>
      </c>
      <c r="J825" s="13">
        <v>3</v>
      </c>
      <c r="K825" s="13" t="s">
        <v>1714</v>
      </c>
      <c r="L825" s="6" t="s">
        <v>4298</v>
      </c>
      <c r="M825" s="108" t="s">
        <v>4294</v>
      </c>
      <c r="N825" s="13" t="s">
        <v>4299</v>
      </c>
      <c r="O825" s="13" t="s">
        <v>743</v>
      </c>
      <c r="P825" s="13" t="s">
        <v>16</v>
      </c>
      <c r="Q825" s="6" t="s">
        <v>4297</v>
      </c>
      <c r="R825" s="17" t="s">
        <v>4296</v>
      </c>
      <c r="S825" s="17" t="s">
        <v>6634</v>
      </c>
      <c r="T825" s="18"/>
      <c r="U825" s="18">
        <v>19</v>
      </c>
      <c r="V825" s="13" t="s">
        <v>4295</v>
      </c>
      <c r="X825" s="132">
        <v>817</v>
      </c>
      <c r="Y825" s="6"/>
    </row>
    <row r="826" spans="1:25" ht="15" customHeight="1" x14ac:dyDescent="0.2">
      <c r="A826" s="12" t="s">
        <v>4300</v>
      </c>
      <c r="B826" s="13" t="s">
        <v>4978</v>
      </c>
      <c r="C826" s="74">
        <v>46284</v>
      </c>
      <c r="D826" s="13" t="s">
        <v>33</v>
      </c>
      <c r="E826" s="6" t="s">
        <v>4293</v>
      </c>
      <c r="F826" s="15" t="s">
        <v>9233</v>
      </c>
      <c r="G826" s="6" t="s">
        <v>4301</v>
      </c>
      <c r="H826" s="147" t="s">
        <v>4301</v>
      </c>
      <c r="I826" s="13" t="s">
        <v>25</v>
      </c>
      <c r="J826" s="13">
        <v>3</v>
      </c>
      <c r="K826" s="13" t="s">
        <v>1714</v>
      </c>
      <c r="L826" s="6" t="s">
        <v>4302</v>
      </c>
      <c r="M826" s="108" t="s">
        <v>4303</v>
      </c>
      <c r="N826" s="13" t="s">
        <v>4304</v>
      </c>
      <c r="O826" s="13" t="s">
        <v>743</v>
      </c>
      <c r="P826" s="13" t="s">
        <v>16</v>
      </c>
      <c r="Q826" s="6" t="s">
        <v>4305</v>
      </c>
      <c r="R826" s="17" t="s">
        <v>4296</v>
      </c>
      <c r="S826" s="17" t="s">
        <v>6634</v>
      </c>
      <c r="T826" s="18"/>
      <c r="U826" s="18">
        <v>19</v>
      </c>
      <c r="V826" s="13" t="s">
        <v>4295</v>
      </c>
      <c r="X826" s="132">
        <v>818</v>
      </c>
      <c r="Y826" s="6"/>
    </row>
    <row r="827" spans="1:25" ht="15" customHeight="1" x14ac:dyDescent="0.2">
      <c r="A827" s="12" t="s">
        <v>4310</v>
      </c>
      <c r="B827" s="13" t="s">
        <v>4978</v>
      </c>
      <c r="C827" s="74">
        <v>46284</v>
      </c>
      <c r="D827" s="13" t="s">
        <v>33</v>
      </c>
      <c r="E827" s="6" t="s">
        <v>4312</v>
      </c>
      <c r="F827" s="6" t="s">
        <v>9230</v>
      </c>
      <c r="G827" s="6" t="s">
        <v>4311</v>
      </c>
      <c r="H827" s="147" t="s">
        <v>4311</v>
      </c>
      <c r="I827" s="13" t="s">
        <v>25</v>
      </c>
      <c r="J827" s="13">
        <v>3</v>
      </c>
      <c r="K827" s="13" t="s">
        <v>1714</v>
      </c>
      <c r="L827" s="6" t="s">
        <v>4314</v>
      </c>
      <c r="M827" s="108" t="s">
        <v>4315</v>
      </c>
      <c r="N827" s="13" t="s">
        <v>4316</v>
      </c>
      <c r="O827" s="13" t="s">
        <v>293</v>
      </c>
      <c r="P827" s="13" t="s">
        <v>16</v>
      </c>
      <c r="Q827" s="6" t="s">
        <v>4317</v>
      </c>
      <c r="R827" s="17" t="s">
        <v>4318</v>
      </c>
      <c r="S827" s="17" t="s">
        <v>6634</v>
      </c>
      <c r="T827" s="18">
        <v>26</v>
      </c>
      <c r="U827" s="18">
        <v>19</v>
      </c>
      <c r="V827" s="13" t="s">
        <v>4313</v>
      </c>
      <c r="X827" s="132">
        <v>819</v>
      </c>
      <c r="Y827" s="6"/>
    </row>
    <row r="828" spans="1:25" ht="15" customHeight="1" x14ac:dyDescent="0.2">
      <c r="A828" s="12" t="s">
        <v>4331</v>
      </c>
      <c r="B828" s="13" t="s">
        <v>4978</v>
      </c>
      <c r="C828" s="74">
        <v>46284</v>
      </c>
      <c r="D828" s="13" t="s">
        <v>33</v>
      </c>
      <c r="E828" s="6" t="s">
        <v>4333</v>
      </c>
      <c r="F828" s="15" t="s">
        <v>9231</v>
      </c>
      <c r="G828" s="6" t="s">
        <v>4332</v>
      </c>
      <c r="H828" s="147" t="s">
        <v>4332</v>
      </c>
      <c r="I828" s="13" t="s">
        <v>25</v>
      </c>
      <c r="J828" s="13">
        <v>3</v>
      </c>
      <c r="K828" s="13" t="s">
        <v>1714</v>
      </c>
      <c r="L828" s="6" t="s">
        <v>4335</v>
      </c>
      <c r="M828" s="108" t="s">
        <v>4336</v>
      </c>
      <c r="N828" s="13" t="s">
        <v>4337</v>
      </c>
      <c r="O828" s="13" t="s">
        <v>1889</v>
      </c>
      <c r="P828" s="13" t="s">
        <v>68</v>
      </c>
      <c r="Q828" s="6" t="s">
        <v>4338</v>
      </c>
      <c r="R828" s="121" t="s">
        <v>4339</v>
      </c>
      <c r="S828" s="17" t="s">
        <v>6634</v>
      </c>
      <c r="T828" s="18">
        <v>20</v>
      </c>
      <c r="U828" s="18">
        <v>16</v>
      </c>
      <c r="V828" s="13" t="s">
        <v>4334</v>
      </c>
      <c r="X828" s="132">
        <v>820</v>
      </c>
      <c r="Y828" s="6"/>
    </row>
    <row r="829" spans="1:25" ht="15" customHeight="1" x14ac:dyDescent="0.2">
      <c r="A829" s="12" t="s">
        <v>4341</v>
      </c>
      <c r="B829" s="13" t="s">
        <v>4978</v>
      </c>
      <c r="C829" s="74">
        <v>46284</v>
      </c>
      <c r="D829" s="13" t="s">
        <v>33</v>
      </c>
      <c r="E829" s="6" t="s">
        <v>4342</v>
      </c>
      <c r="F829" s="6" t="s">
        <v>9228</v>
      </c>
      <c r="G829" s="6" t="s">
        <v>4340</v>
      </c>
      <c r="H829" s="147" t="s">
        <v>4340</v>
      </c>
      <c r="I829" s="13" t="s">
        <v>25</v>
      </c>
      <c r="J829" s="13">
        <v>3</v>
      </c>
      <c r="K829" s="13" t="s">
        <v>1714</v>
      </c>
      <c r="L829" s="6" t="s">
        <v>4343</v>
      </c>
      <c r="M829" s="108" t="s">
        <v>4344</v>
      </c>
      <c r="N829" s="13" t="s">
        <v>4345</v>
      </c>
      <c r="O829" s="13" t="s">
        <v>97</v>
      </c>
      <c r="P829" s="13" t="s">
        <v>4</v>
      </c>
      <c r="Q829" s="6" t="s">
        <v>4346</v>
      </c>
      <c r="R829" s="56" t="s">
        <v>4347</v>
      </c>
      <c r="S829" s="17" t="s">
        <v>4348</v>
      </c>
      <c r="T829" s="18">
        <v>14</v>
      </c>
      <c r="U829" s="18">
        <v>1</v>
      </c>
      <c r="V829" s="13" t="s">
        <v>4349</v>
      </c>
      <c r="X829" s="132">
        <v>821</v>
      </c>
      <c r="Y829" s="6"/>
    </row>
    <row r="830" spans="1:25" ht="15" customHeight="1" x14ac:dyDescent="0.2">
      <c r="A830" s="12" t="s">
        <v>4356</v>
      </c>
      <c r="B830" s="13" t="s">
        <v>4978</v>
      </c>
      <c r="C830" s="74">
        <v>46284</v>
      </c>
      <c r="D830" s="13" t="s">
        <v>33</v>
      </c>
      <c r="E830" s="6" t="s">
        <v>4358</v>
      </c>
      <c r="F830" s="6" t="s">
        <v>9229</v>
      </c>
      <c r="G830" s="6" t="s">
        <v>4357</v>
      </c>
      <c r="H830" s="147" t="s">
        <v>4357</v>
      </c>
      <c r="I830" s="13" t="s">
        <v>25</v>
      </c>
      <c r="J830" s="13">
        <v>3</v>
      </c>
      <c r="K830" s="13" t="s">
        <v>1714</v>
      </c>
      <c r="L830" s="6" t="s">
        <v>4359</v>
      </c>
      <c r="M830" s="108" t="s">
        <v>4360</v>
      </c>
      <c r="N830" s="13" t="s">
        <v>2340</v>
      </c>
      <c r="O830" s="13" t="s">
        <v>1055</v>
      </c>
      <c r="P830" s="13" t="s">
        <v>16</v>
      </c>
      <c r="Q830" s="6" t="s">
        <v>4361</v>
      </c>
      <c r="R830" s="17" t="s">
        <v>4362</v>
      </c>
      <c r="S830" s="17" t="s">
        <v>6639</v>
      </c>
      <c r="T830" s="18">
        <v>20</v>
      </c>
      <c r="U830" s="18">
        <v>13</v>
      </c>
      <c r="V830" s="13" t="s">
        <v>4363</v>
      </c>
      <c r="X830" s="132">
        <v>822</v>
      </c>
      <c r="Y830" s="6"/>
    </row>
    <row r="831" spans="1:25" ht="15" customHeight="1" x14ac:dyDescent="0.2">
      <c r="A831" s="12" t="s">
        <v>9226</v>
      </c>
      <c r="B831" s="13" t="s">
        <v>4977</v>
      </c>
      <c r="C831" s="14">
        <v>46295</v>
      </c>
      <c r="D831" s="13" t="s">
        <v>1533</v>
      </c>
      <c r="E831" s="6" t="s">
        <v>4364</v>
      </c>
      <c r="F831" s="15" t="s">
        <v>9227</v>
      </c>
      <c r="G831" s="6" t="s">
        <v>4365</v>
      </c>
      <c r="H831" s="6" t="s">
        <v>8047</v>
      </c>
      <c r="I831" s="13" t="s">
        <v>39</v>
      </c>
      <c r="J831" s="13">
        <v>12</v>
      </c>
      <c r="K831" s="13" t="s">
        <v>1714</v>
      </c>
      <c r="L831" s="39" t="s">
        <v>7652</v>
      </c>
      <c r="M831" s="108" t="s">
        <v>7653</v>
      </c>
      <c r="N831" s="13" t="s">
        <v>7654</v>
      </c>
      <c r="O831" s="13" t="s">
        <v>53</v>
      </c>
      <c r="P831" s="13" t="s">
        <v>54</v>
      </c>
      <c r="Q831" s="6" t="s">
        <v>8048</v>
      </c>
      <c r="R831" s="25" t="s">
        <v>6305</v>
      </c>
      <c r="S831" s="30" t="s">
        <v>5801</v>
      </c>
      <c r="T831" s="18">
        <v>218</v>
      </c>
      <c r="U831" s="18">
        <v>218</v>
      </c>
      <c r="V831" s="13" t="s">
        <v>8049</v>
      </c>
      <c r="W831" s="6" t="s">
        <v>3045</v>
      </c>
      <c r="X831" s="132">
        <v>823</v>
      </c>
      <c r="Y831" s="6"/>
    </row>
    <row r="832" spans="1:25" ht="15" customHeight="1" x14ac:dyDescent="0.2">
      <c r="A832" s="20" t="s">
        <v>6275</v>
      </c>
      <c r="B832" s="22" t="s">
        <v>2608</v>
      </c>
      <c r="C832" s="14">
        <v>45975</v>
      </c>
      <c r="D832" s="13" t="s">
        <v>1533</v>
      </c>
      <c r="E832" s="6" t="s">
        <v>4364</v>
      </c>
      <c r="F832" s="15" t="s">
        <v>6303</v>
      </c>
      <c r="G832" s="6" t="s">
        <v>4365</v>
      </c>
      <c r="H832" s="6" t="s">
        <v>4365</v>
      </c>
      <c r="I832" s="13" t="s">
        <v>39</v>
      </c>
      <c r="J832" s="13">
        <v>12</v>
      </c>
      <c r="K832" s="13" t="s">
        <v>6574</v>
      </c>
      <c r="L832" s="39" t="s">
        <v>7652</v>
      </c>
      <c r="M832" s="108" t="s">
        <v>7653</v>
      </c>
      <c r="N832" s="13" t="s">
        <v>7651</v>
      </c>
      <c r="O832" s="13" t="s">
        <v>53</v>
      </c>
      <c r="P832" s="13" t="s">
        <v>54</v>
      </c>
      <c r="Q832" s="6" t="s">
        <v>6304</v>
      </c>
      <c r="R832" s="30" t="s">
        <v>6305</v>
      </c>
      <c r="S832" s="30" t="s">
        <v>5801</v>
      </c>
      <c r="T832" s="18"/>
      <c r="U832" s="18"/>
      <c r="V832" s="13"/>
      <c r="X832" s="132">
        <v>824</v>
      </c>
      <c r="Y832" s="6"/>
    </row>
    <row r="833" spans="1:25" ht="15" customHeight="1" x14ac:dyDescent="0.2">
      <c r="A833" s="12" t="s">
        <v>4430</v>
      </c>
      <c r="B833" s="13" t="s">
        <v>4978</v>
      </c>
      <c r="C833" s="74">
        <v>46320</v>
      </c>
      <c r="D833" s="13" t="s">
        <v>33</v>
      </c>
      <c r="E833" s="6" t="s">
        <v>4432</v>
      </c>
      <c r="F833" s="15" t="s">
        <v>9225</v>
      </c>
      <c r="G833" s="6" t="s">
        <v>4431</v>
      </c>
      <c r="H833" s="147" t="s">
        <v>4431</v>
      </c>
      <c r="I833" s="13" t="s">
        <v>25</v>
      </c>
      <c r="J833" s="13">
        <v>3</v>
      </c>
      <c r="K833" s="13" t="s">
        <v>1714</v>
      </c>
      <c r="L833" s="6" t="s">
        <v>4434</v>
      </c>
      <c r="M833" s="108" t="s">
        <v>4435</v>
      </c>
      <c r="N833" s="13" t="s">
        <v>4436</v>
      </c>
      <c r="O833" s="13" t="s">
        <v>177</v>
      </c>
      <c r="P833" s="13" t="s">
        <v>9</v>
      </c>
      <c r="Q833" s="6" t="s">
        <v>4437</v>
      </c>
      <c r="R833" s="17" t="s">
        <v>4438</v>
      </c>
      <c r="S833" s="17" t="s">
        <v>6634</v>
      </c>
      <c r="T833" s="18">
        <v>50</v>
      </c>
      <c r="U833" s="18">
        <v>45</v>
      </c>
      <c r="V833" s="13" t="s">
        <v>4433</v>
      </c>
      <c r="X833" s="132">
        <v>825</v>
      </c>
      <c r="Y833" s="6"/>
    </row>
    <row r="834" spans="1:25" ht="15" customHeight="1" x14ac:dyDescent="0.25">
      <c r="A834" s="12" t="s">
        <v>4440</v>
      </c>
      <c r="B834" s="13" t="s">
        <v>4978</v>
      </c>
      <c r="C834" s="74">
        <v>47162</v>
      </c>
      <c r="D834" s="13" t="s">
        <v>33</v>
      </c>
      <c r="E834" s="6" t="s">
        <v>4441</v>
      </c>
      <c r="F834" s="15" t="s">
        <v>9349</v>
      </c>
      <c r="G834" s="6" t="s">
        <v>4439</v>
      </c>
      <c r="H834" s="6" t="s">
        <v>4439</v>
      </c>
      <c r="I834" s="13" t="s">
        <v>25</v>
      </c>
      <c r="J834" s="13">
        <v>3</v>
      </c>
      <c r="K834" s="13" t="s">
        <v>1714</v>
      </c>
      <c r="L834" s="6" t="s">
        <v>9352</v>
      </c>
      <c r="M834" s="108" t="s">
        <v>9339</v>
      </c>
      <c r="N834" s="13" t="s">
        <v>9340</v>
      </c>
      <c r="O834" s="13" t="s">
        <v>1847</v>
      </c>
      <c r="P834" s="13" t="s">
        <v>68</v>
      </c>
      <c r="Q834" s="6" t="s">
        <v>9351</v>
      </c>
      <c r="R834" s="69" t="s">
        <v>9341</v>
      </c>
      <c r="S834" s="17"/>
      <c r="T834" s="18">
        <v>15</v>
      </c>
      <c r="U834" s="18">
        <v>15</v>
      </c>
      <c r="V834" s="13" t="s">
        <v>4442</v>
      </c>
      <c r="X834" s="132">
        <v>826</v>
      </c>
      <c r="Y834" s="6"/>
    </row>
    <row r="835" spans="1:25" ht="15" customHeight="1" x14ac:dyDescent="0.2">
      <c r="A835" s="12" t="s">
        <v>4443</v>
      </c>
      <c r="B835" s="13" t="s">
        <v>4978</v>
      </c>
      <c r="C835" s="74">
        <v>46320</v>
      </c>
      <c r="D835" s="13" t="s">
        <v>33</v>
      </c>
      <c r="E835" s="6" t="s">
        <v>4445</v>
      </c>
      <c r="F835" s="15" t="s">
        <v>9224</v>
      </c>
      <c r="G835" s="6" t="s">
        <v>4444</v>
      </c>
      <c r="H835" s="147" t="s">
        <v>4444</v>
      </c>
      <c r="I835" s="13" t="s">
        <v>25</v>
      </c>
      <c r="J835" s="13">
        <v>3</v>
      </c>
      <c r="K835" s="13" t="s">
        <v>1714</v>
      </c>
      <c r="L835" s="6" t="s">
        <v>4446</v>
      </c>
      <c r="M835" s="108" t="s">
        <v>4447</v>
      </c>
      <c r="N835" s="13" t="s">
        <v>4114</v>
      </c>
      <c r="O835" s="13" t="s">
        <v>1847</v>
      </c>
      <c r="P835" s="13" t="s">
        <v>68</v>
      </c>
      <c r="Q835" s="6" t="s">
        <v>4448</v>
      </c>
      <c r="R835" s="17" t="s">
        <v>1442</v>
      </c>
      <c r="S835" s="17" t="s">
        <v>6634</v>
      </c>
      <c r="T835" s="18">
        <v>15</v>
      </c>
      <c r="U835" s="18">
        <v>11</v>
      </c>
      <c r="V835" s="13" t="s">
        <v>4449</v>
      </c>
      <c r="X835" s="132">
        <v>827</v>
      </c>
      <c r="Y835" s="6"/>
    </row>
    <row r="836" spans="1:25" ht="15" customHeight="1" x14ac:dyDescent="0.2">
      <c r="A836" s="12" t="s">
        <v>4450</v>
      </c>
      <c r="B836" s="13" t="s">
        <v>4978</v>
      </c>
      <c r="C836" s="74">
        <v>46320</v>
      </c>
      <c r="D836" s="13" t="s">
        <v>33</v>
      </c>
      <c r="E836" s="6" t="s">
        <v>4452</v>
      </c>
      <c r="F836" s="15" t="s">
        <v>9223</v>
      </c>
      <c r="G836" s="6" t="s">
        <v>4451</v>
      </c>
      <c r="H836" s="147" t="s">
        <v>4451</v>
      </c>
      <c r="I836" s="13" t="s">
        <v>25</v>
      </c>
      <c r="J836" s="13">
        <v>3</v>
      </c>
      <c r="K836" s="13" t="s">
        <v>1714</v>
      </c>
      <c r="L836" s="6" t="s">
        <v>4455</v>
      </c>
      <c r="M836" s="108" t="s">
        <v>4454</v>
      </c>
      <c r="N836" s="13" t="s">
        <v>2436</v>
      </c>
      <c r="O836" s="13" t="s">
        <v>2146</v>
      </c>
      <c r="P836" s="13" t="s">
        <v>68</v>
      </c>
      <c r="Q836" s="6" t="s">
        <v>4456</v>
      </c>
      <c r="R836" s="17" t="s">
        <v>1959</v>
      </c>
      <c r="S836" s="17" t="s">
        <v>4457</v>
      </c>
      <c r="T836" s="18">
        <v>15</v>
      </c>
      <c r="U836" s="18">
        <v>13</v>
      </c>
      <c r="V836" s="13" t="s">
        <v>4453</v>
      </c>
      <c r="X836" s="132">
        <v>828</v>
      </c>
      <c r="Y836" s="6"/>
    </row>
    <row r="837" spans="1:25" ht="15" customHeight="1" x14ac:dyDescent="0.25">
      <c r="A837" s="12" t="s">
        <v>4464</v>
      </c>
      <c r="B837" s="13" t="s">
        <v>4977</v>
      </c>
      <c r="C837" s="14">
        <v>46295</v>
      </c>
      <c r="D837" s="13" t="s">
        <v>33</v>
      </c>
      <c r="E837" s="6" t="s">
        <v>4466</v>
      </c>
      <c r="F837" s="15" t="s">
        <v>9222</v>
      </c>
      <c r="G837" s="6" t="s">
        <v>4465</v>
      </c>
      <c r="H837" s="6" t="s">
        <v>4465</v>
      </c>
      <c r="I837" s="13" t="s">
        <v>7931</v>
      </c>
      <c r="J837" s="13">
        <v>4</v>
      </c>
      <c r="K837" s="13" t="s">
        <v>1714</v>
      </c>
      <c r="L837" s="6" t="s">
        <v>4467</v>
      </c>
      <c r="M837" s="108" t="s">
        <v>4468</v>
      </c>
      <c r="N837" s="13" t="s">
        <v>2647</v>
      </c>
      <c r="O837" s="13" t="s">
        <v>2146</v>
      </c>
      <c r="P837" s="13" t="s">
        <v>68</v>
      </c>
      <c r="Q837" s="6" t="s">
        <v>4469</v>
      </c>
      <c r="R837" s="69" t="s">
        <v>8190</v>
      </c>
      <c r="S837" s="17" t="s">
        <v>6634</v>
      </c>
      <c r="T837" s="18">
        <v>33</v>
      </c>
      <c r="U837" s="18">
        <v>26</v>
      </c>
      <c r="V837" s="13" t="s">
        <v>4470</v>
      </c>
      <c r="X837" s="132">
        <v>829</v>
      </c>
      <c r="Y837" s="6"/>
    </row>
    <row r="838" spans="1:25" ht="15" customHeight="1" x14ac:dyDescent="0.2">
      <c r="A838" s="20" t="s">
        <v>4476</v>
      </c>
      <c r="B838" s="22" t="s">
        <v>2608</v>
      </c>
      <c r="C838" s="14">
        <v>45590</v>
      </c>
      <c r="D838" s="13" t="s">
        <v>1533</v>
      </c>
      <c r="E838" s="6" t="s">
        <v>4478</v>
      </c>
      <c r="F838" s="15" t="s">
        <v>9221</v>
      </c>
      <c r="G838" s="6" t="s">
        <v>4477</v>
      </c>
      <c r="H838" s="147" t="s">
        <v>4477</v>
      </c>
      <c r="I838" s="13" t="s">
        <v>39</v>
      </c>
      <c r="J838" s="13">
        <v>12</v>
      </c>
      <c r="K838" s="13" t="s">
        <v>1714</v>
      </c>
      <c r="L838" s="6" t="s">
        <v>7649</v>
      </c>
      <c r="M838" s="108" t="s">
        <v>7650</v>
      </c>
      <c r="N838" s="13" t="s">
        <v>7651</v>
      </c>
      <c r="O838" s="13" t="s">
        <v>53</v>
      </c>
      <c r="P838" s="13" t="s">
        <v>54</v>
      </c>
      <c r="Q838" s="6" t="s">
        <v>4479</v>
      </c>
      <c r="R838" s="17" t="s">
        <v>4480</v>
      </c>
      <c r="S838" s="17" t="s">
        <v>4481</v>
      </c>
      <c r="T838" s="60"/>
      <c r="U838" s="18" t="s">
        <v>7648</v>
      </c>
      <c r="V838" s="13" t="s">
        <v>4482</v>
      </c>
      <c r="X838" s="132">
        <v>830</v>
      </c>
      <c r="Y838" s="6"/>
    </row>
    <row r="839" spans="1:25" ht="15" customHeight="1" x14ac:dyDescent="0.2">
      <c r="A839" s="12" t="s">
        <v>4700</v>
      </c>
      <c r="B839" s="13" t="s">
        <v>4978</v>
      </c>
      <c r="C839" s="74">
        <v>46320</v>
      </c>
      <c r="D839" s="13" t="s">
        <v>33</v>
      </c>
      <c r="E839" s="6" t="s">
        <v>4487</v>
      </c>
      <c r="F839" s="15" t="s">
        <v>9220</v>
      </c>
      <c r="G839" s="6" t="s">
        <v>4483</v>
      </c>
      <c r="H839" s="147" t="s">
        <v>4483</v>
      </c>
      <c r="I839" s="13" t="s">
        <v>25</v>
      </c>
      <c r="J839" s="13">
        <v>3</v>
      </c>
      <c r="K839" s="13" t="s">
        <v>1714</v>
      </c>
      <c r="L839" s="6" t="s">
        <v>4484</v>
      </c>
      <c r="M839" s="108" t="s">
        <v>4485</v>
      </c>
      <c r="N839" s="13" t="s">
        <v>4486</v>
      </c>
      <c r="O839" s="13" t="s">
        <v>1847</v>
      </c>
      <c r="P839" s="13" t="s">
        <v>68</v>
      </c>
      <c r="Q839" s="6" t="s">
        <v>4488</v>
      </c>
      <c r="R839" s="17" t="s">
        <v>4489</v>
      </c>
      <c r="S839" s="17" t="s">
        <v>6634</v>
      </c>
      <c r="T839" s="18">
        <v>22</v>
      </c>
      <c r="U839" s="18">
        <v>22</v>
      </c>
      <c r="V839" s="13" t="s">
        <v>4490</v>
      </c>
      <c r="X839" s="132">
        <v>831</v>
      </c>
      <c r="Y839" s="6"/>
    </row>
    <row r="840" spans="1:25" ht="15" customHeight="1" x14ac:dyDescent="0.2">
      <c r="A840" s="12" t="s">
        <v>4701</v>
      </c>
      <c r="B840" s="13" t="s">
        <v>4978</v>
      </c>
      <c r="C840" s="74">
        <v>46372</v>
      </c>
      <c r="D840" s="13" t="s">
        <v>33</v>
      </c>
      <c r="E840" s="6" t="s">
        <v>4487</v>
      </c>
      <c r="F840" s="15" t="s">
        <v>9220</v>
      </c>
      <c r="G840" s="6" t="s">
        <v>4703</v>
      </c>
      <c r="H840" s="147" t="s">
        <v>4703</v>
      </c>
      <c r="I840" s="13" t="s">
        <v>25</v>
      </c>
      <c r="J840" s="13">
        <v>3</v>
      </c>
      <c r="K840" s="13" t="s">
        <v>1714</v>
      </c>
      <c r="L840" s="6" t="s">
        <v>4704</v>
      </c>
      <c r="M840" s="108" t="s">
        <v>3243</v>
      </c>
      <c r="N840" s="13" t="s">
        <v>3244</v>
      </c>
      <c r="O840" s="13" t="s">
        <v>1847</v>
      </c>
      <c r="P840" s="13" t="s">
        <v>68</v>
      </c>
      <c r="Q840" s="6" t="s">
        <v>4702</v>
      </c>
      <c r="R840" s="17" t="s">
        <v>4489</v>
      </c>
      <c r="S840" s="17" t="s">
        <v>6634</v>
      </c>
      <c r="T840" s="18">
        <v>34</v>
      </c>
      <c r="U840" s="18">
        <v>32</v>
      </c>
      <c r="V840" s="13" t="s">
        <v>4490</v>
      </c>
      <c r="X840" s="132">
        <v>832</v>
      </c>
      <c r="Y840" s="6"/>
    </row>
    <row r="841" spans="1:25" ht="15" customHeight="1" x14ac:dyDescent="0.2">
      <c r="A841" s="12" t="s">
        <v>4491</v>
      </c>
      <c r="B841" s="13" t="s">
        <v>4978</v>
      </c>
      <c r="C841" s="74">
        <v>46320</v>
      </c>
      <c r="D841" s="13" t="s">
        <v>33</v>
      </c>
      <c r="E841" s="6" t="s">
        <v>4493</v>
      </c>
      <c r="F841" s="15" t="s">
        <v>9219</v>
      </c>
      <c r="G841" s="6" t="s">
        <v>4492</v>
      </c>
      <c r="H841" s="147" t="s">
        <v>4492</v>
      </c>
      <c r="I841" s="13" t="s">
        <v>25</v>
      </c>
      <c r="J841" s="13">
        <v>3</v>
      </c>
      <c r="K841" s="13" t="s">
        <v>1714</v>
      </c>
      <c r="L841" s="6" t="s">
        <v>4494</v>
      </c>
      <c r="M841" s="108" t="s">
        <v>4495</v>
      </c>
      <c r="N841" s="13" t="s">
        <v>4496</v>
      </c>
      <c r="O841" s="13" t="s">
        <v>61</v>
      </c>
      <c r="P841" s="13" t="s">
        <v>9</v>
      </c>
      <c r="Q841" s="6" t="s">
        <v>4497</v>
      </c>
      <c r="R841" s="17" t="s">
        <v>3694</v>
      </c>
      <c r="S841" s="17" t="s">
        <v>6639</v>
      </c>
      <c r="T841" s="18">
        <v>23</v>
      </c>
      <c r="U841" s="18">
        <v>19</v>
      </c>
      <c r="V841" s="61" t="s">
        <v>4498</v>
      </c>
      <c r="X841" s="132">
        <v>833</v>
      </c>
      <c r="Y841" s="6"/>
    </row>
    <row r="842" spans="1:25" ht="15" customHeight="1" x14ac:dyDescent="0.2">
      <c r="A842" s="12" t="s">
        <v>4499</v>
      </c>
      <c r="B842" s="13" t="s">
        <v>4978</v>
      </c>
      <c r="C842" s="74">
        <v>46320</v>
      </c>
      <c r="D842" s="13" t="s">
        <v>1533</v>
      </c>
      <c r="E842" s="6" t="s">
        <v>4501</v>
      </c>
      <c r="F842" s="15" t="s">
        <v>9218</v>
      </c>
      <c r="G842" s="6" t="s">
        <v>4500</v>
      </c>
      <c r="H842" s="147" t="s">
        <v>4500</v>
      </c>
      <c r="I842" s="13" t="s">
        <v>13</v>
      </c>
      <c r="J842" s="13">
        <v>7</v>
      </c>
      <c r="K842" s="13" t="s">
        <v>6603</v>
      </c>
      <c r="L842" s="6" t="s">
        <v>4505</v>
      </c>
      <c r="M842" s="108" t="s">
        <v>4507</v>
      </c>
      <c r="N842" s="13" t="s">
        <v>4506</v>
      </c>
      <c r="O842" s="13" t="s">
        <v>27</v>
      </c>
      <c r="P842" s="13" t="s">
        <v>9</v>
      </c>
      <c r="Q842" s="6" t="s">
        <v>4504</v>
      </c>
      <c r="R842" s="17" t="s">
        <v>4503</v>
      </c>
      <c r="S842" s="17" t="s">
        <v>6627</v>
      </c>
      <c r="T842" s="18">
        <v>100</v>
      </c>
      <c r="U842" s="18">
        <v>270</v>
      </c>
      <c r="V842" s="13" t="s">
        <v>4502</v>
      </c>
      <c r="X842" s="132">
        <v>834</v>
      </c>
      <c r="Y842" s="6"/>
    </row>
    <row r="843" spans="1:25" ht="15" customHeight="1" x14ac:dyDescent="0.2">
      <c r="A843" s="12" t="s">
        <v>4508</v>
      </c>
      <c r="B843" s="13" t="s">
        <v>4978</v>
      </c>
      <c r="C843" s="74">
        <v>46320</v>
      </c>
      <c r="D843" s="13" t="s">
        <v>1533</v>
      </c>
      <c r="E843" s="6" t="s">
        <v>4509</v>
      </c>
      <c r="F843" s="15" t="s">
        <v>9217</v>
      </c>
      <c r="G843" s="6" t="s">
        <v>4510</v>
      </c>
      <c r="H843" s="147" t="s">
        <v>4510</v>
      </c>
      <c r="I843" s="13" t="s">
        <v>13</v>
      </c>
      <c r="J843" s="13">
        <v>7</v>
      </c>
      <c r="K843" s="13" t="s">
        <v>6603</v>
      </c>
      <c r="L843" s="6" t="s">
        <v>4511</v>
      </c>
      <c r="M843" s="108"/>
      <c r="N843" s="13" t="s">
        <v>4512</v>
      </c>
      <c r="O843" s="13" t="s">
        <v>240</v>
      </c>
      <c r="P843" s="13" t="s">
        <v>16</v>
      </c>
      <c r="Q843" s="6" t="s">
        <v>4513</v>
      </c>
      <c r="R843" s="17" t="s">
        <v>4514</v>
      </c>
      <c r="S843" s="17" t="s">
        <v>4515</v>
      </c>
      <c r="T843" s="18">
        <v>100</v>
      </c>
      <c r="U843" s="18">
        <v>142</v>
      </c>
      <c r="V843" s="13" t="s">
        <v>4516</v>
      </c>
      <c r="X843" s="132">
        <v>835</v>
      </c>
      <c r="Y843" s="6"/>
    </row>
    <row r="844" spans="1:25" ht="15" customHeight="1" x14ac:dyDescent="0.2">
      <c r="A844" s="12" t="s">
        <v>4517</v>
      </c>
      <c r="B844" s="13" t="s">
        <v>4978</v>
      </c>
      <c r="C844" s="74">
        <v>46320</v>
      </c>
      <c r="D844" s="13" t="s">
        <v>33</v>
      </c>
      <c r="E844" s="6" t="s">
        <v>4519</v>
      </c>
      <c r="F844" s="6" t="s">
        <v>9216</v>
      </c>
      <c r="G844" s="6" t="s">
        <v>4518</v>
      </c>
      <c r="H844" s="147" t="s">
        <v>4518</v>
      </c>
      <c r="I844" s="13" t="s">
        <v>25</v>
      </c>
      <c r="J844" s="13">
        <v>3</v>
      </c>
      <c r="K844" s="13" t="s">
        <v>1714</v>
      </c>
      <c r="L844" s="6" t="s">
        <v>4521</v>
      </c>
      <c r="M844" s="108" t="s">
        <v>4522</v>
      </c>
      <c r="N844" s="13" t="s">
        <v>4523</v>
      </c>
      <c r="O844" s="13" t="s">
        <v>136</v>
      </c>
      <c r="P844" s="13" t="s">
        <v>4</v>
      </c>
      <c r="Q844" s="6" t="s">
        <v>4524</v>
      </c>
      <c r="R844" s="17" t="s">
        <v>4525</v>
      </c>
      <c r="S844" s="17" t="s">
        <v>6634</v>
      </c>
      <c r="T844" s="18">
        <v>25</v>
      </c>
      <c r="U844" s="18">
        <v>25</v>
      </c>
      <c r="V844" s="13" t="s">
        <v>4520</v>
      </c>
      <c r="X844" s="132">
        <v>836</v>
      </c>
      <c r="Y844" s="6"/>
    </row>
    <row r="845" spans="1:25" ht="15" customHeight="1" x14ac:dyDescent="0.25">
      <c r="A845" s="12" t="s">
        <v>11265</v>
      </c>
      <c r="B845" s="13" t="s">
        <v>4978</v>
      </c>
      <c r="C845" s="74">
        <v>47552</v>
      </c>
      <c r="D845" s="13" t="s">
        <v>33</v>
      </c>
      <c r="E845" s="6" t="s">
        <v>4519</v>
      </c>
      <c r="F845" s="15" t="s">
        <v>11266</v>
      </c>
      <c r="G845" s="6" t="s">
        <v>11267</v>
      </c>
      <c r="H845" s="6" t="s">
        <v>11267</v>
      </c>
      <c r="I845" s="13" t="s">
        <v>25</v>
      </c>
      <c r="J845" s="13">
        <v>3</v>
      </c>
      <c r="K845" s="13" t="s">
        <v>1714</v>
      </c>
      <c r="L845" s="6" t="s">
        <v>11268</v>
      </c>
      <c r="M845" s="108" t="s">
        <v>11269</v>
      </c>
      <c r="N845" s="13" t="s">
        <v>4523</v>
      </c>
      <c r="O845" s="13" t="s">
        <v>136</v>
      </c>
      <c r="P845" s="13" t="s">
        <v>4</v>
      </c>
      <c r="Q845" s="6" t="s">
        <v>10802</v>
      </c>
      <c r="R845" s="69" t="s">
        <v>4525</v>
      </c>
      <c r="S845" s="30"/>
      <c r="T845" s="18">
        <v>16</v>
      </c>
      <c r="U845" s="18">
        <v>3</v>
      </c>
      <c r="V845" s="13" t="s">
        <v>11270</v>
      </c>
      <c r="X845" s="132">
        <v>837</v>
      </c>
      <c r="Y845" s="6"/>
    </row>
    <row r="846" spans="1:25" ht="15" customHeight="1" x14ac:dyDescent="0.2">
      <c r="A846" s="12" t="s">
        <v>4529</v>
      </c>
      <c r="B846" s="13" t="s">
        <v>4978</v>
      </c>
      <c r="C846" s="74">
        <v>46320</v>
      </c>
      <c r="D846" s="13" t="s">
        <v>33</v>
      </c>
      <c r="E846" s="6" t="s">
        <v>4531</v>
      </c>
      <c r="F846" s="15" t="s">
        <v>7073</v>
      </c>
      <c r="G846" s="6" t="s">
        <v>4530</v>
      </c>
      <c r="H846" s="147" t="s">
        <v>4530</v>
      </c>
      <c r="I846" s="13" t="s">
        <v>25</v>
      </c>
      <c r="J846" s="13">
        <v>3</v>
      </c>
      <c r="K846" s="13" t="s">
        <v>1714</v>
      </c>
      <c r="L846" s="6" t="s">
        <v>4533</v>
      </c>
      <c r="M846" s="108" t="s">
        <v>4532</v>
      </c>
      <c r="N846" s="13" t="s">
        <v>4299</v>
      </c>
      <c r="O846" s="13" t="s">
        <v>743</v>
      </c>
      <c r="P846" s="13" t="s">
        <v>16</v>
      </c>
      <c r="Q846" s="6" t="s">
        <v>3156</v>
      </c>
      <c r="R846" s="17" t="s">
        <v>4534</v>
      </c>
      <c r="S846" s="17" t="s">
        <v>3158</v>
      </c>
      <c r="T846" s="18">
        <v>20</v>
      </c>
      <c r="U846" s="18">
        <v>14</v>
      </c>
      <c r="V846" s="13" t="s">
        <v>4535</v>
      </c>
      <c r="X846" s="132">
        <v>838</v>
      </c>
      <c r="Y846" s="6"/>
    </row>
    <row r="847" spans="1:25" ht="15" customHeight="1" x14ac:dyDescent="0.25">
      <c r="A847" s="12" t="s">
        <v>4538</v>
      </c>
      <c r="B847" s="13" t="s">
        <v>4977</v>
      </c>
      <c r="C847" s="14">
        <v>46445</v>
      </c>
      <c r="D847" s="13" t="s">
        <v>1533</v>
      </c>
      <c r="E847" s="6" t="s">
        <v>4539</v>
      </c>
      <c r="F847" s="15" t="s">
        <v>9215</v>
      </c>
      <c r="G847" s="6" t="s">
        <v>9466</v>
      </c>
      <c r="H847" s="6" t="s">
        <v>4537</v>
      </c>
      <c r="I847" s="13" t="s">
        <v>13</v>
      </c>
      <c r="J847" s="13">
        <v>8</v>
      </c>
      <c r="K847" s="13" t="s">
        <v>1714</v>
      </c>
      <c r="L847" s="6" t="s">
        <v>4540</v>
      </c>
      <c r="M847" s="108" t="s">
        <v>4541</v>
      </c>
      <c r="N847" s="13" t="s">
        <v>2776</v>
      </c>
      <c r="O847" s="13" t="s">
        <v>136</v>
      </c>
      <c r="P847" s="13" t="s">
        <v>4</v>
      </c>
      <c r="Q847" s="6" t="s">
        <v>9467</v>
      </c>
      <c r="R847" s="69" t="s">
        <v>9468</v>
      </c>
      <c r="S847" s="69" t="s">
        <v>9469</v>
      </c>
      <c r="T847" s="18">
        <v>76</v>
      </c>
      <c r="U847" s="18">
        <v>74</v>
      </c>
      <c r="V847" s="13" t="s">
        <v>4542</v>
      </c>
      <c r="X847" s="132">
        <v>839</v>
      </c>
      <c r="Y847" s="6"/>
    </row>
    <row r="848" spans="1:25" ht="15" customHeight="1" x14ac:dyDescent="0.2">
      <c r="A848" s="20" t="s">
        <v>4780</v>
      </c>
      <c r="B848" s="22" t="s">
        <v>2608</v>
      </c>
      <c r="C848" s="14">
        <v>45642</v>
      </c>
      <c r="D848" s="13" t="s">
        <v>1533</v>
      </c>
      <c r="E848" s="6" t="s">
        <v>4544</v>
      </c>
      <c r="F848" s="15" t="s">
        <v>9214</v>
      </c>
      <c r="G848" s="6" t="s">
        <v>4543</v>
      </c>
      <c r="H848" s="6" t="s">
        <v>4543</v>
      </c>
      <c r="I848" s="13" t="s">
        <v>39</v>
      </c>
      <c r="J848" s="13">
        <v>12</v>
      </c>
      <c r="K848" s="13" t="s">
        <v>1714</v>
      </c>
      <c r="L848" s="6" t="s">
        <v>4549</v>
      </c>
      <c r="M848" s="108" t="s">
        <v>4550</v>
      </c>
      <c r="N848" s="13" t="s">
        <v>4551</v>
      </c>
      <c r="O848" s="13" t="s">
        <v>1055</v>
      </c>
      <c r="P848" s="13" t="s">
        <v>16</v>
      </c>
      <c r="Q848" s="6" t="s">
        <v>4548</v>
      </c>
      <c r="R848" s="17" t="s">
        <v>4546</v>
      </c>
      <c r="S848" s="17" t="s">
        <v>4547</v>
      </c>
      <c r="T848" s="18"/>
      <c r="U848" s="18"/>
      <c r="V848" s="13" t="s">
        <v>4545</v>
      </c>
      <c r="X848" s="132">
        <v>840</v>
      </c>
      <c r="Y848" s="6"/>
    </row>
    <row r="849" spans="1:25" ht="15" customHeight="1" x14ac:dyDescent="0.2">
      <c r="A849" s="20" t="s">
        <v>4781</v>
      </c>
      <c r="B849" s="22" t="s">
        <v>2608</v>
      </c>
      <c r="C849" s="14">
        <v>45642</v>
      </c>
      <c r="D849" s="13" t="s">
        <v>1533</v>
      </c>
      <c r="E849" s="6" t="s">
        <v>4544</v>
      </c>
      <c r="F849" s="15" t="s">
        <v>9213</v>
      </c>
      <c r="G849" s="6" t="s">
        <v>4543</v>
      </c>
      <c r="H849" s="6" t="s">
        <v>4543</v>
      </c>
      <c r="I849" s="13" t="s">
        <v>39</v>
      </c>
      <c r="J849" s="13">
        <v>12</v>
      </c>
      <c r="K849" s="13" t="s">
        <v>1714</v>
      </c>
      <c r="L849" s="6" t="s">
        <v>4549</v>
      </c>
      <c r="M849" s="108" t="s">
        <v>4550</v>
      </c>
      <c r="N849" s="13" t="s">
        <v>4551</v>
      </c>
      <c r="O849" s="13" t="s">
        <v>1055</v>
      </c>
      <c r="P849" s="13" t="s">
        <v>16</v>
      </c>
      <c r="Q849" s="6" t="s">
        <v>4548</v>
      </c>
      <c r="R849" s="17" t="s">
        <v>4546</v>
      </c>
      <c r="S849" s="17" t="s">
        <v>4547</v>
      </c>
      <c r="T849" s="18"/>
      <c r="U849" s="18"/>
      <c r="V849" s="13" t="s">
        <v>4545</v>
      </c>
      <c r="X849" s="132">
        <v>841</v>
      </c>
      <c r="Y849" s="6"/>
    </row>
    <row r="850" spans="1:25" ht="15" customHeight="1" x14ac:dyDescent="0.2">
      <c r="A850" s="20" t="s">
        <v>4782</v>
      </c>
      <c r="B850" s="22" t="s">
        <v>2608</v>
      </c>
      <c r="C850" s="14">
        <v>45642</v>
      </c>
      <c r="D850" s="13" t="s">
        <v>1533</v>
      </c>
      <c r="E850" s="6" t="s">
        <v>4544</v>
      </c>
      <c r="F850" s="15" t="s">
        <v>9212</v>
      </c>
      <c r="G850" s="6" t="s">
        <v>4543</v>
      </c>
      <c r="H850" s="6" t="s">
        <v>4543</v>
      </c>
      <c r="I850" s="13" t="s">
        <v>39</v>
      </c>
      <c r="J850" s="13">
        <v>12</v>
      </c>
      <c r="K850" s="13" t="s">
        <v>1714</v>
      </c>
      <c r="L850" s="6" t="s">
        <v>4549</v>
      </c>
      <c r="M850" s="108" t="s">
        <v>4550</v>
      </c>
      <c r="N850" s="13" t="s">
        <v>4551</v>
      </c>
      <c r="O850" s="13" t="s">
        <v>1055</v>
      </c>
      <c r="P850" s="13" t="s">
        <v>16</v>
      </c>
      <c r="Q850" s="6" t="s">
        <v>4548</v>
      </c>
      <c r="R850" s="17" t="s">
        <v>4546</v>
      </c>
      <c r="S850" s="17" t="s">
        <v>4547</v>
      </c>
      <c r="T850" s="18"/>
      <c r="U850" s="18"/>
      <c r="V850" s="13" t="s">
        <v>4545</v>
      </c>
      <c r="X850" s="132">
        <v>842</v>
      </c>
      <c r="Y850" s="6"/>
    </row>
    <row r="851" spans="1:25" ht="15" customHeight="1" x14ac:dyDescent="0.2">
      <c r="A851" s="20" t="s">
        <v>4783</v>
      </c>
      <c r="B851" s="22" t="s">
        <v>2608</v>
      </c>
      <c r="C851" s="14">
        <v>45642</v>
      </c>
      <c r="D851" s="13" t="s">
        <v>1533</v>
      </c>
      <c r="E851" s="6" t="s">
        <v>4544</v>
      </c>
      <c r="F851" s="15" t="s">
        <v>9211</v>
      </c>
      <c r="G851" s="6" t="s">
        <v>4543</v>
      </c>
      <c r="H851" s="6" t="s">
        <v>4543</v>
      </c>
      <c r="I851" s="13" t="s">
        <v>39</v>
      </c>
      <c r="J851" s="13">
        <v>12</v>
      </c>
      <c r="K851" s="13" t="s">
        <v>1714</v>
      </c>
      <c r="L851" s="6" t="s">
        <v>4549</v>
      </c>
      <c r="M851" s="108" t="s">
        <v>4550</v>
      </c>
      <c r="N851" s="13" t="s">
        <v>4551</v>
      </c>
      <c r="O851" s="13" t="s">
        <v>1055</v>
      </c>
      <c r="P851" s="13" t="s">
        <v>16</v>
      </c>
      <c r="Q851" s="6" t="s">
        <v>4548</v>
      </c>
      <c r="R851" s="17" t="s">
        <v>4546</v>
      </c>
      <c r="S851" s="17" t="s">
        <v>4547</v>
      </c>
      <c r="T851" s="18"/>
      <c r="U851" s="18"/>
      <c r="V851" s="13" t="s">
        <v>4545</v>
      </c>
      <c r="X851" s="132">
        <v>843</v>
      </c>
      <c r="Y851" s="6"/>
    </row>
    <row r="852" spans="1:25" ht="15" customHeight="1" x14ac:dyDescent="0.2">
      <c r="A852" s="12" t="s">
        <v>6317</v>
      </c>
      <c r="B852" s="13" t="s">
        <v>4977</v>
      </c>
      <c r="C852" s="14">
        <v>46719</v>
      </c>
      <c r="D852" s="13" t="s">
        <v>1533</v>
      </c>
      <c r="E852" s="6" t="s">
        <v>4544</v>
      </c>
      <c r="F852" s="15" t="s">
        <v>6319</v>
      </c>
      <c r="G852" s="6" t="s">
        <v>4543</v>
      </c>
      <c r="H852" s="6" t="s">
        <v>4543</v>
      </c>
      <c r="I852" s="13" t="s">
        <v>39</v>
      </c>
      <c r="J852" s="13">
        <v>12</v>
      </c>
      <c r="K852" s="13" t="s">
        <v>7032</v>
      </c>
      <c r="L852" s="6" t="s">
        <v>4549</v>
      </c>
      <c r="M852" s="108" t="s">
        <v>4550</v>
      </c>
      <c r="N852" s="13" t="s">
        <v>4551</v>
      </c>
      <c r="O852" s="13" t="s">
        <v>1055</v>
      </c>
      <c r="P852" s="13" t="s">
        <v>16</v>
      </c>
      <c r="Q852" s="6" t="s">
        <v>4548</v>
      </c>
      <c r="R852" s="17" t="s">
        <v>4546</v>
      </c>
      <c r="S852" s="17" t="s">
        <v>4547</v>
      </c>
      <c r="T852" s="18">
        <v>120</v>
      </c>
      <c r="U852" s="18">
        <v>120</v>
      </c>
      <c r="V852" s="13" t="s">
        <v>6318</v>
      </c>
      <c r="X852" s="132">
        <v>844</v>
      </c>
      <c r="Y852" s="6"/>
    </row>
    <row r="853" spans="1:25" ht="15" customHeight="1" x14ac:dyDescent="0.2">
      <c r="A853" s="12" t="s">
        <v>6931</v>
      </c>
      <c r="B853" s="22" t="s">
        <v>2608</v>
      </c>
      <c r="C853" s="14">
        <v>46095</v>
      </c>
      <c r="D853" s="13" t="s">
        <v>1533</v>
      </c>
      <c r="E853" s="6" t="s">
        <v>4544</v>
      </c>
      <c r="F853" s="15" t="s">
        <v>6932</v>
      </c>
      <c r="G853" s="6" t="s">
        <v>4543</v>
      </c>
      <c r="H853" s="6" t="s">
        <v>4543</v>
      </c>
      <c r="I853" s="13" t="s">
        <v>39</v>
      </c>
      <c r="J853" s="13">
        <v>12</v>
      </c>
      <c r="K853" s="13" t="s">
        <v>7032</v>
      </c>
      <c r="L853" s="6" t="s">
        <v>4549</v>
      </c>
      <c r="M853" s="108" t="s">
        <v>4550</v>
      </c>
      <c r="N853" s="13" t="s">
        <v>4551</v>
      </c>
      <c r="O853" s="13" t="s">
        <v>1055</v>
      </c>
      <c r="P853" s="13" t="s">
        <v>16</v>
      </c>
      <c r="Q853" s="6" t="s">
        <v>4548</v>
      </c>
      <c r="R853" s="17" t="s">
        <v>4546</v>
      </c>
      <c r="S853" s="17" t="s">
        <v>4547</v>
      </c>
      <c r="T853" s="18">
        <v>180</v>
      </c>
      <c r="U853" s="18">
        <v>180</v>
      </c>
      <c r="V853" s="13" t="s">
        <v>6933</v>
      </c>
      <c r="X853" s="132">
        <v>845</v>
      </c>
      <c r="Y853" s="6"/>
    </row>
    <row r="854" spans="1:25" ht="15" customHeight="1" x14ac:dyDescent="0.25">
      <c r="A854" s="12" t="s">
        <v>10877</v>
      </c>
      <c r="B854" s="13" t="s">
        <v>4977</v>
      </c>
      <c r="C854" s="14">
        <v>46705</v>
      </c>
      <c r="D854" s="13" t="s">
        <v>1533</v>
      </c>
      <c r="E854" s="6" t="s">
        <v>10878</v>
      </c>
      <c r="F854" s="15" t="s">
        <v>10977</v>
      </c>
      <c r="G854" s="6" t="s">
        <v>4543</v>
      </c>
      <c r="H854" s="6" t="s">
        <v>4543</v>
      </c>
      <c r="I854" s="13" t="s">
        <v>39</v>
      </c>
      <c r="J854" s="13">
        <v>12</v>
      </c>
      <c r="K854" s="13" t="s">
        <v>1714</v>
      </c>
      <c r="L854" s="6" t="s">
        <v>4549</v>
      </c>
      <c r="M854" s="108" t="s">
        <v>10978</v>
      </c>
      <c r="N854" s="13" t="s">
        <v>4551</v>
      </c>
      <c r="O854" s="13" t="s">
        <v>1055</v>
      </c>
      <c r="P854" s="13" t="s">
        <v>16</v>
      </c>
      <c r="Q854" s="6" t="s">
        <v>4548</v>
      </c>
      <c r="R854" s="69" t="s">
        <v>4546</v>
      </c>
      <c r="S854" s="69" t="s">
        <v>4547</v>
      </c>
      <c r="T854" s="18">
        <v>400</v>
      </c>
      <c r="U854" s="18">
        <v>400</v>
      </c>
      <c r="V854" s="13" t="s">
        <v>6933</v>
      </c>
      <c r="X854" s="132">
        <v>846</v>
      </c>
      <c r="Y854" s="6"/>
    </row>
    <row r="855" spans="1:25" ht="15" customHeight="1" x14ac:dyDescent="0.2">
      <c r="A855" s="12" t="s">
        <v>4784</v>
      </c>
      <c r="B855" s="13" t="s">
        <v>4978</v>
      </c>
      <c r="C855" s="74">
        <v>46372</v>
      </c>
      <c r="D855" s="13" t="s">
        <v>1533</v>
      </c>
      <c r="E855" s="6" t="s">
        <v>4554</v>
      </c>
      <c r="F855" s="15" t="s">
        <v>9210</v>
      </c>
      <c r="G855" s="6" t="s">
        <v>4553</v>
      </c>
      <c r="H855" s="147" t="s">
        <v>4553</v>
      </c>
      <c r="I855" s="13" t="s">
        <v>25</v>
      </c>
      <c r="J855" s="13">
        <v>6</v>
      </c>
      <c r="K855" s="13" t="s">
        <v>1714</v>
      </c>
      <c r="L855" s="6" t="s">
        <v>4556</v>
      </c>
      <c r="M855" s="108" t="s">
        <v>4557</v>
      </c>
      <c r="N855" s="13" t="s">
        <v>4558</v>
      </c>
      <c r="O855" s="13" t="s">
        <v>2146</v>
      </c>
      <c r="P855" s="13" t="s">
        <v>68</v>
      </c>
      <c r="Q855" s="6" t="s">
        <v>4559</v>
      </c>
      <c r="R855" s="17" t="s">
        <v>4560</v>
      </c>
      <c r="S855" s="17" t="s">
        <v>4561</v>
      </c>
      <c r="T855" s="18">
        <v>20</v>
      </c>
      <c r="U855" s="18">
        <v>19</v>
      </c>
      <c r="V855" s="13" t="s">
        <v>4555</v>
      </c>
      <c r="X855" s="132">
        <v>847</v>
      </c>
      <c r="Y855" s="6"/>
    </row>
    <row r="856" spans="1:25" ht="15" customHeight="1" x14ac:dyDescent="0.2">
      <c r="A856" s="12" t="s">
        <v>4552</v>
      </c>
      <c r="B856" s="13" t="s">
        <v>4978</v>
      </c>
      <c r="C856" s="74">
        <v>46372</v>
      </c>
      <c r="D856" s="13" t="s">
        <v>33</v>
      </c>
      <c r="E856" s="6" t="s">
        <v>4564</v>
      </c>
      <c r="F856" s="15" t="s">
        <v>9209</v>
      </c>
      <c r="G856" s="6" t="s">
        <v>4563</v>
      </c>
      <c r="H856" s="147" t="s">
        <v>4563</v>
      </c>
      <c r="I856" s="13" t="s">
        <v>25</v>
      </c>
      <c r="J856" s="13">
        <v>3</v>
      </c>
      <c r="K856" s="13" t="s">
        <v>1714</v>
      </c>
      <c r="L856" s="6" t="s">
        <v>4566</v>
      </c>
      <c r="M856" s="108" t="s">
        <v>4567</v>
      </c>
      <c r="N856" s="13" t="s">
        <v>4568</v>
      </c>
      <c r="O856" s="13" t="s">
        <v>240</v>
      </c>
      <c r="P856" s="13" t="s">
        <v>16</v>
      </c>
      <c r="Q856" s="6" t="s">
        <v>4569</v>
      </c>
      <c r="R856" s="17" t="s">
        <v>4570</v>
      </c>
      <c r="S856" s="17" t="s">
        <v>6634</v>
      </c>
      <c r="T856" s="18">
        <v>12</v>
      </c>
      <c r="U856" s="18">
        <v>10</v>
      </c>
      <c r="V856" s="13" t="s">
        <v>4565</v>
      </c>
      <c r="X856" s="132">
        <v>848</v>
      </c>
      <c r="Y856" s="6"/>
    </row>
    <row r="857" spans="1:25" ht="15" customHeight="1" x14ac:dyDescent="0.2">
      <c r="A857" s="19" t="s">
        <v>4562</v>
      </c>
      <c r="B857" s="13" t="s">
        <v>4978</v>
      </c>
      <c r="C857" s="74">
        <v>47299</v>
      </c>
      <c r="D857" s="13" t="s">
        <v>33</v>
      </c>
      <c r="E857" s="6" t="s">
        <v>4574</v>
      </c>
      <c r="F857" s="15" t="s">
        <v>9208</v>
      </c>
      <c r="G857" s="6" t="s">
        <v>4573</v>
      </c>
      <c r="H857" s="6" t="s">
        <v>4573</v>
      </c>
      <c r="I857" s="13" t="s">
        <v>25</v>
      </c>
      <c r="J857" s="13">
        <v>3</v>
      </c>
      <c r="K857" s="13" t="s">
        <v>1714</v>
      </c>
      <c r="L857" s="6" t="s">
        <v>4575</v>
      </c>
      <c r="M857" s="108" t="s">
        <v>4576</v>
      </c>
      <c r="N857" s="13" t="s">
        <v>177</v>
      </c>
      <c r="O857" s="13" t="s">
        <v>177</v>
      </c>
      <c r="P857" s="13" t="s">
        <v>9</v>
      </c>
      <c r="Q857" s="6" t="s">
        <v>4577</v>
      </c>
      <c r="R857" s="17" t="s">
        <v>4578</v>
      </c>
      <c r="S857" s="17" t="s">
        <v>6690</v>
      </c>
      <c r="T857" s="18">
        <v>20</v>
      </c>
      <c r="U857" s="18">
        <v>12</v>
      </c>
      <c r="V857" s="13" t="s">
        <v>4579</v>
      </c>
      <c r="X857" s="132">
        <v>849</v>
      </c>
      <c r="Y857" s="6"/>
    </row>
    <row r="858" spans="1:25" ht="15" customHeight="1" x14ac:dyDescent="0.25">
      <c r="A858" s="12" t="s">
        <v>4571</v>
      </c>
      <c r="B858" s="13" t="s">
        <v>4977</v>
      </c>
      <c r="C858" s="14">
        <v>46359</v>
      </c>
      <c r="D858" s="13" t="s">
        <v>1533</v>
      </c>
      <c r="E858" s="6" t="s">
        <v>4581</v>
      </c>
      <c r="F858" s="15" t="s">
        <v>9207</v>
      </c>
      <c r="G858" s="6" t="s">
        <v>4580</v>
      </c>
      <c r="H858" s="6" t="s">
        <v>4580</v>
      </c>
      <c r="I858" s="13" t="s">
        <v>39</v>
      </c>
      <c r="J858" s="13">
        <v>12</v>
      </c>
      <c r="K858" s="13" t="s">
        <v>1714</v>
      </c>
      <c r="L858" s="6" t="s">
        <v>4583</v>
      </c>
      <c r="M858" s="108" t="s">
        <v>4584</v>
      </c>
      <c r="N858" s="13" t="s">
        <v>8</v>
      </c>
      <c r="O858" s="13" t="s">
        <v>8</v>
      </c>
      <c r="P858" s="13" t="s">
        <v>9</v>
      </c>
      <c r="Q858" s="6" t="s">
        <v>4585</v>
      </c>
      <c r="R858" s="69" t="s">
        <v>8727</v>
      </c>
      <c r="S858" s="69" t="s">
        <v>8728</v>
      </c>
      <c r="T858" s="18">
        <v>120</v>
      </c>
      <c r="U858" s="18">
        <v>120</v>
      </c>
      <c r="V858" s="13" t="s">
        <v>4582</v>
      </c>
      <c r="X858" s="132">
        <v>850</v>
      </c>
      <c r="Y858" s="6"/>
    </row>
    <row r="859" spans="1:25" ht="15" customHeight="1" x14ac:dyDescent="0.2">
      <c r="A859" s="20" t="s">
        <v>4572</v>
      </c>
      <c r="B859" s="22" t="s">
        <v>2608</v>
      </c>
      <c r="C859" s="14">
        <v>45642</v>
      </c>
      <c r="D859" s="13" t="s">
        <v>33</v>
      </c>
      <c r="E859" s="6" t="s">
        <v>4714</v>
      </c>
      <c r="F859" s="6" t="s">
        <v>9206</v>
      </c>
      <c r="G859" s="6" t="s">
        <v>4716</v>
      </c>
      <c r="H859" s="147" t="s">
        <v>4716</v>
      </c>
      <c r="I859" s="13" t="s">
        <v>25</v>
      </c>
      <c r="J859" s="13">
        <v>3</v>
      </c>
      <c r="K859" s="13" t="s">
        <v>1714</v>
      </c>
      <c r="L859" s="6" t="s">
        <v>4717</v>
      </c>
      <c r="M859" s="108" t="s">
        <v>4718</v>
      </c>
      <c r="N859" s="13" t="s">
        <v>3665</v>
      </c>
      <c r="O859" s="13" t="s">
        <v>21</v>
      </c>
      <c r="P859" s="13" t="s">
        <v>9</v>
      </c>
      <c r="Q859" s="6" t="s">
        <v>4719</v>
      </c>
      <c r="R859" s="17" t="s">
        <v>4720</v>
      </c>
      <c r="S859" s="17" t="s">
        <v>6634</v>
      </c>
      <c r="T859" s="18"/>
      <c r="U859" s="18">
        <v>44</v>
      </c>
      <c r="V859" s="13" t="s">
        <v>4715</v>
      </c>
      <c r="X859" s="132">
        <v>851</v>
      </c>
      <c r="Y859" s="6"/>
    </row>
    <row r="860" spans="1:25" ht="15" customHeight="1" x14ac:dyDescent="0.2">
      <c r="A860" s="12" t="s">
        <v>4705</v>
      </c>
      <c r="B860" s="13" t="s">
        <v>4978</v>
      </c>
      <c r="C860" s="74">
        <v>46372</v>
      </c>
      <c r="D860" s="13" t="s">
        <v>33</v>
      </c>
      <c r="E860" s="6" t="s">
        <v>4721</v>
      </c>
      <c r="F860" s="15" t="s">
        <v>8769</v>
      </c>
      <c r="G860" s="6" t="s">
        <v>4724</v>
      </c>
      <c r="H860" s="147" t="s">
        <v>4724</v>
      </c>
      <c r="I860" s="13" t="s">
        <v>25</v>
      </c>
      <c r="J860" s="13">
        <v>3</v>
      </c>
      <c r="K860" s="13" t="s">
        <v>1714</v>
      </c>
      <c r="L860" s="6" t="s">
        <v>4723</v>
      </c>
      <c r="M860" s="108" t="s">
        <v>4725</v>
      </c>
      <c r="N860" s="13" t="s">
        <v>2887</v>
      </c>
      <c r="O860" s="13" t="s">
        <v>2146</v>
      </c>
      <c r="P860" s="13" t="s">
        <v>68</v>
      </c>
      <c r="Q860" s="6" t="s">
        <v>4726</v>
      </c>
      <c r="R860" s="17" t="s">
        <v>4727</v>
      </c>
      <c r="S860" s="17" t="s">
        <v>4728</v>
      </c>
      <c r="T860" s="18">
        <v>12</v>
      </c>
      <c r="U860" s="18">
        <v>6</v>
      </c>
      <c r="V860" s="13" t="s">
        <v>4722</v>
      </c>
      <c r="X860" s="132">
        <v>852</v>
      </c>
      <c r="Y860" s="6"/>
    </row>
    <row r="861" spans="1:25" ht="15" customHeight="1" x14ac:dyDescent="0.25">
      <c r="A861" s="12" t="s">
        <v>4706</v>
      </c>
      <c r="B861" s="13" t="s">
        <v>4978</v>
      </c>
      <c r="C861" s="74">
        <v>47209</v>
      </c>
      <c r="D861" s="13" t="s">
        <v>33</v>
      </c>
      <c r="E861" s="6" t="s">
        <v>4729</v>
      </c>
      <c r="F861" s="6" t="s">
        <v>9205</v>
      </c>
      <c r="G861" s="6" t="s">
        <v>9642</v>
      </c>
      <c r="H861" s="6" t="s">
        <v>9642</v>
      </c>
      <c r="I861" s="13" t="s">
        <v>25</v>
      </c>
      <c r="J861" s="13">
        <v>3</v>
      </c>
      <c r="K861" s="13" t="s">
        <v>1714</v>
      </c>
      <c r="L861" s="6" t="s">
        <v>4731</v>
      </c>
      <c r="M861" s="108" t="s">
        <v>4732</v>
      </c>
      <c r="N861" s="13" t="s">
        <v>2276</v>
      </c>
      <c r="O861" s="13" t="s">
        <v>172</v>
      </c>
      <c r="P861" s="13" t="s">
        <v>9</v>
      </c>
      <c r="Q861" s="6" t="s">
        <v>4733</v>
      </c>
      <c r="R861" s="69" t="s">
        <v>9643</v>
      </c>
      <c r="S861" s="69" t="s">
        <v>9644</v>
      </c>
      <c r="T861" s="18">
        <v>16</v>
      </c>
      <c r="U861" s="18">
        <v>12</v>
      </c>
      <c r="V861" s="13" t="s">
        <v>4730</v>
      </c>
      <c r="X861" s="132">
        <v>853</v>
      </c>
      <c r="Y861" s="6"/>
    </row>
    <row r="862" spans="1:25" ht="15" customHeight="1" x14ac:dyDescent="0.2">
      <c r="A862" s="12" t="s">
        <v>4707</v>
      </c>
      <c r="B862" s="13" t="s">
        <v>4978</v>
      </c>
      <c r="C862" s="74">
        <v>46372</v>
      </c>
      <c r="D862" s="13" t="s">
        <v>33</v>
      </c>
      <c r="E862" s="6" t="s">
        <v>4734</v>
      </c>
      <c r="F862" s="15" t="s">
        <v>9204</v>
      </c>
      <c r="G862" s="6" t="s">
        <v>4736</v>
      </c>
      <c r="H862" s="147" t="s">
        <v>4736</v>
      </c>
      <c r="I862" s="13" t="s">
        <v>25</v>
      </c>
      <c r="J862" s="13">
        <v>3</v>
      </c>
      <c r="K862" s="13" t="s">
        <v>1714</v>
      </c>
      <c r="L862" s="6" t="s">
        <v>4737</v>
      </c>
      <c r="M862" s="108" t="s">
        <v>4738</v>
      </c>
      <c r="N862" s="13" t="s">
        <v>2486</v>
      </c>
      <c r="O862" s="13" t="s">
        <v>61</v>
      </c>
      <c r="P862" s="13" t="s">
        <v>9</v>
      </c>
      <c r="Q862" s="6" t="s">
        <v>4739</v>
      </c>
      <c r="R862" s="17" t="s">
        <v>4740</v>
      </c>
      <c r="S862" s="17" t="s">
        <v>4741</v>
      </c>
      <c r="T862" s="18">
        <v>28</v>
      </c>
      <c r="U862" s="18">
        <v>26</v>
      </c>
      <c r="V862" s="13" t="s">
        <v>4735</v>
      </c>
      <c r="X862" s="132">
        <v>854</v>
      </c>
      <c r="Y862" s="6"/>
    </row>
    <row r="863" spans="1:25" ht="15" customHeight="1" x14ac:dyDescent="0.2">
      <c r="A863" s="12" t="s">
        <v>4708</v>
      </c>
      <c r="B863" s="13" t="s">
        <v>4977</v>
      </c>
      <c r="C863" s="14">
        <v>46359</v>
      </c>
      <c r="D863" s="13" t="s">
        <v>1533</v>
      </c>
      <c r="E863" s="6" t="s">
        <v>4742</v>
      </c>
      <c r="F863" s="15" t="s">
        <v>9203</v>
      </c>
      <c r="G863" s="6" t="s">
        <v>4747</v>
      </c>
      <c r="H863" s="6" t="s">
        <v>4747</v>
      </c>
      <c r="I863" s="13" t="s">
        <v>39</v>
      </c>
      <c r="J863" s="13">
        <v>12</v>
      </c>
      <c r="K863" s="13" t="s">
        <v>1714</v>
      </c>
      <c r="L863" s="6" t="s">
        <v>7655</v>
      </c>
      <c r="M863" s="108" t="s">
        <v>7656</v>
      </c>
      <c r="N863" s="13" t="s">
        <v>7657</v>
      </c>
      <c r="P863" s="13" t="s">
        <v>7658</v>
      </c>
      <c r="Q863" s="6" t="s">
        <v>4746</v>
      </c>
      <c r="R863" s="17" t="s">
        <v>4744</v>
      </c>
      <c r="S863" s="17" t="s">
        <v>4745</v>
      </c>
      <c r="T863" s="18">
        <v>500</v>
      </c>
      <c r="U863" s="18">
        <v>500</v>
      </c>
      <c r="V863" s="13" t="s">
        <v>4743</v>
      </c>
      <c r="X863" s="132">
        <v>855</v>
      </c>
      <c r="Y863" s="6"/>
    </row>
    <row r="864" spans="1:25" ht="15" customHeight="1" x14ac:dyDescent="0.2">
      <c r="A864" s="20" t="s">
        <v>4709</v>
      </c>
      <c r="B864" s="22" t="s">
        <v>2608</v>
      </c>
      <c r="C864" s="14">
        <v>45642</v>
      </c>
      <c r="D864" s="13" t="s">
        <v>1533</v>
      </c>
      <c r="E864" s="6" t="s">
        <v>4748</v>
      </c>
      <c r="F864" s="15" t="s">
        <v>9202</v>
      </c>
      <c r="G864" s="6" t="s">
        <v>4750</v>
      </c>
      <c r="H864" s="147" t="s">
        <v>4750</v>
      </c>
      <c r="I864" s="13" t="s">
        <v>39</v>
      </c>
      <c r="J864" s="13">
        <v>12</v>
      </c>
      <c r="K864" s="13" t="s">
        <v>1714</v>
      </c>
      <c r="L864" s="39" t="s">
        <v>7659</v>
      </c>
      <c r="M864" s="108" t="s">
        <v>7656</v>
      </c>
      <c r="N864" s="13" t="s">
        <v>36</v>
      </c>
      <c r="O864" s="13" t="s">
        <v>36</v>
      </c>
      <c r="P864" s="13" t="s">
        <v>4</v>
      </c>
      <c r="Q864" s="6" t="s">
        <v>4859</v>
      </c>
      <c r="R864" s="17" t="s">
        <v>4858</v>
      </c>
      <c r="S864" s="17" t="s">
        <v>4751</v>
      </c>
      <c r="T864" s="18"/>
      <c r="U864" s="18"/>
      <c r="V864" s="13" t="s">
        <v>4749</v>
      </c>
      <c r="X864" s="132">
        <v>856</v>
      </c>
      <c r="Y864" s="6"/>
    </row>
    <row r="865" spans="1:25" ht="15" customHeight="1" x14ac:dyDescent="0.2">
      <c r="A865" s="12" t="s">
        <v>4710</v>
      </c>
      <c r="B865" s="13" t="s">
        <v>4978</v>
      </c>
      <c r="C865" s="74">
        <v>46372</v>
      </c>
      <c r="D865" s="13" t="s">
        <v>1533</v>
      </c>
      <c r="E865" s="6" t="s">
        <v>4752</v>
      </c>
      <c r="F865" s="6" t="s">
        <v>4752</v>
      </c>
      <c r="G865" s="6" t="s">
        <v>4755</v>
      </c>
      <c r="H865" s="147" t="s">
        <v>4755</v>
      </c>
      <c r="I865" s="13" t="s">
        <v>25</v>
      </c>
      <c r="J865" s="13">
        <v>6</v>
      </c>
      <c r="K865" s="13" t="s">
        <v>1714</v>
      </c>
      <c r="L865" s="6" t="s">
        <v>4754</v>
      </c>
      <c r="M865" s="108" t="s">
        <v>4756</v>
      </c>
      <c r="N865" s="13" t="s">
        <v>21</v>
      </c>
      <c r="O865" s="13" t="s">
        <v>21</v>
      </c>
      <c r="P865" s="13" t="s">
        <v>9</v>
      </c>
      <c r="Q865" s="6" t="s">
        <v>4757</v>
      </c>
      <c r="R865" s="30" t="s">
        <v>4758</v>
      </c>
      <c r="S865" s="17" t="s">
        <v>6627</v>
      </c>
      <c r="T865" s="18">
        <v>8</v>
      </c>
      <c r="U865" s="18">
        <v>6</v>
      </c>
      <c r="V865" s="13" t="s">
        <v>4753</v>
      </c>
      <c r="X865" s="132">
        <v>857</v>
      </c>
      <c r="Y865" s="6"/>
    </row>
    <row r="866" spans="1:25" ht="15" customHeight="1" x14ac:dyDescent="0.2">
      <c r="A866" s="12" t="s">
        <v>4711</v>
      </c>
      <c r="B866" s="13" t="s">
        <v>4978</v>
      </c>
      <c r="C866" s="74">
        <v>46372</v>
      </c>
      <c r="D866" s="13" t="s">
        <v>33</v>
      </c>
      <c r="E866" s="6" t="s">
        <v>4759</v>
      </c>
      <c r="F866" s="15" t="s">
        <v>9201</v>
      </c>
      <c r="G866" s="6" t="s">
        <v>4761</v>
      </c>
      <c r="H866" s="147" t="s">
        <v>4761</v>
      </c>
      <c r="I866" s="13" t="s">
        <v>25</v>
      </c>
      <c r="J866" s="13">
        <v>3</v>
      </c>
      <c r="K866" s="13" t="s">
        <v>1714</v>
      </c>
      <c r="L866" s="6" t="s">
        <v>4762</v>
      </c>
      <c r="M866" s="108" t="s">
        <v>4763</v>
      </c>
      <c r="N866" s="13" t="s">
        <v>97</v>
      </c>
      <c r="O866" s="13" t="s">
        <v>97</v>
      </c>
      <c r="P866" s="13" t="s">
        <v>4</v>
      </c>
      <c r="Q866" s="6" t="s">
        <v>3786</v>
      </c>
      <c r="R866" s="17" t="s">
        <v>4682</v>
      </c>
      <c r="S866" s="17" t="s">
        <v>6631</v>
      </c>
      <c r="T866" s="18">
        <v>31</v>
      </c>
      <c r="U866" s="18">
        <v>4</v>
      </c>
      <c r="V866" s="13" t="s">
        <v>4760</v>
      </c>
      <c r="X866" s="132">
        <v>858</v>
      </c>
      <c r="Y866" s="6"/>
    </row>
    <row r="867" spans="1:25" ht="15" customHeight="1" x14ac:dyDescent="0.2">
      <c r="A867" s="12" t="s">
        <v>4712</v>
      </c>
      <c r="B867" s="13" t="s">
        <v>4978</v>
      </c>
      <c r="C867" s="74">
        <v>46372</v>
      </c>
      <c r="D867" s="13" t="s">
        <v>33</v>
      </c>
      <c r="E867" s="6" t="s">
        <v>4764</v>
      </c>
      <c r="F867" s="15" t="s">
        <v>9200</v>
      </c>
      <c r="G867" s="6" t="s">
        <v>4765</v>
      </c>
      <c r="H867" s="147" t="s">
        <v>4765</v>
      </c>
      <c r="I867" s="13" t="s">
        <v>25</v>
      </c>
      <c r="J867" s="13">
        <v>3</v>
      </c>
      <c r="K867" s="13" t="s">
        <v>1714</v>
      </c>
      <c r="L867" s="6" t="s">
        <v>4766</v>
      </c>
      <c r="M867" s="108" t="s">
        <v>4767</v>
      </c>
      <c r="N867" s="13" t="s">
        <v>4768</v>
      </c>
      <c r="O867" s="13" t="s">
        <v>36</v>
      </c>
      <c r="P867" s="13" t="s">
        <v>4</v>
      </c>
      <c r="Q867" s="6" t="s">
        <v>4474</v>
      </c>
      <c r="R867" s="17" t="s">
        <v>775</v>
      </c>
      <c r="S867" s="17" t="s">
        <v>2268</v>
      </c>
      <c r="T867" s="18">
        <v>30</v>
      </c>
      <c r="U867" s="18">
        <v>14</v>
      </c>
      <c r="V867" s="13" t="s">
        <v>4769</v>
      </c>
      <c r="X867" s="132">
        <v>859</v>
      </c>
      <c r="Y867" s="6"/>
    </row>
    <row r="868" spans="1:25" ht="15" customHeight="1" x14ac:dyDescent="0.2">
      <c r="A868" s="12" t="s">
        <v>4713</v>
      </c>
      <c r="B868" s="13" t="s">
        <v>4978</v>
      </c>
      <c r="C868" s="74">
        <v>46372</v>
      </c>
      <c r="D868" s="13" t="s">
        <v>33</v>
      </c>
      <c r="E868" s="6" t="s">
        <v>4770</v>
      </c>
      <c r="F868" s="15" t="s">
        <v>9199</v>
      </c>
      <c r="G868" s="6" t="s">
        <v>4771</v>
      </c>
      <c r="H868" s="147" t="s">
        <v>4771</v>
      </c>
      <c r="I868" s="13" t="s">
        <v>25</v>
      </c>
      <c r="J868" s="13">
        <v>3</v>
      </c>
      <c r="K868" s="13" t="s">
        <v>1714</v>
      </c>
      <c r="L868" s="6" t="s">
        <v>4772</v>
      </c>
      <c r="M868" s="108" t="s">
        <v>4773</v>
      </c>
      <c r="N868" s="13" t="s">
        <v>4774</v>
      </c>
      <c r="O868" s="13" t="s">
        <v>128</v>
      </c>
      <c r="P868" s="13" t="s">
        <v>16</v>
      </c>
      <c r="Q868" s="6" t="s">
        <v>3358</v>
      </c>
      <c r="R868" s="17" t="s">
        <v>4775</v>
      </c>
      <c r="S868" s="17" t="s">
        <v>6634</v>
      </c>
      <c r="T868" s="18">
        <v>21</v>
      </c>
      <c r="U868" s="18">
        <v>15</v>
      </c>
      <c r="V868" s="13" t="s">
        <v>4776</v>
      </c>
      <c r="X868" s="132">
        <v>860</v>
      </c>
      <c r="Y868" s="6"/>
    </row>
    <row r="869" spans="1:25" ht="15" customHeight="1" x14ac:dyDescent="0.25">
      <c r="A869" s="12" t="s">
        <v>4787</v>
      </c>
      <c r="B869" s="13" t="s">
        <v>4977</v>
      </c>
      <c r="C869" s="14">
        <v>46389</v>
      </c>
      <c r="D869" s="13" t="s">
        <v>1533</v>
      </c>
      <c r="E869" s="6" t="s">
        <v>8960</v>
      </c>
      <c r="F869" s="15" t="s">
        <v>8961</v>
      </c>
      <c r="G869" s="6" t="s">
        <v>4792</v>
      </c>
      <c r="H869" s="6" t="s">
        <v>4792</v>
      </c>
      <c r="I869" s="13" t="s">
        <v>13</v>
      </c>
      <c r="J869" s="13">
        <v>8</v>
      </c>
      <c r="K869" s="13" t="s">
        <v>1714</v>
      </c>
      <c r="L869" s="6" t="s">
        <v>8962</v>
      </c>
      <c r="M869" s="108" t="s">
        <v>8963</v>
      </c>
      <c r="N869" s="13" t="s">
        <v>4793</v>
      </c>
      <c r="O869" s="13" t="s">
        <v>11949</v>
      </c>
      <c r="P869" s="13" t="s">
        <v>68</v>
      </c>
      <c r="Q869" s="6" t="s">
        <v>4794</v>
      </c>
      <c r="R869" s="17" t="s">
        <v>4795</v>
      </c>
      <c r="S869" s="69" t="s">
        <v>8964</v>
      </c>
      <c r="T869" s="18">
        <v>40</v>
      </c>
      <c r="U869" s="18">
        <v>30</v>
      </c>
      <c r="V869" s="13" t="s">
        <v>4825</v>
      </c>
      <c r="X869" s="132">
        <v>861</v>
      </c>
      <c r="Y869" s="6"/>
    </row>
    <row r="870" spans="1:25" ht="15" customHeight="1" x14ac:dyDescent="0.2">
      <c r="A870" s="12" t="s">
        <v>4788</v>
      </c>
      <c r="B870" s="13" t="s">
        <v>4978</v>
      </c>
      <c r="C870" s="74">
        <v>46385</v>
      </c>
      <c r="D870" s="13" t="s">
        <v>33</v>
      </c>
      <c r="E870" s="6" t="s">
        <v>4796</v>
      </c>
      <c r="F870" s="15" t="s">
        <v>4797</v>
      </c>
      <c r="G870" s="6" t="s">
        <v>4798</v>
      </c>
      <c r="H870" s="147" t="s">
        <v>4798</v>
      </c>
      <c r="I870" s="13" t="s">
        <v>25</v>
      </c>
      <c r="J870" s="13">
        <v>3</v>
      </c>
      <c r="K870" s="13" t="s">
        <v>1714</v>
      </c>
      <c r="L870" s="6" t="s">
        <v>4799</v>
      </c>
      <c r="M870" s="108" t="s">
        <v>4800</v>
      </c>
      <c r="N870" s="13" t="s">
        <v>4801</v>
      </c>
      <c r="O870" s="13" t="s">
        <v>445</v>
      </c>
      <c r="P870" s="13" t="s">
        <v>16</v>
      </c>
      <c r="Q870" s="6" t="s">
        <v>4802</v>
      </c>
      <c r="R870" s="17" t="s">
        <v>4803</v>
      </c>
      <c r="S870" s="17" t="s">
        <v>6634</v>
      </c>
      <c r="T870" s="18">
        <v>15</v>
      </c>
      <c r="U870" s="18">
        <v>2</v>
      </c>
      <c r="V870" s="13" t="s">
        <v>4826</v>
      </c>
      <c r="X870" s="132">
        <v>862</v>
      </c>
      <c r="Y870" s="6"/>
    </row>
    <row r="871" spans="1:25" ht="15" customHeight="1" x14ac:dyDescent="0.2">
      <c r="A871" s="12" t="s">
        <v>4789</v>
      </c>
      <c r="B871" s="13" t="s">
        <v>4978</v>
      </c>
      <c r="C871" s="74">
        <v>46385</v>
      </c>
      <c r="D871" s="13" t="s">
        <v>33</v>
      </c>
      <c r="E871" s="6" t="s">
        <v>4804</v>
      </c>
      <c r="F871" s="15" t="s">
        <v>4805</v>
      </c>
      <c r="G871" s="6" t="s">
        <v>4806</v>
      </c>
      <c r="H871" s="6" t="s">
        <v>4806</v>
      </c>
      <c r="I871" s="13" t="s">
        <v>25</v>
      </c>
      <c r="J871" s="13">
        <v>3</v>
      </c>
      <c r="K871" s="13" t="s">
        <v>1714</v>
      </c>
      <c r="L871" s="6" t="s">
        <v>4807</v>
      </c>
      <c r="M871" s="108" t="s">
        <v>4808</v>
      </c>
      <c r="N871" s="13" t="s">
        <v>4657</v>
      </c>
      <c r="O871" s="13" t="s">
        <v>15</v>
      </c>
      <c r="P871" s="13" t="s">
        <v>16</v>
      </c>
      <c r="Q871" s="6" t="s">
        <v>4809</v>
      </c>
      <c r="R871" s="17" t="s">
        <v>4810</v>
      </c>
      <c r="S871" s="17" t="s">
        <v>6634</v>
      </c>
      <c r="T871" s="18">
        <v>21</v>
      </c>
      <c r="U871" s="18">
        <v>17</v>
      </c>
      <c r="V871" s="13" t="s">
        <v>4827</v>
      </c>
      <c r="X871" s="132">
        <v>863</v>
      </c>
      <c r="Y871" s="6"/>
    </row>
    <row r="872" spans="1:25" ht="15" customHeight="1" x14ac:dyDescent="0.2">
      <c r="A872" s="12" t="s">
        <v>7605</v>
      </c>
      <c r="B872" s="13" t="s">
        <v>4978</v>
      </c>
      <c r="C872" s="74">
        <v>46932</v>
      </c>
      <c r="D872" s="13" t="s">
        <v>33</v>
      </c>
      <c r="E872" s="6" t="s">
        <v>4804</v>
      </c>
      <c r="F872" s="15" t="s">
        <v>11938</v>
      </c>
      <c r="G872" s="6" t="s">
        <v>4806</v>
      </c>
      <c r="H872" s="6" t="s">
        <v>7546</v>
      </c>
      <c r="I872" s="13" t="s">
        <v>25</v>
      </c>
      <c r="J872" s="13">
        <v>3</v>
      </c>
      <c r="K872" s="13" t="s">
        <v>7547</v>
      </c>
      <c r="L872" s="6" t="s">
        <v>7554</v>
      </c>
      <c r="M872" s="108" t="s">
        <v>7548</v>
      </c>
      <c r="N872" s="13" t="s">
        <v>240</v>
      </c>
      <c r="O872" s="13" t="s">
        <v>519</v>
      </c>
      <c r="P872" s="13" t="s">
        <v>16</v>
      </c>
      <c r="Q872" s="6" t="s">
        <v>7549</v>
      </c>
      <c r="R872" s="17" t="s">
        <v>4810</v>
      </c>
      <c r="S872" s="17"/>
      <c r="T872" s="18">
        <v>23</v>
      </c>
      <c r="U872" s="18">
        <v>18</v>
      </c>
      <c r="V872" s="13" t="s">
        <v>7550</v>
      </c>
      <c r="X872" s="132">
        <v>864</v>
      </c>
      <c r="Y872" s="6"/>
    </row>
    <row r="873" spans="1:25" ht="15" customHeight="1" x14ac:dyDescent="0.2">
      <c r="A873" s="12" t="s">
        <v>4790</v>
      </c>
      <c r="B873" s="13" t="s">
        <v>4978</v>
      </c>
      <c r="C873" s="74">
        <v>46385</v>
      </c>
      <c r="D873" s="13" t="s">
        <v>33</v>
      </c>
      <c r="E873" s="6" t="s">
        <v>4811</v>
      </c>
      <c r="F873" s="15" t="s">
        <v>4812</v>
      </c>
      <c r="G873" s="6" t="s">
        <v>4813</v>
      </c>
      <c r="H873" s="147" t="s">
        <v>4813</v>
      </c>
      <c r="I873" s="13" t="s">
        <v>25</v>
      </c>
      <c r="J873" s="13">
        <v>3</v>
      </c>
      <c r="K873" s="13" t="s">
        <v>1714</v>
      </c>
      <c r="L873" s="6" t="s">
        <v>4814</v>
      </c>
      <c r="M873" s="108" t="s">
        <v>2648</v>
      </c>
      <c r="N873" s="13" t="s">
        <v>4815</v>
      </c>
      <c r="O873" s="13" t="s">
        <v>2146</v>
      </c>
      <c r="P873" s="13" t="s">
        <v>68</v>
      </c>
      <c r="Q873" s="6" t="s">
        <v>4816</v>
      </c>
      <c r="R873" s="17" t="s">
        <v>4817</v>
      </c>
      <c r="S873" s="17" t="s">
        <v>6639</v>
      </c>
      <c r="T873" s="18">
        <v>14</v>
      </c>
      <c r="U873" s="18">
        <v>13</v>
      </c>
      <c r="V873" s="13" t="s">
        <v>4829</v>
      </c>
      <c r="X873" s="132">
        <v>865</v>
      </c>
      <c r="Y873" s="6"/>
    </row>
    <row r="874" spans="1:25" ht="15" customHeight="1" x14ac:dyDescent="0.25">
      <c r="A874" s="12" t="s">
        <v>4791</v>
      </c>
      <c r="B874" s="13" t="s">
        <v>4977</v>
      </c>
      <c r="C874" s="14">
        <v>46445</v>
      </c>
      <c r="D874" s="13" t="s">
        <v>1533</v>
      </c>
      <c r="E874" s="6" t="s">
        <v>4821</v>
      </c>
      <c r="F874" s="15" t="s">
        <v>9368</v>
      </c>
      <c r="G874" s="6" t="s">
        <v>4818</v>
      </c>
      <c r="H874" s="6" t="s">
        <v>4818</v>
      </c>
      <c r="I874" s="13" t="s">
        <v>13</v>
      </c>
      <c r="J874" s="13">
        <v>8</v>
      </c>
      <c r="K874" s="13" t="s">
        <v>1714</v>
      </c>
      <c r="L874" s="6" t="s">
        <v>9369</v>
      </c>
      <c r="M874" s="108" t="s">
        <v>9370</v>
      </c>
      <c r="N874" s="13" t="s">
        <v>4819</v>
      </c>
      <c r="O874" s="13" t="s">
        <v>445</v>
      </c>
      <c r="P874" s="13" t="s">
        <v>16</v>
      </c>
      <c r="Q874" s="6" t="s">
        <v>9371</v>
      </c>
      <c r="R874" s="69" t="s">
        <v>9372</v>
      </c>
      <c r="S874" s="17" t="s">
        <v>4820</v>
      </c>
      <c r="T874" s="18">
        <v>120</v>
      </c>
      <c r="U874" s="18">
        <v>110</v>
      </c>
      <c r="V874" s="13" t="s">
        <v>4828</v>
      </c>
      <c r="X874" s="132">
        <v>866</v>
      </c>
      <c r="Y874" s="6"/>
    </row>
    <row r="875" spans="1:25" ht="15" customHeight="1" x14ac:dyDescent="0.2">
      <c r="A875" s="20" t="s">
        <v>4866</v>
      </c>
      <c r="B875" s="22" t="s">
        <v>2608</v>
      </c>
      <c r="C875" s="14">
        <v>45684</v>
      </c>
      <c r="D875" s="13" t="s">
        <v>1533</v>
      </c>
      <c r="E875" s="6" t="s">
        <v>4867</v>
      </c>
      <c r="F875" s="15" t="s">
        <v>4868</v>
      </c>
      <c r="G875" s="6" t="s">
        <v>4869</v>
      </c>
      <c r="H875" s="6" t="s">
        <v>4869</v>
      </c>
      <c r="I875" s="13" t="s">
        <v>39</v>
      </c>
      <c r="J875" s="13">
        <v>12</v>
      </c>
      <c r="K875" s="13" t="s">
        <v>1714</v>
      </c>
      <c r="L875" s="6" t="s">
        <v>4870</v>
      </c>
      <c r="M875" s="108" t="s">
        <v>4871</v>
      </c>
      <c r="N875" s="13" t="s">
        <v>2941</v>
      </c>
      <c r="O875" s="13" t="s">
        <v>15</v>
      </c>
      <c r="P875" s="13" t="s">
        <v>16</v>
      </c>
      <c r="Q875" s="6" t="s">
        <v>4872</v>
      </c>
      <c r="R875" s="17" t="s">
        <v>4873</v>
      </c>
      <c r="S875" s="62" t="s">
        <v>4874</v>
      </c>
      <c r="T875" s="18">
        <v>100</v>
      </c>
      <c r="U875" s="18">
        <v>50</v>
      </c>
      <c r="V875" s="13" t="s">
        <v>4875</v>
      </c>
      <c r="X875" s="132">
        <v>867</v>
      </c>
      <c r="Y875" s="6"/>
    </row>
    <row r="876" spans="1:25" ht="15" customHeight="1" x14ac:dyDescent="0.2">
      <c r="A876" s="12" t="s">
        <v>9197</v>
      </c>
      <c r="B876" s="13" t="s">
        <v>4977</v>
      </c>
      <c r="C876" s="14">
        <v>46705</v>
      </c>
      <c r="D876" s="13" t="s">
        <v>1533</v>
      </c>
      <c r="E876" s="6" t="s">
        <v>11684</v>
      </c>
      <c r="F876" s="15" t="s">
        <v>9198</v>
      </c>
      <c r="G876" s="6" t="s">
        <v>4876</v>
      </c>
      <c r="H876" s="6" t="s">
        <v>4876</v>
      </c>
      <c r="I876" s="13" t="s">
        <v>39</v>
      </c>
      <c r="J876" s="13">
        <v>12</v>
      </c>
      <c r="K876" s="13" t="s">
        <v>1714</v>
      </c>
      <c r="L876" s="6" t="s">
        <v>4877</v>
      </c>
      <c r="M876" s="108" t="s">
        <v>4878</v>
      </c>
      <c r="N876" s="13" t="s">
        <v>4879</v>
      </c>
      <c r="O876" s="13" t="s">
        <v>53</v>
      </c>
      <c r="P876" s="13" t="s">
        <v>54</v>
      </c>
      <c r="Q876" s="6" t="s">
        <v>4880</v>
      </c>
      <c r="R876" s="17" t="s">
        <v>4881</v>
      </c>
      <c r="S876" s="17" t="s">
        <v>4882</v>
      </c>
      <c r="T876" s="18">
        <v>838</v>
      </c>
      <c r="U876" s="18">
        <v>65</v>
      </c>
      <c r="V876" s="13" t="s">
        <v>4883</v>
      </c>
      <c r="X876" s="132">
        <v>868</v>
      </c>
      <c r="Y876" s="6"/>
    </row>
    <row r="877" spans="1:25" ht="15" customHeight="1" x14ac:dyDescent="0.2">
      <c r="A877" s="20" t="s">
        <v>6583</v>
      </c>
      <c r="B877" s="22" t="s">
        <v>2608</v>
      </c>
      <c r="C877" s="14">
        <v>46012</v>
      </c>
      <c r="D877" s="13" t="s">
        <v>1533</v>
      </c>
      <c r="E877" s="6" t="s">
        <v>11684</v>
      </c>
      <c r="F877" s="15" t="s">
        <v>6590</v>
      </c>
      <c r="G877" s="6" t="s">
        <v>4876</v>
      </c>
      <c r="H877" s="6" t="s">
        <v>4876</v>
      </c>
      <c r="I877" s="13" t="s">
        <v>39</v>
      </c>
      <c r="J877" s="13">
        <v>12</v>
      </c>
      <c r="K877" s="13" t="s">
        <v>1714</v>
      </c>
      <c r="L877" s="6" t="s">
        <v>4877</v>
      </c>
      <c r="M877" s="108" t="s">
        <v>4878</v>
      </c>
      <c r="N877" s="13" t="s">
        <v>4879</v>
      </c>
      <c r="O877" s="13" t="s">
        <v>53</v>
      </c>
      <c r="P877" s="13" t="s">
        <v>54</v>
      </c>
      <c r="Q877" s="6" t="s">
        <v>4880</v>
      </c>
      <c r="R877" s="17" t="s">
        <v>4881</v>
      </c>
      <c r="S877" s="17" t="s">
        <v>4882</v>
      </c>
      <c r="T877" s="18"/>
      <c r="U877" s="18"/>
      <c r="V877" s="13" t="s">
        <v>4883</v>
      </c>
      <c r="X877" s="132">
        <v>869</v>
      </c>
      <c r="Y877" s="6"/>
    </row>
    <row r="878" spans="1:25" ht="15" customHeight="1" x14ac:dyDescent="0.2">
      <c r="A878" s="20" t="s">
        <v>9195</v>
      </c>
      <c r="B878" s="22" t="s">
        <v>2608</v>
      </c>
      <c r="C878" s="14">
        <v>45684</v>
      </c>
      <c r="D878" s="13" t="s">
        <v>1533</v>
      </c>
      <c r="E878" s="63" t="s">
        <v>4886</v>
      </c>
      <c r="F878" s="15" t="s">
        <v>9196</v>
      </c>
      <c r="G878" s="6" t="s">
        <v>4887</v>
      </c>
      <c r="H878" s="6" t="s">
        <v>4887</v>
      </c>
      <c r="I878" s="13" t="s">
        <v>39</v>
      </c>
      <c r="J878" s="13">
        <v>12</v>
      </c>
      <c r="K878" s="13" t="s">
        <v>1714</v>
      </c>
      <c r="L878" s="6" t="s">
        <v>4888</v>
      </c>
      <c r="M878" s="108" t="s">
        <v>4889</v>
      </c>
      <c r="N878" s="13" t="s">
        <v>4890</v>
      </c>
      <c r="O878" s="13" t="s">
        <v>177</v>
      </c>
      <c r="P878" s="13" t="s">
        <v>9</v>
      </c>
      <c r="Q878" s="6" t="s">
        <v>4891</v>
      </c>
      <c r="R878" s="17" t="s">
        <v>4892</v>
      </c>
      <c r="S878" s="30" t="s">
        <v>4893</v>
      </c>
      <c r="T878" s="18">
        <v>130</v>
      </c>
      <c r="U878" s="18">
        <v>26</v>
      </c>
      <c r="V878" s="13" t="s">
        <v>4894</v>
      </c>
      <c r="X878" s="132">
        <v>870</v>
      </c>
      <c r="Y878" s="6"/>
    </row>
    <row r="879" spans="1:25" ht="15" customHeight="1" x14ac:dyDescent="0.25">
      <c r="A879" s="12" t="s">
        <v>8965</v>
      </c>
      <c r="B879" s="13" t="s">
        <v>4977</v>
      </c>
      <c r="C879" s="14">
        <v>46389</v>
      </c>
      <c r="D879" s="13" t="s">
        <v>1533</v>
      </c>
      <c r="E879" s="63" t="s">
        <v>4886</v>
      </c>
      <c r="F879" s="15" t="s">
        <v>9196</v>
      </c>
      <c r="G879" s="6" t="s">
        <v>4887</v>
      </c>
      <c r="H879" s="6" t="s">
        <v>4887</v>
      </c>
      <c r="I879" s="13" t="s">
        <v>13</v>
      </c>
      <c r="J879" s="13">
        <v>8</v>
      </c>
      <c r="K879" s="13" t="s">
        <v>1714</v>
      </c>
      <c r="L879" s="6" t="s">
        <v>8966</v>
      </c>
      <c r="M879" s="108" t="s">
        <v>8967</v>
      </c>
      <c r="N879" s="13" t="s">
        <v>8968</v>
      </c>
      <c r="O879" s="13" t="s">
        <v>177</v>
      </c>
      <c r="P879" s="13" t="s">
        <v>9</v>
      </c>
      <c r="Q879" s="6" t="s">
        <v>8969</v>
      </c>
      <c r="R879" s="69" t="s">
        <v>4892</v>
      </c>
      <c r="S879" s="30"/>
      <c r="T879" s="18">
        <v>60</v>
      </c>
      <c r="U879" s="18">
        <v>40</v>
      </c>
      <c r="V879" s="13" t="s">
        <v>8970</v>
      </c>
      <c r="X879" s="132">
        <v>871</v>
      </c>
      <c r="Y879" s="6"/>
    </row>
    <row r="880" spans="1:25" ht="15" customHeight="1" x14ac:dyDescent="0.2">
      <c r="A880" s="12" t="s">
        <v>10661</v>
      </c>
      <c r="B880" s="13" t="s">
        <v>4977</v>
      </c>
      <c r="C880" s="14">
        <v>46675</v>
      </c>
      <c r="D880" s="13" t="s">
        <v>1533</v>
      </c>
      <c r="E880" s="6" t="s">
        <v>4895</v>
      </c>
      <c r="F880" s="15" t="s">
        <v>4896</v>
      </c>
      <c r="G880" s="6" t="s">
        <v>4897</v>
      </c>
      <c r="H880" s="6" t="s">
        <v>4897</v>
      </c>
      <c r="I880" s="13" t="s">
        <v>13</v>
      </c>
      <c r="J880" s="13">
        <v>8</v>
      </c>
      <c r="K880" s="13" t="s">
        <v>1714</v>
      </c>
      <c r="L880" s="6" t="s">
        <v>4898</v>
      </c>
      <c r="M880" s="108" t="s">
        <v>10637</v>
      </c>
      <c r="N880" s="13" t="s">
        <v>10638</v>
      </c>
      <c r="O880" s="13" t="s">
        <v>48</v>
      </c>
      <c r="P880" s="13" t="s">
        <v>16</v>
      </c>
      <c r="Q880" s="6" t="s">
        <v>10639</v>
      </c>
      <c r="R880" s="17" t="s">
        <v>4899</v>
      </c>
      <c r="S880" s="30"/>
      <c r="T880" s="18">
        <v>150</v>
      </c>
      <c r="U880" s="18">
        <v>106</v>
      </c>
      <c r="V880" s="13" t="s">
        <v>4900</v>
      </c>
      <c r="X880" s="132">
        <v>872</v>
      </c>
      <c r="Y880" s="6"/>
    </row>
    <row r="881" spans="1:25" ht="15" customHeight="1" x14ac:dyDescent="0.25">
      <c r="A881" s="12" t="s">
        <v>10656</v>
      </c>
      <c r="B881" s="79" t="s">
        <v>4977</v>
      </c>
      <c r="C881" s="80">
        <v>46675</v>
      </c>
      <c r="D881" s="79" t="s">
        <v>1533</v>
      </c>
      <c r="E881" s="81" t="s">
        <v>4895</v>
      </c>
      <c r="F881" s="82" t="s">
        <v>10657</v>
      </c>
      <c r="G881" s="81" t="s">
        <v>4897</v>
      </c>
      <c r="H881" s="81" t="s">
        <v>4897</v>
      </c>
      <c r="I881" s="79" t="s">
        <v>39</v>
      </c>
      <c r="J881" s="79">
        <v>12</v>
      </c>
      <c r="K881" s="79" t="s">
        <v>7032</v>
      </c>
      <c r="L881" s="81" t="s">
        <v>4898</v>
      </c>
      <c r="M881" s="109" t="s">
        <v>10637</v>
      </c>
      <c r="N881" s="79" t="s">
        <v>10638</v>
      </c>
      <c r="O881" s="13" t="s">
        <v>48</v>
      </c>
      <c r="P881" s="13" t="s">
        <v>16</v>
      </c>
      <c r="Q881" s="81" t="s">
        <v>10639</v>
      </c>
      <c r="R881" s="69" t="s">
        <v>4899</v>
      </c>
      <c r="S881" s="84"/>
      <c r="T881" s="85">
        <v>150</v>
      </c>
      <c r="U881" s="85">
        <v>130</v>
      </c>
      <c r="V881" s="79" t="s">
        <v>4900</v>
      </c>
      <c r="W881" s="81"/>
      <c r="X881" s="132">
        <v>873</v>
      </c>
      <c r="Y881" s="6"/>
    </row>
    <row r="882" spans="1:25" ht="15" customHeight="1" x14ac:dyDescent="0.2">
      <c r="A882" s="12" t="s">
        <v>4901</v>
      </c>
      <c r="B882" s="13" t="s">
        <v>4978</v>
      </c>
      <c r="C882" s="74">
        <v>46414</v>
      </c>
      <c r="D882" s="13" t="s">
        <v>33</v>
      </c>
      <c r="E882" s="6" t="s">
        <v>4902</v>
      </c>
      <c r="F882" s="15" t="s">
        <v>4903</v>
      </c>
      <c r="G882" s="6" t="s">
        <v>4904</v>
      </c>
      <c r="H882" s="6" t="s">
        <v>4904</v>
      </c>
      <c r="I882" s="13" t="s">
        <v>25</v>
      </c>
      <c r="J882" s="13">
        <v>3</v>
      </c>
      <c r="K882" s="13" t="s">
        <v>1714</v>
      </c>
      <c r="L882" s="6" t="s">
        <v>4914</v>
      </c>
      <c r="M882" s="108" t="s">
        <v>4905</v>
      </c>
      <c r="N882" s="13" t="s">
        <v>4200</v>
      </c>
      <c r="O882" s="13" t="s">
        <v>2146</v>
      </c>
      <c r="P882" s="13" t="s">
        <v>68</v>
      </c>
      <c r="Q882" s="6" t="s">
        <v>4906</v>
      </c>
      <c r="R882" s="17" t="s">
        <v>4907</v>
      </c>
      <c r="S882" s="17" t="s">
        <v>4908</v>
      </c>
      <c r="T882" s="18">
        <v>11</v>
      </c>
      <c r="U882" s="18">
        <v>8</v>
      </c>
      <c r="V882" s="13" t="s">
        <v>4909</v>
      </c>
      <c r="X882" s="132">
        <v>874</v>
      </c>
      <c r="Y882" s="6"/>
    </row>
    <row r="883" spans="1:25" ht="15" customHeight="1" x14ac:dyDescent="0.2">
      <c r="A883" s="12" t="s">
        <v>4910</v>
      </c>
      <c r="B883" s="13" t="s">
        <v>4978</v>
      </c>
      <c r="C883" s="74">
        <v>46414</v>
      </c>
      <c r="D883" s="13" t="s">
        <v>33</v>
      </c>
      <c r="E883" s="6" t="s">
        <v>4911</v>
      </c>
      <c r="F883" s="15" t="s">
        <v>4912</v>
      </c>
      <c r="G883" s="6" t="s">
        <v>4913</v>
      </c>
      <c r="H883" s="6" t="s">
        <v>4913</v>
      </c>
      <c r="I883" s="13" t="s">
        <v>25</v>
      </c>
      <c r="J883" s="13">
        <v>3</v>
      </c>
      <c r="K883" s="13" t="s">
        <v>1714</v>
      </c>
      <c r="L883" s="6" t="s">
        <v>4915</v>
      </c>
      <c r="M883" s="108" t="s">
        <v>4916</v>
      </c>
      <c r="N883" s="13" t="s">
        <v>4917</v>
      </c>
      <c r="O883" s="13" t="s">
        <v>97</v>
      </c>
      <c r="P883" s="13" t="s">
        <v>4</v>
      </c>
      <c r="Q883" s="6" t="s">
        <v>4918</v>
      </c>
      <c r="R883" s="17" t="s">
        <v>4919</v>
      </c>
      <c r="S883" s="17" t="s">
        <v>4920</v>
      </c>
      <c r="T883" s="18">
        <v>10</v>
      </c>
      <c r="U883" s="18">
        <v>3</v>
      </c>
      <c r="V883" s="13" t="s">
        <v>4921</v>
      </c>
      <c r="X883" s="132">
        <v>875</v>
      </c>
      <c r="Y883" s="6"/>
    </row>
    <row r="884" spans="1:25" ht="15" customHeight="1" x14ac:dyDescent="0.2">
      <c r="A884" s="12" t="s">
        <v>9194</v>
      </c>
      <c r="B884" s="13" t="s">
        <v>4977</v>
      </c>
      <c r="C884" s="14">
        <v>46431</v>
      </c>
      <c r="D884" s="13" t="s">
        <v>33</v>
      </c>
      <c r="E884" s="6" t="s">
        <v>8861</v>
      </c>
      <c r="F884" s="15" t="s">
        <v>4927</v>
      </c>
      <c r="G884" s="6" t="s">
        <v>4928</v>
      </c>
      <c r="H884" s="6" t="s">
        <v>4928</v>
      </c>
      <c r="I884" s="13" t="s">
        <v>25</v>
      </c>
      <c r="J884" s="13">
        <v>3</v>
      </c>
      <c r="K884" s="13" t="s">
        <v>1714</v>
      </c>
      <c r="L884" s="6" t="s">
        <v>4929</v>
      </c>
      <c r="M884" s="108" t="s">
        <v>2886</v>
      </c>
      <c r="N884" s="13" t="s">
        <v>2887</v>
      </c>
      <c r="O884" s="13" t="s">
        <v>2146</v>
      </c>
      <c r="P884" s="13" t="s">
        <v>68</v>
      </c>
      <c r="Q884" s="6" t="s">
        <v>4930</v>
      </c>
      <c r="R884" s="17" t="s">
        <v>4931</v>
      </c>
      <c r="S884" s="17" t="s">
        <v>4932</v>
      </c>
      <c r="T884" s="18">
        <v>25</v>
      </c>
      <c r="U884" s="18">
        <v>22</v>
      </c>
      <c r="V884" s="13" t="s">
        <v>4933</v>
      </c>
      <c r="X884" s="132">
        <v>876</v>
      </c>
      <c r="Y884" s="6"/>
    </row>
    <row r="885" spans="1:25" ht="15" customHeight="1" x14ac:dyDescent="0.25">
      <c r="A885" s="12" t="s">
        <v>8856</v>
      </c>
      <c r="B885" s="13" t="s">
        <v>4977</v>
      </c>
      <c r="C885" s="14">
        <v>46374</v>
      </c>
      <c r="D885" s="13" t="s">
        <v>33</v>
      </c>
      <c r="E885" s="6" t="s">
        <v>8861</v>
      </c>
      <c r="F885" s="15" t="s">
        <v>9344</v>
      </c>
      <c r="G885" s="6" t="s">
        <v>8857</v>
      </c>
      <c r="H885" s="6" t="s">
        <v>8857</v>
      </c>
      <c r="I885" s="13" t="s">
        <v>25</v>
      </c>
      <c r="J885" s="13">
        <v>3</v>
      </c>
      <c r="K885" s="13" t="s">
        <v>1714</v>
      </c>
      <c r="L885" s="6" t="s">
        <v>8858</v>
      </c>
      <c r="M885" s="108" t="s">
        <v>2886</v>
      </c>
      <c r="N885" s="13" t="s">
        <v>2887</v>
      </c>
      <c r="O885" s="13" t="s">
        <v>2146</v>
      </c>
      <c r="P885" s="13" t="s">
        <v>68</v>
      </c>
      <c r="Q885" s="6" t="s">
        <v>8859</v>
      </c>
      <c r="R885" s="69" t="s">
        <v>4931</v>
      </c>
      <c r="S885" s="69" t="s">
        <v>4932</v>
      </c>
      <c r="T885" s="18">
        <v>24</v>
      </c>
      <c r="U885" s="18">
        <v>24</v>
      </c>
      <c r="V885" s="13" t="s">
        <v>8860</v>
      </c>
      <c r="X885" s="132">
        <v>877</v>
      </c>
      <c r="Y885" s="6"/>
    </row>
    <row r="886" spans="1:25" ht="15" customHeight="1" x14ac:dyDescent="0.25">
      <c r="A886" s="12" t="s">
        <v>10543</v>
      </c>
      <c r="B886" s="13" t="s">
        <v>4978</v>
      </c>
      <c r="C886" s="102">
        <v>47406</v>
      </c>
      <c r="D886" s="79" t="s">
        <v>33</v>
      </c>
      <c r="E886" s="81" t="s">
        <v>8861</v>
      </c>
      <c r="F886" s="82" t="s">
        <v>10544</v>
      </c>
      <c r="G886" s="81" t="s">
        <v>10545</v>
      </c>
      <c r="H886" s="81" t="s">
        <v>10545</v>
      </c>
      <c r="I886" s="79" t="s">
        <v>25</v>
      </c>
      <c r="J886" s="79">
        <v>3</v>
      </c>
      <c r="K886" s="79" t="s">
        <v>1714</v>
      </c>
      <c r="L886" s="81" t="s">
        <v>10546</v>
      </c>
      <c r="M886" s="109" t="s">
        <v>2129</v>
      </c>
      <c r="N886" s="79" t="s">
        <v>2161</v>
      </c>
      <c r="O886" s="13" t="s">
        <v>1889</v>
      </c>
      <c r="P886" s="13" t="s">
        <v>68</v>
      </c>
      <c r="Q886" s="81" t="s">
        <v>10547</v>
      </c>
      <c r="R886" s="69" t="s">
        <v>4931</v>
      </c>
      <c r="S886" s="84"/>
      <c r="T886" s="85">
        <v>30</v>
      </c>
      <c r="U886" s="85">
        <v>15</v>
      </c>
      <c r="V886" s="79" t="s">
        <v>8860</v>
      </c>
      <c r="W886" s="81"/>
      <c r="X886" s="132">
        <v>878</v>
      </c>
      <c r="Y886" s="6"/>
    </row>
    <row r="887" spans="1:25" ht="15" customHeight="1" x14ac:dyDescent="0.2">
      <c r="A887" s="12" t="s">
        <v>4934</v>
      </c>
      <c r="B887" s="13" t="s">
        <v>4978</v>
      </c>
      <c r="C887" s="74">
        <v>46414</v>
      </c>
      <c r="D887" s="13" t="s">
        <v>1533</v>
      </c>
      <c r="E887" s="6" t="s">
        <v>9193</v>
      </c>
      <c r="F887" s="15" t="s">
        <v>9192</v>
      </c>
      <c r="G887" s="6" t="s">
        <v>4935</v>
      </c>
      <c r="H887" s="6" t="s">
        <v>4935</v>
      </c>
      <c r="I887" s="13" t="s">
        <v>13</v>
      </c>
      <c r="J887" s="13">
        <v>7</v>
      </c>
      <c r="K887" s="13" t="s">
        <v>6603</v>
      </c>
      <c r="L887" s="6" t="s">
        <v>4936</v>
      </c>
      <c r="M887" s="108" t="s">
        <v>4937</v>
      </c>
      <c r="N887" s="13" t="s">
        <v>4879</v>
      </c>
      <c r="O887" s="13" t="s">
        <v>53</v>
      </c>
      <c r="P887" s="13" t="s">
        <v>54</v>
      </c>
      <c r="Q887" s="6" t="s">
        <v>4938</v>
      </c>
      <c r="R887" s="30" t="s">
        <v>4939</v>
      </c>
      <c r="S887" s="17" t="s">
        <v>4940</v>
      </c>
      <c r="T887" s="18">
        <v>139</v>
      </c>
      <c r="U887" s="18">
        <v>130</v>
      </c>
      <c r="V887" s="13" t="s">
        <v>4941</v>
      </c>
      <c r="X887" s="132">
        <v>879</v>
      </c>
      <c r="Y887" s="6"/>
    </row>
    <row r="888" spans="1:25" ht="15" customHeight="1" x14ac:dyDescent="0.2">
      <c r="A888" s="12" t="s">
        <v>4942</v>
      </c>
      <c r="B888" s="13" t="s">
        <v>4977</v>
      </c>
      <c r="C888" s="14">
        <v>46445</v>
      </c>
      <c r="D888" s="13" t="s">
        <v>1533</v>
      </c>
      <c r="E888" s="6" t="s">
        <v>9190</v>
      </c>
      <c r="F888" s="15" t="s">
        <v>9191</v>
      </c>
      <c r="G888" s="6" t="s">
        <v>4943</v>
      </c>
      <c r="H888" s="6" t="s">
        <v>4943</v>
      </c>
      <c r="I888" s="13" t="s">
        <v>13</v>
      </c>
      <c r="J888" s="13">
        <v>8</v>
      </c>
      <c r="K888" s="13" t="s">
        <v>1714</v>
      </c>
      <c r="L888" s="6" t="s">
        <v>4944</v>
      </c>
      <c r="M888" s="108" t="s">
        <v>4945</v>
      </c>
      <c r="N888" s="13" t="s">
        <v>4946</v>
      </c>
      <c r="O888" s="13" t="s">
        <v>165</v>
      </c>
      <c r="P888" s="13" t="s">
        <v>9</v>
      </c>
      <c r="Q888" s="6" t="s">
        <v>9408</v>
      </c>
      <c r="R888" s="17" t="s">
        <v>4948</v>
      </c>
      <c r="S888" s="17" t="s">
        <v>4947</v>
      </c>
      <c r="T888" s="18">
        <v>60</v>
      </c>
      <c r="U888" s="18">
        <v>59</v>
      </c>
      <c r="V888" s="13" t="s">
        <v>4949</v>
      </c>
      <c r="X888" s="132">
        <v>880</v>
      </c>
      <c r="Y888" s="6"/>
    </row>
    <row r="889" spans="1:25" ht="15" customHeight="1" x14ac:dyDescent="0.2">
      <c r="A889" s="12" t="s">
        <v>4950</v>
      </c>
      <c r="B889" s="13" t="s">
        <v>4978</v>
      </c>
      <c r="C889" s="74">
        <v>46414</v>
      </c>
      <c r="D889" s="13" t="s">
        <v>33</v>
      </c>
      <c r="E889" s="6" t="s">
        <v>4979</v>
      </c>
      <c r="F889" s="6" t="s">
        <v>9189</v>
      </c>
      <c r="G889" s="6" t="s">
        <v>4951</v>
      </c>
      <c r="H889" s="6" t="s">
        <v>4951</v>
      </c>
      <c r="I889" s="13" t="s">
        <v>25</v>
      </c>
      <c r="J889" s="13">
        <v>3</v>
      </c>
      <c r="K889" s="13" t="s">
        <v>1714</v>
      </c>
      <c r="L889" s="6" t="s">
        <v>4952</v>
      </c>
      <c r="M889" s="108" t="s">
        <v>4953</v>
      </c>
      <c r="N889" s="13" t="s">
        <v>2304</v>
      </c>
      <c r="O889" s="13" t="s">
        <v>36</v>
      </c>
      <c r="P889" s="13" t="s">
        <v>4</v>
      </c>
      <c r="Q889" s="6" t="s">
        <v>4954</v>
      </c>
      <c r="R889" s="17" t="s">
        <v>4955</v>
      </c>
      <c r="S889" s="17" t="s">
        <v>4956</v>
      </c>
      <c r="T889" s="18">
        <v>20</v>
      </c>
      <c r="U889" s="18">
        <v>17</v>
      </c>
      <c r="V889" s="13" t="s">
        <v>4957</v>
      </c>
      <c r="X889" s="132">
        <v>881</v>
      </c>
      <c r="Y889" s="6"/>
    </row>
    <row r="890" spans="1:25" ht="15" customHeight="1" x14ac:dyDescent="0.25">
      <c r="A890" s="12" t="s">
        <v>4958</v>
      </c>
      <c r="B890" s="13" t="s">
        <v>4978</v>
      </c>
      <c r="C890" s="74">
        <v>47209</v>
      </c>
      <c r="D890" s="13" t="s">
        <v>33</v>
      </c>
      <c r="E890" s="6" t="s">
        <v>4959</v>
      </c>
      <c r="F890" s="15" t="s">
        <v>9188</v>
      </c>
      <c r="G890" s="6" t="s">
        <v>4960</v>
      </c>
      <c r="H890" s="6" t="s">
        <v>4960</v>
      </c>
      <c r="I890" s="13" t="s">
        <v>25</v>
      </c>
      <c r="J890" s="13">
        <v>3</v>
      </c>
      <c r="K890" s="13" t="s">
        <v>1714</v>
      </c>
      <c r="L890" s="6" t="s">
        <v>9685</v>
      </c>
      <c r="M890" s="108" t="s">
        <v>4961</v>
      </c>
      <c r="N890" s="13" t="s">
        <v>3888</v>
      </c>
      <c r="O890" s="13" t="s">
        <v>53</v>
      </c>
      <c r="P890" s="13" t="s">
        <v>54</v>
      </c>
      <c r="Q890" s="6" t="s">
        <v>9645</v>
      </c>
      <c r="R890" s="69" t="s">
        <v>9646</v>
      </c>
      <c r="S890" s="17"/>
      <c r="T890" s="18">
        <v>22</v>
      </c>
      <c r="U890" s="18">
        <v>13</v>
      </c>
      <c r="V890" s="13" t="s">
        <v>4962</v>
      </c>
      <c r="X890" s="132">
        <v>882</v>
      </c>
      <c r="Y890" s="6"/>
    </row>
    <row r="891" spans="1:25" ht="15" customHeight="1" x14ac:dyDescent="0.2">
      <c r="A891" s="12" t="s">
        <v>4963</v>
      </c>
      <c r="B891" s="13" t="s">
        <v>4978</v>
      </c>
      <c r="C891" s="74">
        <v>46414</v>
      </c>
      <c r="D891" s="13" t="s">
        <v>33</v>
      </c>
      <c r="E891" s="6" t="s">
        <v>4964</v>
      </c>
      <c r="F891" s="6" t="s">
        <v>9187</v>
      </c>
      <c r="G891" s="6" t="s">
        <v>4965</v>
      </c>
      <c r="H891" s="6" t="s">
        <v>4965</v>
      </c>
      <c r="I891" s="13" t="s">
        <v>25</v>
      </c>
      <c r="J891" s="13">
        <v>3</v>
      </c>
      <c r="K891" s="13" t="s">
        <v>1714</v>
      </c>
      <c r="L891" s="6" t="s">
        <v>4966</v>
      </c>
      <c r="M891" s="108" t="s">
        <v>4967</v>
      </c>
      <c r="N891" s="13" t="s">
        <v>4968</v>
      </c>
      <c r="O891" s="13" t="s">
        <v>21</v>
      </c>
      <c r="P891" s="13" t="s">
        <v>9</v>
      </c>
      <c r="Q891" s="6" t="s">
        <v>4969</v>
      </c>
      <c r="R891" s="17" t="s">
        <v>4970</v>
      </c>
      <c r="S891" s="30" t="s">
        <v>4971</v>
      </c>
      <c r="T891" s="18">
        <v>18</v>
      </c>
      <c r="U891" s="18">
        <v>17</v>
      </c>
      <c r="V891" s="13" t="s">
        <v>4972</v>
      </c>
      <c r="X891" s="132">
        <v>883</v>
      </c>
      <c r="Y891" s="6"/>
    </row>
    <row r="892" spans="1:25" ht="15" customHeight="1" x14ac:dyDescent="0.2">
      <c r="A892" s="20" t="s">
        <v>4980</v>
      </c>
      <c r="B892" s="22" t="s">
        <v>2608</v>
      </c>
      <c r="C892" s="14">
        <v>45684</v>
      </c>
      <c r="D892" s="13" t="s">
        <v>1533</v>
      </c>
      <c r="E892" s="6" t="s">
        <v>4981</v>
      </c>
      <c r="F892" s="15" t="s">
        <v>9186</v>
      </c>
      <c r="G892" s="6" t="s">
        <v>4982</v>
      </c>
      <c r="H892" s="6" t="s">
        <v>4982</v>
      </c>
      <c r="I892" s="13" t="s">
        <v>39</v>
      </c>
      <c r="J892" s="13">
        <v>12</v>
      </c>
      <c r="K892" s="13" t="s">
        <v>1714</v>
      </c>
      <c r="L892" s="6" t="s">
        <v>4983</v>
      </c>
      <c r="M892" s="108" t="s">
        <v>4984</v>
      </c>
      <c r="N892" s="13" t="s">
        <v>4985</v>
      </c>
      <c r="O892" s="13" t="s">
        <v>61</v>
      </c>
      <c r="P892" s="13" t="s">
        <v>9</v>
      </c>
      <c r="Q892" s="6" t="s">
        <v>4986</v>
      </c>
      <c r="R892" s="30" t="s">
        <v>4987</v>
      </c>
      <c r="S892" s="17" t="s">
        <v>6634</v>
      </c>
      <c r="T892" s="18">
        <v>40</v>
      </c>
      <c r="U892" s="18">
        <v>30</v>
      </c>
      <c r="V892" s="13" t="s">
        <v>4988</v>
      </c>
      <c r="X892" s="132">
        <v>884</v>
      </c>
      <c r="Y892" s="6"/>
    </row>
    <row r="893" spans="1:25" ht="15" customHeight="1" x14ac:dyDescent="0.2">
      <c r="A893" s="12" t="s">
        <v>5011</v>
      </c>
      <c r="B893" s="13" t="s">
        <v>4978</v>
      </c>
      <c r="C893" s="74">
        <v>46446</v>
      </c>
      <c r="D893" s="13" t="s">
        <v>1533</v>
      </c>
      <c r="E893" s="6" t="s">
        <v>5012</v>
      </c>
      <c r="F893" s="15" t="s">
        <v>9185</v>
      </c>
      <c r="G893" s="63" t="s">
        <v>5013</v>
      </c>
      <c r="H893" s="63" t="s">
        <v>5013</v>
      </c>
      <c r="I893" s="13" t="s">
        <v>7931</v>
      </c>
      <c r="J893" s="13">
        <v>9</v>
      </c>
      <c r="K893" s="13" t="s">
        <v>6603</v>
      </c>
      <c r="L893" s="6" t="s">
        <v>5014</v>
      </c>
      <c r="M893" s="108" t="s">
        <v>5018</v>
      </c>
      <c r="N893" s="13" t="s">
        <v>445</v>
      </c>
      <c r="O893" s="13" t="s">
        <v>445</v>
      </c>
      <c r="P893" s="13" t="s">
        <v>16</v>
      </c>
      <c r="Q893" s="6" t="s">
        <v>5023</v>
      </c>
      <c r="R893" s="30" t="s">
        <v>5015</v>
      </c>
      <c r="S893" s="17" t="s">
        <v>5016</v>
      </c>
      <c r="T893" s="18">
        <v>36</v>
      </c>
      <c r="U893" s="18">
        <v>21</v>
      </c>
      <c r="V893" s="13" t="s">
        <v>5017</v>
      </c>
      <c r="X893" s="132">
        <v>885</v>
      </c>
      <c r="Y893" s="6"/>
    </row>
    <row r="894" spans="1:25" ht="15" customHeight="1" x14ac:dyDescent="0.2">
      <c r="A894" s="12" t="s">
        <v>5019</v>
      </c>
      <c r="B894" s="13" t="s">
        <v>4978</v>
      </c>
      <c r="C894" s="74">
        <v>46446</v>
      </c>
      <c r="D894" s="13" t="s">
        <v>33</v>
      </c>
      <c r="E894" s="6" t="s">
        <v>5020</v>
      </c>
      <c r="F894" s="6" t="s">
        <v>9184</v>
      </c>
      <c r="G894" s="6" t="s">
        <v>5021</v>
      </c>
      <c r="H894" s="6" t="s">
        <v>5021</v>
      </c>
      <c r="I894" s="13" t="s">
        <v>25</v>
      </c>
      <c r="J894" s="13">
        <v>3</v>
      </c>
      <c r="K894" s="13" t="s">
        <v>1714</v>
      </c>
      <c r="L894" s="6" t="s">
        <v>5022</v>
      </c>
      <c r="M894" s="108" t="s">
        <v>4995</v>
      </c>
      <c r="N894" s="13" t="s">
        <v>2229</v>
      </c>
      <c r="O894" s="13" t="s">
        <v>36</v>
      </c>
      <c r="P894" s="13" t="s">
        <v>4</v>
      </c>
      <c r="Q894" s="6" t="s">
        <v>5024</v>
      </c>
      <c r="R894" s="17" t="s">
        <v>1159</v>
      </c>
      <c r="S894" s="17" t="s">
        <v>4997</v>
      </c>
      <c r="T894" s="18">
        <v>22</v>
      </c>
      <c r="U894" s="18">
        <v>13</v>
      </c>
      <c r="V894" s="13" t="s">
        <v>4998</v>
      </c>
      <c r="X894" s="132">
        <v>886</v>
      </c>
      <c r="Y894" s="6"/>
    </row>
    <row r="895" spans="1:25" ht="15" customHeight="1" x14ac:dyDescent="0.2">
      <c r="A895" s="12" t="s">
        <v>5025</v>
      </c>
      <c r="B895" s="13" t="s">
        <v>4978</v>
      </c>
      <c r="C895" s="74">
        <v>46446</v>
      </c>
      <c r="D895" s="13" t="s">
        <v>1533</v>
      </c>
      <c r="E895" s="6" t="s">
        <v>5027</v>
      </c>
      <c r="F895" s="15" t="s">
        <v>11939</v>
      </c>
      <c r="G895" s="6" t="s">
        <v>5026</v>
      </c>
      <c r="H895" s="6" t="s">
        <v>5026</v>
      </c>
      <c r="I895" s="13" t="s">
        <v>13</v>
      </c>
      <c r="J895" s="13">
        <v>7</v>
      </c>
      <c r="K895" s="13" t="s">
        <v>6603</v>
      </c>
      <c r="L895" s="6" t="s">
        <v>5028</v>
      </c>
      <c r="M895" s="108" t="s">
        <v>5029</v>
      </c>
      <c r="N895" s="13" t="s">
        <v>5030</v>
      </c>
      <c r="O895" s="13" t="s">
        <v>240</v>
      </c>
      <c r="P895" s="13" t="s">
        <v>16</v>
      </c>
      <c r="Q895" s="6" t="s">
        <v>5031</v>
      </c>
      <c r="R895" s="30" t="s">
        <v>5032</v>
      </c>
      <c r="S895" s="17" t="s">
        <v>5033</v>
      </c>
      <c r="T895" s="18">
        <v>100</v>
      </c>
      <c r="U895" s="18">
        <v>128</v>
      </c>
      <c r="V895" s="13" t="s">
        <v>5034</v>
      </c>
      <c r="X895" s="132">
        <v>887</v>
      </c>
      <c r="Y895" s="6"/>
    </row>
    <row r="896" spans="1:25" ht="15" customHeight="1" x14ac:dyDescent="0.2">
      <c r="A896" s="12" t="s">
        <v>5035</v>
      </c>
      <c r="B896" s="13" t="s">
        <v>4978</v>
      </c>
      <c r="C896" s="74">
        <v>46446</v>
      </c>
      <c r="D896" s="13" t="s">
        <v>33</v>
      </c>
      <c r="E896" s="6" t="s">
        <v>5036</v>
      </c>
      <c r="F896" s="15" t="s">
        <v>9183</v>
      </c>
      <c r="G896" s="6" t="s">
        <v>5037</v>
      </c>
      <c r="H896" s="6" t="s">
        <v>5037</v>
      </c>
      <c r="I896" s="13" t="s">
        <v>25</v>
      </c>
      <c r="J896" s="13">
        <v>3</v>
      </c>
      <c r="K896" s="13" t="s">
        <v>1714</v>
      </c>
      <c r="L896" s="6" t="s">
        <v>5038</v>
      </c>
      <c r="M896" s="108" t="s">
        <v>5039</v>
      </c>
      <c r="N896" s="13" t="s">
        <v>5040</v>
      </c>
      <c r="O896" s="13" t="s">
        <v>293</v>
      </c>
      <c r="P896" s="13" t="s">
        <v>16</v>
      </c>
      <c r="Q896" s="6" t="s">
        <v>5041</v>
      </c>
      <c r="R896" s="17" t="s">
        <v>5042</v>
      </c>
      <c r="S896" s="17" t="s">
        <v>6634</v>
      </c>
      <c r="T896" s="18">
        <v>32</v>
      </c>
      <c r="U896" s="18">
        <v>27</v>
      </c>
      <c r="V896" s="13" t="s">
        <v>5043</v>
      </c>
      <c r="X896" s="132">
        <v>888</v>
      </c>
      <c r="Y896" s="6"/>
    </row>
    <row r="897" spans="1:25" ht="15" customHeight="1" x14ac:dyDescent="0.2">
      <c r="A897" s="12" t="s">
        <v>5050</v>
      </c>
      <c r="B897" s="13" t="s">
        <v>4978</v>
      </c>
      <c r="C897" s="74">
        <v>46446</v>
      </c>
      <c r="D897" s="13" t="s">
        <v>33</v>
      </c>
      <c r="E897" s="6" t="s">
        <v>5051</v>
      </c>
      <c r="G897" s="6" t="s">
        <v>5052</v>
      </c>
      <c r="H897" s="6" t="s">
        <v>5052</v>
      </c>
      <c r="I897" s="13" t="s">
        <v>25</v>
      </c>
      <c r="J897" s="13">
        <v>3</v>
      </c>
      <c r="K897" s="13" t="s">
        <v>1714</v>
      </c>
      <c r="L897" s="6" t="s">
        <v>5054</v>
      </c>
      <c r="M897" s="108" t="s">
        <v>5053</v>
      </c>
      <c r="N897" s="13" t="s">
        <v>2483</v>
      </c>
      <c r="O897" s="13" t="s">
        <v>172</v>
      </c>
      <c r="P897" s="13" t="s">
        <v>9</v>
      </c>
      <c r="Q897" s="6" t="s">
        <v>5055</v>
      </c>
      <c r="R897" s="17" t="s">
        <v>5056</v>
      </c>
      <c r="S897" s="17" t="s">
        <v>6639</v>
      </c>
      <c r="T897" s="18">
        <v>21</v>
      </c>
      <c r="U897" s="18">
        <v>18</v>
      </c>
      <c r="V897" s="13" t="s">
        <v>5057</v>
      </c>
      <c r="X897" s="132">
        <v>889</v>
      </c>
      <c r="Y897" s="6"/>
    </row>
    <row r="898" spans="1:25" ht="15" customHeight="1" x14ac:dyDescent="0.2">
      <c r="A898" s="12" t="s">
        <v>5073</v>
      </c>
      <c r="B898" s="13" t="s">
        <v>4978</v>
      </c>
      <c r="C898" s="74">
        <v>46477</v>
      </c>
      <c r="D898" s="13" t="s">
        <v>33</v>
      </c>
      <c r="E898" s="6" t="s">
        <v>5079</v>
      </c>
      <c r="F898" s="6" t="s">
        <v>9182</v>
      </c>
      <c r="G898" s="6" t="s">
        <v>5084</v>
      </c>
      <c r="H898" s="6" t="s">
        <v>5084</v>
      </c>
      <c r="I898" s="13" t="s">
        <v>25</v>
      </c>
      <c r="J898" s="13">
        <v>3</v>
      </c>
      <c r="K898" s="13" t="s">
        <v>1714</v>
      </c>
      <c r="L898" s="6" t="s">
        <v>5085</v>
      </c>
      <c r="M898" s="108" t="s">
        <v>5086</v>
      </c>
      <c r="N898" s="13" t="s">
        <v>5087</v>
      </c>
      <c r="O898" s="13" t="s">
        <v>1055</v>
      </c>
      <c r="P898" s="13" t="s">
        <v>16</v>
      </c>
      <c r="Q898" s="6" t="s">
        <v>5088</v>
      </c>
      <c r="R898" s="30" t="s">
        <v>5089</v>
      </c>
      <c r="S898" s="17" t="s">
        <v>6634</v>
      </c>
      <c r="T898" s="18">
        <v>16</v>
      </c>
      <c r="U898" s="18">
        <v>13</v>
      </c>
      <c r="V898" s="13" t="s">
        <v>5133</v>
      </c>
      <c r="X898" s="132">
        <v>890</v>
      </c>
      <c r="Y898" s="6"/>
    </row>
    <row r="899" spans="1:25" ht="15" customHeight="1" x14ac:dyDescent="0.2">
      <c r="A899" s="12" t="s">
        <v>5074</v>
      </c>
      <c r="B899" s="13" t="s">
        <v>4978</v>
      </c>
      <c r="C899" s="74">
        <v>46477</v>
      </c>
      <c r="D899" s="13" t="s">
        <v>33</v>
      </c>
      <c r="E899" s="6" t="s">
        <v>5080</v>
      </c>
      <c r="F899" s="15" t="s">
        <v>7132</v>
      </c>
      <c r="G899" s="6" t="s">
        <v>5127</v>
      </c>
      <c r="H899" s="6" t="s">
        <v>5128</v>
      </c>
      <c r="I899" s="13" t="s">
        <v>25</v>
      </c>
      <c r="J899" s="13">
        <v>3</v>
      </c>
      <c r="K899" s="13" t="s">
        <v>1714</v>
      </c>
      <c r="L899" s="6" t="s">
        <v>5130</v>
      </c>
      <c r="M899" s="108" t="s">
        <v>5129</v>
      </c>
      <c r="N899" s="13" t="s">
        <v>5131</v>
      </c>
      <c r="O899" s="13" t="s">
        <v>240</v>
      </c>
      <c r="P899" s="13" t="s">
        <v>16</v>
      </c>
      <c r="Q899" s="6" t="s">
        <v>5164</v>
      </c>
      <c r="R899" s="30" t="s">
        <v>5165</v>
      </c>
      <c r="S899" s="17" t="s">
        <v>6691</v>
      </c>
      <c r="T899" s="18">
        <v>20</v>
      </c>
      <c r="U899" s="18">
        <v>6</v>
      </c>
      <c r="V899" s="13" t="s">
        <v>5132</v>
      </c>
      <c r="X899" s="132">
        <v>891</v>
      </c>
      <c r="Y899" s="6"/>
    </row>
    <row r="900" spans="1:25" ht="15" customHeight="1" x14ac:dyDescent="0.2">
      <c r="A900" s="19" t="s">
        <v>5075</v>
      </c>
      <c r="B900" s="13" t="s">
        <v>4978</v>
      </c>
      <c r="C900" s="74">
        <v>47253</v>
      </c>
      <c r="D900" s="13" t="s">
        <v>33</v>
      </c>
      <c r="E900" s="6" t="s">
        <v>9887</v>
      </c>
      <c r="F900" s="15" t="s">
        <v>9886</v>
      </c>
      <c r="G900" s="6" t="s">
        <v>5134</v>
      </c>
      <c r="H900" s="6" t="s">
        <v>5134</v>
      </c>
      <c r="I900" s="13" t="s">
        <v>25</v>
      </c>
      <c r="J900" s="13">
        <v>3</v>
      </c>
      <c r="K900" s="13" t="s">
        <v>1714</v>
      </c>
      <c r="L900" s="6" t="s">
        <v>5135</v>
      </c>
      <c r="M900" s="108" t="s">
        <v>5136</v>
      </c>
      <c r="N900" s="13" t="s">
        <v>5137</v>
      </c>
      <c r="O900" s="13" t="s">
        <v>1847</v>
      </c>
      <c r="P900" s="13" t="s">
        <v>68</v>
      </c>
      <c r="Q900" s="6" t="s">
        <v>5138</v>
      </c>
      <c r="R900" s="17" t="s">
        <v>5139</v>
      </c>
      <c r="S900" s="17" t="s">
        <v>5140</v>
      </c>
      <c r="T900" s="18">
        <v>11</v>
      </c>
      <c r="U900" s="18">
        <v>11</v>
      </c>
      <c r="V900" s="13" t="s">
        <v>5141</v>
      </c>
      <c r="X900" s="132">
        <v>892</v>
      </c>
      <c r="Y900" s="6"/>
    </row>
    <row r="901" spans="1:25" ht="15" customHeight="1" x14ac:dyDescent="0.2">
      <c r="A901" s="12" t="s">
        <v>5076</v>
      </c>
      <c r="B901" s="13" t="s">
        <v>4978</v>
      </c>
      <c r="C901" s="74">
        <v>46477</v>
      </c>
      <c r="D901" s="13" t="s">
        <v>33</v>
      </c>
      <c r="E901" s="6" t="s">
        <v>5081</v>
      </c>
      <c r="F901" s="15" t="s">
        <v>9181</v>
      </c>
      <c r="G901" s="6" t="s">
        <v>5145</v>
      </c>
      <c r="H901" s="6" t="s">
        <v>5145</v>
      </c>
      <c r="I901" s="13" t="s">
        <v>25</v>
      </c>
      <c r="J901" s="13">
        <v>3</v>
      </c>
      <c r="K901" s="13" t="s">
        <v>1714</v>
      </c>
      <c r="L901" s="6" t="s">
        <v>5146</v>
      </c>
      <c r="M901" s="108" t="s">
        <v>5147</v>
      </c>
      <c r="N901" s="13" t="s">
        <v>5148</v>
      </c>
      <c r="O901" s="13" t="s">
        <v>21</v>
      </c>
      <c r="P901" s="13" t="s">
        <v>9</v>
      </c>
      <c r="Q901" s="6" t="s">
        <v>5149</v>
      </c>
      <c r="R901" s="17" t="s">
        <v>5150</v>
      </c>
      <c r="S901" s="17" t="s">
        <v>6634</v>
      </c>
      <c r="T901" s="18">
        <v>18</v>
      </c>
      <c r="U901" s="18">
        <v>16</v>
      </c>
      <c r="V901" s="13" t="s">
        <v>5142</v>
      </c>
      <c r="X901" s="132">
        <v>893</v>
      </c>
      <c r="Y901" s="6"/>
    </row>
    <row r="902" spans="1:25" ht="15" customHeight="1" x14ac:dyDescent="0.2">
      <c r="A902" s="12" t="s">
        <v>5077</v>
      </c>
      <c r="B902" s="13" t="s">
        <v>4978</v>
      </c>
      <c r="C902" s="74">
        <v>46477</v>
      </c>
      <c r="D902" s="13" t="s">
        <v>33</v>
      </c>
      <c r="E902" s="6" t="s">
        <v>5082</v>
      </c>
      <c r="F902" s="15" t="s">
        <v>9180</v>
      </c>
      <c r="G902" s="6" t="s">
        <v>5151</v>
      </c>
      <c r="H902" s="6" t="s">
        <v>5152</v>
      </c>
      <c r="I902" s="13" t="s">
        <v>25</v>
      </c>
      <c r="J902" s="13">
        <v>3</v>
      </c>
      <c r="K902" s="13" t="s">
        <v>1714</v>
      </c>
      <c r="L902" s="6" t="s">
        <v>5153</v>
      </c>
      <c r="M902" s="108" t="s">
        <v>5154</v>
      </c>
      <c r="N902" s="13" t="s">
        <v>2340</v>
      </c>
      <c r="O902" s="13" t="s">
        <v>1055</v>
      </c>
      <c r="P902" s="13" t="s">
        <v>16</v>
      </c>
      <c r="Q902" s="6" t="s">
        <v>5155</v>
      </c>
      <c r="R902" s="17" t="s">
        <v>5156</v>
      </c>
      <c r="S902" s="17" t="s">
        <v>5157</v>
      </c>
      <c r="T902" s="18">
        <v>26</v>
      </c>
      <c r="U902" s="18">
        <v>26</v>
      </c>
      <c r="V902" s="13" t="s">
        <v>5143</v>
      </c>
      <c r="X902" s="132">
        <v>894</v>
      </c>
      <c r="Y902" s="6"/>
    </row>
    <row r="903" spans="1:25" ht="15" customHeight="1" x14ac:dyDescent="0.2">
      <c r="A903" s="12" t="s">
        <v>5078</v>
      </c>
      <c r="B903" s="13" t="s">
        <v>4978</v>
      </c>
      <c r="C903" s="74">
        <v>46477</v>
      </c>
      <c r="D903" s="13" t="s">
        <v>33</v>
      </c>
      <c r="E903" s="6" t="s">
        <v>5083</v>
      </c>
      <c r="F903" s="15" t="s">
        <v>9179</v>
      </c>
      <c r="G903" s="6" t="s">
        <v>5158</v>
      </c>
      <c r="H903" s="6" t="s">
        <v>5159</v>
      </c>
      <c r="I903" s="13" t="s">
        <v>25</v>
      </c>
      <c r="J903" s="13">
        <v>3</v>
      </c>
      <c r="K903" s="13" t="s">
        <v>1714</v>
      </c>
      <c r="L903" s="6" t="s">
        <v>5160</v>
      </c>
      <c r="M903" s="108" t="s">
        <v>5161</v>
      </c>
      <c r="N903" s="13" t="s">
        <v>5162</v>
      </c>
      <c r="O903" s="13" t="s">
        <v>8</v>
      </c>
      <c r="P903" s="13" t="s">
        <v>9</v>
      </c>
      <c r="Q903" s="6" t="s">
        <v>5163</v>
      </c>
      <c r="R903" s="17" t="s">
        <v>5166</v>
      </c>
      <c r="S903" s="17" t="s">
        <v>6692</v>
      </c>
      <c r="T903" s="18">
        <v>13</v>
      </c>
      <c r="U903" s="18">
        <v>10</v>
      </c>
      <c r="V903" s="13" t="s">
        <v>5144</v>
      </c>
      <c r="X903" s="132">
        <v>895</v>
      </c>
      <c r="Y903" s="6"/>
    </row>
    <row r="904" spans="1:25" ht="15" customHeight="1" x14ac:dyDescent="0.2">
      <c r="A904" s="12" t="s">
        <v>5196</v>
      </c>
      <c r="B904" s="13" t="s">
        <v>4978</v>
      </c>
      <c r="C904" s="74">
        <v>46505</v>
      </c>
      <c r="D904" s="13" t="s">
        <v>33</v>
      </c>
      <c r="E904" s="6" t="s">
        <v>5201</v>
      </c>
      <c r="F904" s="15" t="s">
        <v>9178</v>
      </c>
      <c r="G904" s="6" t="s">
        <v>5202</v>
      </c>
      <c r="H904" s="6" t="s">
        <v>5202</v>
      </c>
      <c r="I904" s="13" t="s">
        <v>25</v>
      </c>
      <c r="J904" s="13">
        <v>3</v>
      </c>
      <c r="K904" s="13" t="s">
        <v>1714</v>
      </c>
      <c r="L904" s="6" t="s">
        <v>5203</v>
      </c>
      <c r="M904" s="108" t="s">
        <v>5204</v>
      </c>
      <c r="N904" s="13" t="s">
        <v>5205</v>
      </c>
      <c r="O904" s="13" t="s">
        <v>445</v>
      </c>
      <c r="P904" s="13" t="s">
        <v>16</v>
      </c>
      <c r="Q904" s="6" t="s">
        <v>3786</v>
      </c>
      <c r="R904" s="17" t="s">
        <v>1959</v>
      </c>
      <c r="S904" s="17" t="s">
        <v>6631</v>
      </c>
      <c r="T904" s="18">
        <v>46</v>
      </c>
      <c r="U904" s="18">
        <v>46</v>
      </c>
      <c r="V904" s="13" t="s">
        <v>5206</v>
      </c>
      <c r="X904" s="132">
        <v>896</v>
      </c>
      <c r="Y904" s="6"/>
    </row>
    <row r="905" spans="1:25" ht="15" customHeight="1" x14ac:dyDescent="0.2">
      <c r="A905" s="12" t="s">
        <v>5197</v>
      </c>
      <c r="B905" s="13" t="s">
        <v>4978</v>
      </c>
      <c r="C905" s="74">
        <v>46505</v>
      </c>
      <c r="D905" s="13" t="s">
        <v>33</v>
      </c>
      <c r="E905" s="6" t="s">
        <v>5208</v>
      </c>
      <c r="F905" s="15" t="s">
        <v>9177</v>
      </c>
      <c r="G905" s="6" t="s">
        <v>5207</v>
      </c>
      <c r="H905" s="6" t="s">
        <v>5207</v>
      </c>
      <c r="I905" s="13" t="s">
        <v>25</v>
      </c>
      <c r="J905" s="13">
        <v>3</v>
      </c>
      <c r="K905" s="13" t="s">
        <v>1714</v>
      </c>
      <c r="L905" s="6" t="s">
        <v>5209</v>
      </c>
      <c r="M905" s="108" t="s">
        <v>5210</v>
      </c>
      <c r="N905" s="13" t="s">
        <v>5211</v>
      </c>
      <c r="O905" s="13" t="s">
        <v>1847</v>
      </c>
      <c r="P905" s="13" t="s">
        <v>68</v>
      </c>
      <c r="Q905" s="6" t="s">
        <v>5212</v>
      </c>
      <c r="R905" s="30" t="s">
        <v>5214</v>
      </c>
      <c r="S905" s="17" t="s">
        <v>6645</v>
      </c>
      <c r="T905" s="18">
        <v>12</v>
      </c>
      <c r="U905" s="18">
        <v>11</v>
      </c>
      <c r="V905" s="13" t="s">
        <v>5213</v>
      </c>
      <c r="X905" s="132">
        <v>897</v>
      </c>
      <c r="Y905" s="6"/>
    </row>
    <row r="906" spans="1:25" ht="15" customHeight="1" x14ac:dyDescent="0.2">
      <c r="A906" s="12" t="s">
        <v>5198</v>
      </c>
      <c r="B906" s="13" t="s">
        <v>4978</v>
      </c>
      <c r="C906" s="74">
        <v>46505</v>
      </c>
      <c r="D906" s="13" t="s">
        <v>33</v>
      </c>
      <c r="E906" s="6" t="s">
        <v>5218</v>
      </c>
      <c r="F906" s="15" t="s">
        <v>9176</v>
      </c>
      <c r="G906" s="6" t="s">
        <v>5217</v>
      </c>
      <c r="H906" s="6" t="s">
        <v>5217</v>
      </c>
      <c r="I906" s="13" t="s">
        <v>25</v>
      </c>
      <c r="J906" s="13">
        <v>3</v>
      </c>
      <c r="K906" s="13" t="s">
        <v>1714</v>
      </c>
      <c r="L906" s="6" t="s">
        <v>5219</v>
      </c>
      <c r="M906" s="108" t="s">
        <v>5220</v>
      </c>
      <c r="N906" s="13" t="s">
        <v>2349</v>
      </c>
      <c r="O906" s="13" t="s">
        <v>97</v>
      </c>
      <c r="P906" s="13" t="s">
        <v>4</v>
      </c>
      <c r="Q906" s="6" t="s">
        <v>5221</v>
      </c>
      <c r="R906" s="30" t="s">
        <v>5249</v>
      </c>
      <c r="S906" s="17" t="s">
        <v>6646</v>
      </c>
      <c r="T906" s="18">
        <v>18</v>
      </c>
      <c r="U906" s="18">
        <v>12</v>
      </c>
      <c r="V906" s="13" t="s">
        <v>5222</v>
      </c>
      <c r="X906" s="132">
        <v>898</v>
      </c>
      <c r="Y906" s="6"/>
    </row>
    <row r="907" spans="1:25" ht="15" customHeight="1" x14ac:dyDescent="0.2">
      <c r="A907" s="12" t="s">
        <v>5199</v>
      </c>
      <c r="B907" s="13" t="s">
        <v>4978</v>
      </c>
      <c r="C907" s="74">
        <v>46505</v>
      </c>
      <c r="D907" s="13" t="s">
        <v>33</v>
      </c>
      <c r="E907" s="6" t="s">
        <v>5223</v>
      </c>
      <c r="F907" s="15" t="s">
        <v>722</v>
      </c>
      <c r="G907" s="6" t="s">
        <v>5225</v>
      </c>
      <c r="H907" s="6" t="s">
        <v>5225</v>
      </c>
      <c r="I907" s="13" t="s">
        <v>25</v>
      </c>
      <c r="J907" s="13">
        <v>3</v>
      </c>
      <c r="K907" s="13" t="s">
        <v>1714</v>
      </c>
      <c r="L907" s="6" t="s">
        <v>5226</v>
      </c>
      <c r="M907" s="108" t="s">
        <v>5227</v>
      </c>
      <c r="N907" s="13" t="s">
        <v>2483</v>
      </c>
      <c r="O907" s="13" t="s">
        <v>172</v>
      </c>
      <c r="P907" s="13" t="s">
        <v>9</v>
      </c>
      <c r="Q907" s="6" t="s">
        <v>5228</v>
      </c>
      <c r="R907" s="17" t="s">
        <v>5229</v>
      </c>
      <c r="S907" s="17" t="s">
        <v>6645</v>
      </c>
      <c r="T907" s="18">
        <v>34</v>
      </c>
      <c r="U907" s="18">
        <v>25</v>
      </c>
      <c r="V907" s="13" t="s">
        <v>5224</v>
      </c>
      <c r="X907" s="132">
        <v>899</v>
      </c>
      <c r="Y907" s="6"/>
    </row>
    <row r="908" spans="1:25" ht="15" customHeight="1" x14ac:dyDescent="0.25">
      <c r="A908" s="12" t="s">
        <v>5200</v>
      </c>
      <c r="B908" s="13" t="s">
        <v>4977</v>
      </c>
      <c r="C908" s="14">
        <v>46492</v>
      </c>
      <c r="D908" s="13" t="s">
        <v>1533</v>
      </c>
      <c r="E908" s="6" t="s">
        <v>5215</v>
      </c>
      <c r="F908" s="15" t="s">
        <v>9751</v>
      </c>
      <c r="G908" s="6" t="s">
        <v>5216</v>
      </c>
      <c r="H908" s="6" t="s">
        <v>5216</v>
      </c>
      <c r="I908" s="13" t="s">
        <v>39</v>
      </c>
      <c r="J908" s="13">
        <v>12</v>
      </c>
      <c r="K908" s="13" t="s">
        <v>1714</v>
      </c>
      <c r="L908" s="6" t="s">
        <v>9755</v>
      </c>
      <c r="M908" s="108" t="s">
        <v>9752</v>
      </c>
      <c r="N908" s="13" t="s">
        <v>2169</v>
      </c>
      <c r="O908" s="13" t="s">
        <v>8</v>
      </c>
      <c r="P908" s="13" t="s">
        <v>9</v>
      </c>
      <c r="Q908" s="6" t="s">
        <v>9753</v>
      </c>
      <c r="R908" s="17" t="s">
        <v>5255</v>
      </c>
      <c r="S908" s="69" t="s">
        <v>9754</v>
      </c>
      <c r="T908" s="18">
        <v>50</v>
      </c>
      <c r="U908" s="18">
        <v>40</v>
      </c>
      <c r="V908" s="13" t="s">
        <v>5256</v>
      </c>
      <c r="X908" s="132">
        <v>900</v>
      </c>
      <c r="Y908" s="6"/>
    </row>
    <row r="909" spans="1:25" ht="15" customHeight="1" x14ac:dyDescent="0.25">
      <c r="A909" s="12" t="s">
        <v>5236</v>
      </c>
      <c r="B909" s="13" t="s">
        <v>4978</v>
      </c>
      <c r="C909" s="74">
        <v>47436</v>
      </c>
      <c r="D909" s="13" t="s">
        <v>33</v>
      </c>
      <c r="E909" s="6" t="s">
        <v>5237</v>
      </c>
      <c r="F909" s="15" t="s">
        <v>10931</v>
      </c>
      <c r="G909" s="6" t="s">
        <v>5238</v>
      </c>
      <c r="H909" s="6" t="s">
        <v>5238</v>
      </c>
      <c r="I909" s="13" t="s">
        <v>25</v>
      </c>
      <c r="J909" s="13">
        <v>3</v>
      </c>
      <c r="K909" s="13" t="s">
        <v>1714</v>
      </c>
      <c r="L909" s="6" t="s">
        <v>5250</v>
      </c>
      <c r="M909" s="108" t="s">
        <v>5251</v>
      </c>
      <c r="N909" s="13" t="s">
        <v>2340</v>
      </c>
      <c r="O909" s="13" t="s">
        <v>1055</v>
      </c>
      <c r="P909" s="13" t="s">
        <v>16</v>
      </c>
      <c r="Q909" s="6" t="s">
        <v>10932</v>
      </c>
      <c r="R909" s="69" t="s">
        <v>10933</v>
      </c>
      <c r="S909" s="17"/>
      <c r="T909" s="18">
        <v>21</v>
      </c>
      <c r="U909" s="18">
        <v>20</v>
      </c>
      <c r="V909" s="13" t="s">
        <v>5253</v>
      </c>
      <c r="X909" s="132">
        <v>901</v>
      </c>
      <c r="Y909" s="6"/>
    </row>
    <row r="910" spans="1:25" ht="15" customHeight="1" x14ac:dyDescent="0.2">
      <c r="A910" s="12" t="s">
        <v>5257</v>
      </c>
      <c r="B910" s="13" t="s">
        <v>4978</v>
      </c>
      <c r="C910" s="74">
        <v>47359</v>
      </c>
      <c r="D910" s="13" t="s">
        <v>33</v>
      </c>
      <c r="E910" s="6" t="s">
        <v>5267</v>
      </c>
      <c r="F910" s="15" t="s">
        <v>5260</v>
      </c>
      <c r="G910" s="6" t="s">
        <v>5268</v>
      </c>
      <c r="H910" s="6" t="s">
        <v>5268</v>
      </c>
      <c r="I910" s="13" t="s">
        <v>25</v>
      </c>
      <c r="J910" s="13">
        <v>3</v>
      </c>
      <c r="K910" s="13" t="s">
        <v>1714</v>
      </c>
      <c r="L910" s="6" t="s">
        <v>5269</v>
      </c>
      <c r="M910" s="108" t="s">
        <v>5270</v>
      </c>
      <c r="N910" s="13" t="s">
        <v>10484</v>
      </c>
      <c r="O910" s="13" t="s">
        <v>704</v>
      </c>
      <c r="P910" s="13" t="s">
        <v>16</v>
      </c>
      <c r="Q910" s="6" t="s">
        <v>5271</v>
      </c>
      <c r="R910" s="17" t="s">
        <v>5272</v>
      </c>
      <c r="S910" s="17"/>
      <c r="T910" s="18">
        <v>13</v>
      </c>
      <c r="U910" s="18">
        <v>8</v>
      </c>
      <c r="V910" s="13" t="s">
        <v>5261</v>
      </c>
      <c r="X910" s="132">
        <v>902</v>
      </c>
      <c r="Y910" s="6"/>
    </row>
    <row r="911" spans="1:25" ht="15" customHeight="1" x14ac:dyDescent="0.2">
      <c r="A911" s="12" t="s">
        <v>5258</v>
      </c>
      <c r="B911" s="13" t="s">
        <v>4978</v>
      </c>
      <c r="C911" s="74">
        <v>47223</v>
      </c>
      <c r="D911" s="13" t="s">
        <v>33</v>
      </c>
      <c r="E911" s="6" t="s">
        <v>5262</v>
      </c>
      <c r="F911" s="15" t="s">
        <v>5264</v>
      </c>
      <c r="G911" s="6" t="s">
        <v>5273</v>
      </c>
      <c r="H911" s="6" t="s">
        <v>5273</v>
      </c>
      <c r="I911" s="13" t="s">
        <v>25</v>
      </c>
      <c r="J911" s="13">
        <v>3</v>
      </c>
      <c r="K911" s="13" t="s">
        <v>1714</v>
      </c>
      <c r="L911" s="6" t="s">
        <v>2061</v>
      </c>
      <c r="M911" s="108" t="s">
        <v>5274</v>
      </c>
      <c r="N911" s="13" t="s">
        <v>2161</v>
      </c>
      <c r="O911" s="13" t="s">
        <v>2146</v>
      </c>
      <c r="P911" s="13" t="s">
        <v>68</v>
      </c>
      <c r="Q911" s="6" t="s">
        <v>3218</v>
      </c>
      <c r="R911" s="17" t="s">
        <v>1261</v>
      </c>
      <c r="S911" s="17"/>
      <c r="T911" s="18">
        <v>20</v>
      </c>
      <c r="U911" s="18">
        <v>20</v>
      </c>
      <c r="V911" s="13" t="s">
        <v>5265</v>
      </c>
      <c r="X911" s="132">
        <v>903</v>
      </c>
      <c r="Y911" s="6"/>
    </row>
    <row r="912" spans="1:25" ht="15" customHeight="1" x14ac:dyDescent="0.2">
      <c r="A912" s="12" t="s">
        <v>5259</v>
      </c>
      <c r="B912" s="13" t="s">
        <v>4978</v>
      </c>
      <c r="C912" s="74">
        <v>46481</v>
      </c>
      <c r="D912" s="13" t="s">
        <v>33</v>
      </c>
      <c r="E912" s="6" t="s">
        <v>5263</v>
      </c>
      <c r="F912" s="15" t="s">
        <v>722</v>
      </c>
      <c r="G912" s="6" t="s">
        <v>5275</v>
      </c>
      <c r="H912" s="6" t="s">
        <v>5275</v>
      </c>
      <c r="I912" s="13" t="s">
        <v>25</v>
      </c>
      <c r="J912" s="13">
        <v>3</v>
      </c>
      <c r="K912" s="13" t="s">
        <v>1714</v>
      </c>
      <c r="L912" s="6" t="s">
        <v>5276</v>
      </c>
      <c r="M912" s="108" t="s">
        <v>5277</v>
      </c>
      <c r="N912" s="13" t="s">
        <v>5278</v>
      </c>
      <c r="O912" s="13" t="s">
        <v>177</v>
      </c>
      <c r="P912" s="13" t="s">
        <v>9</v>
      </c>
      <c r="Q912" s="6" t="s">
        <v>5279</v>
      </c>
      <c r="R912" s="17" t="s">
        <v>5280</v>
      </c>
      <c r="S912" s="17" t="s">
        <v>6645</v>
      </c>
      <c r="T912" s="18">
        <v>24</v>
      </c>
      <c r="U912" s="18">
        <v>18</v>
      </c>
      <c r="V912" s="13" t="s">
        <v>5266</v>
      </c>
      <c r="X912" s="132">
        <v>904</v>
      </c>
      <c r="Y912" s="6"/>
    </row>
    <row r="913" spans="1:25" ht="15" customHeight="1" x14ac:dyDescent="0.2">
      <c r="A913" s="12" t="s">
        <v>5282</v>
      </c>
      <c r="B913" s="13" t="s">
        <v>4978</v>
      </c>
      <c r="C913" s="74">
        <v>46537</v>
      </c>
      <c r="D913" s="13" t="s">
        <v>33</v>
      </c>
      <c r="E913" s="6" t="s">
        <v>5291</v>
      </c>
      <c r="F913" s="6" t="s">
        <v>9175</v>
      </c>
      <c r="G913" s="6" t="s">
        <v>5292</v>
      </c>
      <c r="H913" s="6" t="s">
        <v>5292</v>
      </c>
      <c r="I913" s="13" t="s">
        <v>25</v>
      </c>
      <c r="J913" s="13">
        <v>3</v>
      </c>
      <c r="K913" s="13" t="s">
        <v>1714</v>
      </c>
      <c r="L913" s="6" t="s">
        <v>5293</v>
      </c>
      <c r="M913" s="108" t="s">
        <v>5294</v>
      </c>
      <c r="N913" s="13" t="s">
        <v>4329</v>
      </c>
      <c r="O913" s="13" t="s">
        <v>21</v>
      </c>
      <c r="P913" s="13" t="s">
        <v>9</v>
      </c>
      <c r="Q913" s="6" t="s">
        <v>5295</v>
      </c>
      <c r="R913" s="17" t="s">
        <v>5296</v>
      </c>
      <c r="S913" s="17" t="s">
        <v>5297</v>
      </c>
      <c r="T913" s="18" t="s">
        <v>2302</v>
      </c>
      <c r="U913" s="18" t="s">
        <v>2302</v>
      </c>
      <c r="V913" s="13" t="s">
        <v>5298</v>
      </c>
      <c r="X913" s="132">
        <v>905</v>
      </c>
      <c r="Y913" s="6"/>
    </row>
    <row r="914" spans="1:25" ht="15" customHeight="1" x14ac:dyDescent="0.2">
      <c r="A914" s="12" t="s">
        <v>5283</v>
      </c>
      <c r="B914" s="13" t="s">
        <v>4978</v>
      </c>
      <c r="C914" s="74">
        <v>46537</v>
      </c>
      <c r="D914" s="13" t="s">
        <v>33</v>
      </c>
      <c r="E914" s="6" t="s">
        <v>5299</v>
      </c>
      <c r="F914" s="6" t="s">
        <v>5300</v>
      </c>
      <c r="G914" s="6" t="s">
        <v>5301</v>
      </c>
      <c r="H914" s="6" t="s">
        <v>5301</v>
      </c>
      <c r="I914" s="13" t="s">
        <v>25</v>
      </c>
      <c r="J914" s="13">
        <v>3</v>
      </c>
      <c r="K914" s="13" t="s">
        <v>1714</v>
      </c>
      <c r="L914" s="6" t="s">
        <v>5302</v>
      </c>
      <c r="M914" s="108" t="s">
        <v>5303</v>
      </c>
      <c r="N914" s="13" t="s">
        <v>5304</v>
      </c>
      <c r="O914" s="13" t="s">
        <v>11948</v>
      </c>
      <c r="P914" s="13" t="s">
        <v>68</v>
      </c>
      <c r="Q914" s="6" t="s">
        <v>5305</v>
      </c>
      <c r="R914" s="17" t="s">
        <v>5306</v>
      </c>
      <c r="S914" s="17" t="s">
        <v>6634</v>
      </c>
      <c r="T914" s="18">
        <v>11</v>
      </c>
      <c r="U914" s="18">
        <v>9</v>
      </c>
      <c r="V914" s="13" t="s">
        <v>5307</v>
      </c>
      <c r="X914" s="132">
        <v>906</v>
      </c>
      <c r="Y914" s="6"/>
    </row>
    <row r="915" spans="1:25" ht="15" customHeight="1" x14ac:dyDescent="0.2">
      <c r="A915" s="12" t="s">
        <v>5284</v>
      </c>
      <c r="B915" s="13" t="s">
        <v>4978</v>
      </c>
      <c r="C915" s="74">
        <v>46537</v>
      </c>
      <c r="D915" s="13" t="s">
        <v>1533</v>
      </c>
      <c r="E915" s="6" t="s">
        <v>5308</v>
      </c>
      <c r="G915" s="6" t="s">
        <v>5309</v>
      </c>
      <c r="H915" s="6" t="s">
        <v>5309</v>
      </c>
      <c r="I915" s="13" t="s">
        <v>13</v>
      </c>
      <c r="J915" s="13">
        <v>7</v>
      </c>
      <c r="K915" s="13" t="s">
        <v>6603</v>
      </c>
      <c r="L915" s="6" t="s">
        <v>5416</v>
      </c>
      <c r="M915" s="108" t="s">
        <v>5420</v>
      </c>
      <c r="N915" s="13" t="s">
        <v>5417</v>
      </c>
      <c r="O915" s="13" t="s">
        <v>704</v>
      </c>
      <c r="P915" s="13" t="s">
        <v>16</v>
      </c>
      <c r="Q915" s="6" t="s">
        <v>5310</v>
      </c>
      <c r="R915" s="17" t="s">
        <v>5418</v>
      </c>
      <c r="S915" s="17" t="s">
        <v>5419</v>
      </c>
      <c r="T915" s="18">
        <v>200</v>
      </c>
      <c r="U915" s="18">
        <v>100</v>
      </c>
      <c r="V915" s="13" t="s">
        <v>5311</v>
      </c>
      <c r="X915" s="132">
        <v>907</v>
      </c>
      <c r="Y915" s="6"/>
    </row>
    <row r="916" spans="1:25" ht="15" customHeight="1" x14ac:dyDescent="0.2">
      <c r="A916" s="20" t="s">
        <v>5285</v>
      </c>
      <c r="B916" s="22" t="s">
        <v>2608</v>
      </c>
      <c r="C916" s="14">
        <v>45807</v>
      </c>
      <c r="D916" s="13" t="s">
        <v>1533</v>
      </c>
      <c r="E916" s="6" t="s">
        <v>5312</v>
      </c>
      <c r="F916" s="15" t="s">
        <v>5313</v>
      </c>
      <c r="G916" s="6" t="s">
        <v>5314</v>
      </c>
      <c r="H916" s="6" t="s">
        <v>5314</v>
      </c>
      <c r="I916" s="13" t="s">
        <v>39</v>
      </c>
      <c r="J916" s="13">
        <v>12</v>
      </c>
      <c r="K916" s="13" t="s">
        <v>1714</v>
      </c>
      <c r="L916" s="6" t="s">
        <v>7660</v>
      </c>
      <c r="M916" s="108" t="s">
        <v>7661</v>
      </c>
      <c r="N916" s="13" t="s">
        <v>4879</v>
      </c>
      <c r="O916" s="13" t="s">
        <v>53</v>
      </c>
      <c r="P916" s="13" t="s">
        <v>54</v>
      </c>
      <c r="Q916" s="6" t="s">
        <v>5315</v>
      </c>
      <c r="R916" s="17" t="s">
        <v>5316</v>
      </c>
      <c r="S916" s="17" t="s">
        <v>6639</v>
      </c>
      <c r="T916" s="18">
        <v>40</v>
      </c>
      <c r="U916" s="18">
        <v>35</v>
      </c>
      <c r="V916" s="13" t="s">
        <v>5317</v>
      </c>
      <c r="X916" s="132">
        <v>908</v>
      </c>
      <c r="Y916" s="6"/>
    </row>
    <row r="917" spans="1:25" ht="15" customHeight="1" x14ac:dyDescent="0.2">
      <c r="A917" s="12" t="s">
        <v>5286</v>
      </c>
      <c r="B917" s="13" t="s">
        <v>4978</v>
      </c>
      <c r="C917" s="74">
        <v>46537</v>
      </c>
      <c r="D917" s="13" t="s">
        <v>1533</v>
      </c>
      <c r="E917" s="6" t="s">
        <v>5318</v>
      </c>
      <c r="F917" s="15" t="s">
        <v>5319</v>
      </c>
      <c r="G917" s="6" t="s">
        <v>5320</v>
      </c>
      <c r="H917" s="6" t="s">
        <v>5321</v>
      </c>
      <c r="I917" s="13" t="s">
        <v>13</v>
      </c>
      <c r="J917" s="13">
        <v>7</v>
      </c>
      <c r="K917" s="13" t="s">
        <v>6603</v>
      </c>
      <c r="L917" s="6" t="s">
        <v>5323</v>
      </c>
      <c r="M917" s="108" t="s">
        <v>5322</v>
      </c>
      <c r="N917" s="13" t="s">
        <v>612</v>
      </c>
      <c r="O917" s="13" t="s">
        <v>165</v>
      </c>
      <c r="P917" s="13" t="s">
        <v>9</v>
      </c>
      <c r="Q917" s="6" t="s">
        <v>5324</v>
      </c>
      <c r="R917" s="17" t="s">
        <v>5325</v>
      </c>
      <c r="S917" s="17" t="s">
        <v>5326</v>
      </c>
      <c r="T917" s="18">
        <v>100</v>
      </c>
      <c r="U917" s="18">
        <v>100</v>
      </c>
      <c r="V917" s="13" t="s">
        <v>5327</v>
      </c>
      <c r="X917" s="132">
        <v>909</v>
      </c>
      <c r="Y917" s="6"/>
    </row>
    <row r="918" spans="1:25" ht="15" customHeight="1" x14ac:dyDescent="0.2">
      <c r="A918" s="12" t="s">
        <v>5455</v>
      </c>
      <c r="B918" s="13" t="s">
        <v>4978</v>
      </c>
      <c r="C918" s="74">
        <v>46564</v>
      </c>
      <c r="D918" s="13" t="s">
        <v>1533</v>
      </c>
      <c r="E918" s="6" t="s">
        <v>5318</v>
      </c>
      <c r="F918" s="15" t="s">
        <v>5456</v>
      </c>
      <c r="G918" s="6" t="s">
        <v>5320</v>
      </c>
      <c r="H918" s="6" t="s">
        <v>5457</v>
      </c>
      <c r="I918" s="13" t="s">
        <v>13</v>
      </c>
      <c r="J918" s="13">
        <v>7</v>
      </c>
      <c r="K918" s="13" t="s">
        <v>6603</v>
      </c>
      <c r="L918" s="6" t="s">
        <v>5458</v>
      </c>
      <c r="M918" s="108" t="s">
        <v>5459</v>
      </c>
      <c r="N918" s="13" t="s">
        <v>5461</v>
      </c>
      <c r="O918" s="13" t="s">
        <v>5556</v>
      </c>
      <c r="P918" s="13" t="s">
        <v>9</v>
      </c>
      <c r="Q918" s="6" t="s">
        <v>5462</v>
      </c>
      <c r="R918" s="17" t="s">
        <v>5325</v>
      </c>
      <c r="S918" s="17" t="s">
        <v>5326</v>
      </c>
      <c r="T918" s="18">
        <v>100</v>
      </c>
      <c r="U918" s="18">
        <v>184</v>
      </c>
      <c r="V918" s="13" t="s">
        <v>5327</v>
      </c>
      <c r="X918" s="132">
        <v>910</v>
      </c>
      <c r="Y918" s="6"/>
    </row>
    <row r="919" spans="1:25" ht="15" customHeight="1" x14ac:dyDescent="0.2">
      <c r="A919" s="12" t="s">
        <v>5463</v>
      </c>
      <c r="B919" s="13" t="s">
        <v>4978</v>
      </c>
      <c r="C919" s="74">
        <v>46564</v>
      </c>
      <c r="D919" s="13" t="s">
        <v>1533</v>
      </c>
      <c r="E919" s="6" t="s">
        <v>5318</v>
      </c>
      <c r="F919" s="15" t="s">
        <v>5465</v>
      </c>
      <c r="G919" s="6" t="s">
        <v>5320</v>
      </c>
      <c r="H919" s="6" t="s">
        <v>5467</v>
      </c>
      <c r="I919" s="13" t="s">
        <v>13</v>
      </c>
      <c r="J919" s="13">
        <v>7</v>
      </c>
      <c r="K919" s="13" t="s">
        <v>6603</v>
      </c>
      <c r="L919" s="6" t="s">
        <v>5468</v>
      </c>
      <c r="M919" s="108" t="s">
        <v>5470</v>
      </c>
      <c r="N919" s="13" t="s">
        <v>5469</v>
      </c>
      <c r="O919" s="13" t="s">
        <v>5556</v>
      </c>
      <c r="P919" s="13" t="s">
        <v>9</v>
      </c>
      <c r="Q919" s="6" t="s">
        <v>5471</v>
      </c>
      <c r="R919" s="17" t="s">
        <v>5325</v>
      </c>
      <c r="S919" s="17" t="s">
        <v>5326</v>
      </c>
      <c r="T919" s="18">
        <v>100</v>
      </c>
      <c r="U919" s="18">
        <v>100</v>
      </c>
      <c r="V919" s="13" t="s">
        <v>5327</v>
      </c>
      <c r="X919" s="132">
        <v>911</v>
      </c>
      <c r="Y919" s="6"/>
    </row>
    <row r="920" spans="1:25" ht="15" customHeight="1" x14ac:dyDescent="0.2">
      <c r="A920" s="12" t="s">
        <v>5464</v>
      </c>
      <c r="B920" s="13" t="s">
        <v>4978</v>
      </c>
      <c r="C920" s="74">
        <v>46564</v>
      </c>
      <c r="D920" s="13" t="s">
        <v>1533</v>
      </c>
      <c r="E920" s="6" t="s">
        <v>5318</v>
      </c>
      <c r="F920" s="15" t="s">
        <v>5466</v>
      </c>
      <c r="G920" s="6" t="s">
        <v>5320</v>
      </c>
      <c r="H920" s="6" t="s">
        <v>5476</v>
      </c>
      <c r="I920" s="13" t="s">
        <v>13</v>
      </c>
      <c r="J920" s="13">
        <v>7</v>
      </c>
      <c r="K920" s="13" t="s">
        <v>6603</v>
      </c>
      <c r="L920" s="6" t="s">
        <v>5475</v>
      </c>
      <c r="M920" s="108" t="s">
        <v>5474</v>
      </c>
      <c r="N920" s="13" t="s">
        <v>5473</v>
      </c>
      <c r="O920" s="13" t="s">
        <v>5556</v>
      </c>
      <c r="P920" s="13" t="s">
        <v>9</v>
      </c>
      <c r="Q920" s="6" t="s">
        <v>5472</v>
      </c>
      <c r="R920" s="17" t="s">
        <v>5325</v>
      </c>
      <c r="S920" s="17" t="s">
        <v>5326</v>
      </c>
      <c r="T920" s="18">
        <v>100</v>
      </c>
      <c r="U920" s="18">
        <v>208</v>
      </c>
      <c r="V920" s="13" t="s">
        <v>5327</v>
      </c>
      <c r="X920" s="132">
        <v>912</v>
      </c>
      <c r="Y920" s="6"/>
    </row>
    <row r="921" spans="1:25" ht="15" customHeight="1" x14ac:dyDescent="0.2">
      <c r="A921" s="12" t="s">
        <v>5978</v>
      </c>
      <c r="B921" s="13" t="s">
        <v>4978</v>
      </c>
      <c r="C921" s="74">
        <v>46645</v>
      </c>
      <c r="D921" s="13" t="s">
        <v>1533</v>
      </c>
      <c r="E921" s="6" t="s">
        <v>5318</v>
      </c>
      <c r="F921" s="15" t="s">
        <v>6010</v>
      </c>
      <c r="G921" s="6" t="s">
        <v>5320</v>
      </c>
      <c r="H921" s="6" t="s">
        <v>5979</v>
      </c>
      <c r="I921" s="13" t="s">
        <v>13</v>
      </c>
      <c r="J921" s="13">
        <v>7</v>
      </c>
      <c r="K921" s="13" t="s">
        <v>6603</v>
      </c>
      <c r="L921" s="6" t="s">
        <v>6011</v>
      </c>
      <c r="M921" s="108"/>
      <c r="N921" s="13" t="s">
        <v>6012</v>
      </c>
      <c r="O921" s="13" t="s">
        <v>165</v>
      </c>
      <c r="P921" s="13" t="s">
        <v>9</v>
      </c>
      <c r="Q921" s="6" t="s">
        <v>6013</v>
      </c>
      <c r="R921" s="17" t="s">
        <v>5325</v>
      </c>
      <c r="S921" s="17" t="s">
        <v>5326</v>
      </c>
      <c r="T921" s="18">
        <v>200</v>
      </c>
      <c r="U921" s="18">
        <v>200</v>
      </c>
      <c r="V921" s="13" t="s">
        <v>6014</v>
      </c>
      <c r="X921" s="132">
        <v>913</v>
      </c>
      <c r="Y921" s="6"/>
    </row>
    <row r="922" spans="1:25" ht="15" customHeight="1" x14ac:dyDescent="0.25">
      <c r="A922" s="12" t="s">
        <v>11384</v>
      </c>
      <c r="B922" s="13" t="s">
        <v>4978</v>
      </c>
      <c r="C922" s="102">
        <v>47552</v>
      </c>
      <c r="D922" s="79" t="s">
        <v>1533</v>
      </c>
      <c r="E922" s="81" t="s">
        <v>5318</v>
      </c>
      <c r="F922" s="82" t="s">
        <v>11385</v>
      </c>
      <c r="G922" s="81" t="s">
        <v>5320</v>
      </c>
      <c r="H922" s="81" t="s">
        <v>5320</v>
      </c>
      <c r="I922" s="79" t="s">
        <v>13</v>
      </c>
      <c r="J922" s="79">
        <v>7</v>
      </c>
      <c r="K922" s="79" t="s">
        <v>6603</v>
      </c>
      <c r="L922" s="81" t="s">
        <v>11386</v>
      </c>
      <c r="M922" s="109" t="s">
        <v>11387</v>
      </c>
      <c r="N922" s="79" t="s">
        <v>11388</v>
      </c>
      <c r="O922" s="13" t="s">
        <v>5556</v>
      </c>
      <c r="P922" s="13" t="s">
        <v>9</v>
      </c>
      <c r="Q922" s="81" t="s">
        <v>11389</v>
      </c>
      <c r="R922" s="69" t="s">
        <v>5325</v>
      </c>
      <c r="S922" s="69" t="s">
        <v>5326</v>
      </c>
      <c r="T922" s="85">
        <v>100</v>
      </c>
      <c r="U922" s="85">
        <v>100</v>
      </c>
      <c r="V922" s="79" t="s">
        <v>6014</v>
      </c>
      <c r="W922" s="81"/>
      <c r="X922" s="132">
        <v>914</v>
      </c>
      <c r="Y922" s="6"/>
    </row>
    <row r="923" spans="1:25" ht="15" customHeight="1" x14ac:dyDescent="0.25">
      <c r="A923" s="12" t="s">
        <v>5287</v>
      </c>
      <c r="B923" s="24" t="s">
        <v>4977</v>
      </c>
      <c r="C923" s="14">
        <v>46822</v>
      </c>
      <c r="D923" s="13" t="s">
        <v>1533</v>
      </c>
      <c r="E923" s="6" t="s">
        <v>11402</v>
      </c>
      <c r="F923" s="15" t="s">
        <v>11399</v>
      </c>
      <c r="G923" s="6" t="s">
        <v>5328</v>
      </c>
      <c r="H923" s="6" t="s">
        <v>5328</v>
      </c>
      <c r="I923" s="13" t="s">
        <v>39</v>
      </c>
      <c r="J923" s="13">
        <v>12</v>
      </c>
      <c r="K923" s="13" t="s">
        <v>1714</v>
      </c>
      <c r="L923" s="6" t="s">
        <v>11400</v>
      </c>
      <c r="M923" s="108" t="s">
        <v>6624</v>
      </c>
      <c r="N923" s="13" t="s">
        <v>2820</v>
      </c>
      <c r="O923" s="13" t="s">
        <v>293</v>
      </c>
      <c r="P923" s="13" t="s">
        <v>16</v>
      </c>
      <c r="Q923" s="6" t="s">
        <v>5329</v>
      </c>
      <c r="R923" s="69" t="s">
        <v>11401</v>
      </c>
      <c r="S923" s="17" t="s">
        <v>5330</v>
      </c>
      <c r="T923" s="18">
        <v>600</v>
      </c>
      <c r="U923" s="18">
        <v>340</v>
      </c>
      <c r="V923" s="13" t="s">
        <v>5331</v>
      </c>
      <c r="X923" s="132">
        <v>915</v>
      </c>
      <c r="Y923" s="6"/>
    </row>
    <row r="924" spans="1:25" ht="15" customHeight="1" x14ac:dyDescent="0.2">
      <c r="A924" s="19" t="s">
        <v>5288</v>
      </c>
      <c r="B924" s="13" t="s">
        <v>4978</v>
      </c>
      <c r="C924" s="74">
        <v>47253</v>
      </c>
      <c r="D924" s="13" t="s">
        <v>1533</v>
      </c>
      <c r="E924" s="6" t="s">
        <v>9876</v>
      </c>
      <c r="F924" s="15" t="s">
        <v>9877</v>
      </c>
      <c r="G924" s="6" t="s">
        <v>5332</v>
      </c>
      <c r="H924" s="6" t="s">
        <v>5332</v>
      </c>
      <c r="I924" s="13" t="s">
        <v>25</v>
      </c>
      <c r="J924" s="13">
        <v>6</v>
      </c>
      <c r="K924" s="13" t="s">
        <v>1714</v>
      </c>
      <c r="L924" s="6" t="s">
        <v>5333</v>
      </c>
      <c r="M924" s="108" t="s">
        <v>5334</v>
      </c>
      <c r="N924" s="13" t="s">
        <v>2363</v>
      </c>
      <c r="O924" s="13" t="s">
        <v>1889</v>
      </c>
      <c r="P924" s="13" t="s">
        <v>68</v>
      </c>
      <c r="Q924" s="6" t="s">
        <v>5335</v>
      </c>
      <c r="R924" s="17" t="s">
        <v>5336</v>
      </c>
      <c r="S924" s="17" t="s">
        <v>6693</v>
      </c>
      <c r="T924" s="18">
        <v>13</v>
      </c>
      <c r="U924" s="18">
        <v>11</v>
      </c>
      <c r="V924" s="13" t="s">
        <v>5337</v>
      </c>
      <c r="X924" s="132">
        <v>916</v>
      </c>
      <c r="Y924" s="6"/>
    </row>
    <row r="925" spans="1:25" ht="15" customHeight="1" x14ac:dyDescent="0.2">
      <c r="A925" s="12" t="s">
        <v>5289</v>
      </c>
      <c r="B925" s="13" t="s">
        <v>4978</v>
      </c>
      <c r="C925" s="74">
        <v>46537</v>
      </c>
      <c r="D925" s="13" t="s">
        <v>33</v>
      </c>
      <c r="E925" s="6" t="s">
        <v>5372</v>
      </c>
      <c r="F925" s="15" t="s">
        <v>323</v>
      </c>
      <c r="G925" s="6" t="s">
        <v>5373</v>
      </c>
      <c r="H925" s="6" t="s">
        <v>5373</v>
      </c>
      <c r="I925" s="13" t="s">
        <v>25</v>
      </c>
      <c r="J925" s="13">
        <v>3</v>
      </c>
      <c r="K925" s="13" t="s">
        <v>1714</v>
      </c>
      <c r="L925" s="6" t="s">
        <v>5374</v>
      </c>
      <c r="M925" s="108" t="s">
        <v>5294</v>
      </c>
      <c r="N925" s="13" t="s">
        <v>4329</v>
      </c>
      <c r="O925" s="13" t="s">
        <v>21</v>
      </c>
      <c r="P925" s="13" t="s">
        <v>9</v>
      </c>
      <c r="Q925" s="6" t="s">
        <v>5375</v>
      </c>
      <c r="R925" s="17" t="s">
        <v>325</v>
      </c>
      <c r="S925" s="17" t="s">
        <v>2261</v>
      </c>
      <c r="T925" s="18">
        <v>24</v>
      </c>
      <c r="U925" s="18">
        <v>21</v>
      </c>
      <c r="V925" s="13" t="s">
        <v>5376</v>
      </c>
      <c r="X925" s="132">
        <v>917</v>
      </c>
      <c r="Y925" s="6"/>
    </row>
    <row r="926" spans="1:25" ht="15" customHeight="1" x14ac:dyDescent="0.2">
      <c r="A926" s="12" t="s">
        <v>5290</v>
      </c>
      <c r="B926" s="13" t="s">
        <v>4978</v>
      </c>
      <c r="C926" s="74">
        <v>46537</v>
      </c>
      <c r="D926" s="13" t="s">
        <v>33</v>
      </c>
      <c r="E926" s="6" t="s">
        <v>5377</v>
      </c>
      <c r="F926" s="15" t="s">
        <v>5384</v>
      </c>
      <c r="G926" s="6" t="s">
        <v>5378</v>
      </c>
      <c r="H926" s="6" t="s">
        <v>5378</v>
      </c>
      <c r="I926" s="13" t="s">
        <v>25</v>
      </c>
      <c r="J926" s="13">
        <v>3</v>
      </c>
      <c r="K926" s="13" t="s">
        <v>1714</v>
      </c>
      <c r="L926" s="6" t="s">
        <v>5379</v>
      </c>
      <c r="M926" s="108" t="s">
        <v>5380</v>
      </c>
      <c r="N926" s="13" t="s">
        <v>2130</v>
      </c>
      <c r="O926" s="13" t="s">
        <v>1889</v>
      </c>
      <c r="P926" s="13" t="s">
        <v>68</v>
      </c>
      <c r="Q926" s="6" t="s">
        <v>5381</v>
      </c>
      <c r="R926" s="17" t="s">
        <v>5382</v>
      </c>
      <c r="S926" s="17" t="s">
        <v>5383</v>
      </c>
      <c r="T926" s="18">
        <v>72</v>
      </c>
      <c r="U926" s="18">
        <v>53</v>
      </c>
      <c r="V926" s="13" t="s">
        <v>5394</v>
      </c>
      <c r="X926" s="132">
        <v>918</v>
      </c>
      <c r="Y926" s="6"/>
    </row>
    <row r="927" spans="1:25" ht="15" customHeight="1" x14ac:dyDescent="0.2">
      <c r="A927" s="12" t="s">
        <v>5385</v>
      </c>
      <c r="B927" s="13" t="s">
        <v>4977</v>
      </c>
      <c r="C927" s="14">
        <v>46554</v>
      </c>
      <c r="D927" s="13" t="s">
        <v>1533</v>
      </c>
      <c r="E927" s="6" t="s">
        <v>5387</v>
      </c>
      <c r="F927" s="15" t="s">
        <v>5389</v>
      </c>
      <c r="G927" s="6" t="s">
        <v>5388</v>
      </c>
      <c r="H927" s="6" t="s">
        <v>5388</v>
      </c>
      <c r="I927" s="13" t="s">
        <v>39</v>
      </c>
      <c r="J927" s="13">
        <v>12</v>
      </c>
      <c r="K927" s="13" t="s">
        <v>6574</v>
      </c>
      <c r="L927" s="6" t="s">
        <v>8934</v>
      </c>
      <c r="M927" s="108"/>
      <c r="Q927" s="6" t="s">
        <v>5390</v>
      </c>
      <c r="R927" s="17" t="s">
        <v>5391</v>
      </c>
      <c r="S927" s="30" t="s">
        <v>5392</v>
      </c>
      <c r="T927" s="60">
        <v>240</v>
      </c>
      <c r="U927" s="18">
        <v>240</v>
      </c>
      <c r="V927" s="13" t="s">
        <v>5393</v>
      </c>
      <c r="X927" s="132">
        <v>919</v>
      </c>
      <c r="Y927" s="6"/>
    </row>
    <row r="928" spans="1:25" ht="15" customHeight="1" x14ac:dyDescent="0.2">
      <c r="A928" s="12" t="s">
        <v>5386</v>
      </c>
      <c r="B928" s="13" t="s">
        <v>4977</v>
      </c>
      <c r="C928" s="14">
        <v>46554</v>
      </c>
      <c r="D928" s="13" t="s">
        <v>1533</v>
      </c>
      <c r="E928" s="6" t="s">
        <v>5387</v>
      </c>
      <c r="F928" s="15" t="s">
        <v>10132</v>
      </c>
      <c r="G928" s="6" t="s">
        <v>5388</v>
      </c>
      <c r="H928" s="6" t="s">
        <v>5388</v>
      </c>
      <c r="I928" s="13" t="s">
        <v>39</v>
      </c>
      <c r="J928" s="13">
        <v>12</v>
      </c>
      <c r="K928" s="13" t="s">
        <v>6574</v>
      </c>
      <c r="L928" s="6"/>
      <c r="M928" s="108"/>
      <c r="Q928" s="6" t="s">
        <v>5390</v>
      </c>
      <c r="R928" s="17" t="s">
        <v>5391</v>
      </c>
      <c r="S928" s="30" t="s">
        <v>5392</v>
      </c>
      <c r="T928" s="18">
        <v>800</v>
      </c>
      <c r="U928" s="18">
        <v>260</v>
      </c>
      <c r="V928" s="13" t="s">
        <v>5393</v>
      </c>
      <c r="X928" s="132">
        <v>920</v>
      </c>
      <c r="Y928" s="6"/>
    </row>
    <row r="929" spans="1:25" ht="15" customHeight="1" x14ac:dyDescent="0.2">
      <c r="A929" s="12" t="s">
        <v>5395</v>
      </c>
      <c r="B929" s="13" t="s">
        <v>4978</v>
      </c>
      <c r="C929" s="74">
        <v>46537</v>
      </c>
      <c r="D929" s="13" t="s">
        <v>33</v>
      </c>
      <c r="E929" s="6" t="s">
        <v>5396</v>
      </c>
      <c r="F929" s="15" t="s">
        <v>5397</v>
      </c>
      <c r="G929" s="6" t="s">
        <v>5398</v>
      </c>
      <c r="H929" s="6" t="s">
        <v>5398</v>
      </c>
      <c r="I929" s="13" t="s">
        <v>25</v>
      </c>
      <c r="J929" s="13">
        <v>3</v>
      </c>
      <c r="K929" s="13" t="s">
        <v>1714</v>
      </c>
      <c r="L929" s="6" t="s">
        <v>5399</v>
      </c>
      <c r="M929" s="108" t="s">
        <v>5400</v>
      </c>
      <c r="N929" s="13" t="s">
        <v>2349</v>
      </c>
      <c r="O929" s="13" t="s">
        <v>97</v>
      </c>
      <c r="P929" s="13" t="s">
        <v>4</v>
      </c>
      <c r="Q929" s="6" t="s">
        <v>5401</v>
      </c>
      <c r="R929" s="17" t="s">
        <v>5403</v>
      </c>
      <c r="S929" s="17" t="s">
        <v>5402</v>
      </c>
      <c r="T929" s="18">
        <v>14</v>
      </c>
      <c r="U929" s="18">
        <v>13</v>
      </c>
      <c r="V929" s="13" t="s">
        <v>5404</v>
      </c>
      <c r="X929" s="132">
        <v>921</v>
      </c>
      <c r="Y929" s="6"/>
    </row>
    <row r="930" spans="1:25" ht="15" customHeight="1" x14ac:dyDescent="0.2">
      <c r="A930" s="19" t="s">
        <v>5405</v>
      </c>
      <c r="B930" s="13" t="s">
        <v>4977</v>
      </c>
      <c r="C930" s="14">
        <v>46512</v>
      </c>
      <c r="D930" s="13" t="s">
        <v>1533</v>
      </c>
      <c r="E930" s="6" t="s">
        <v>9832</v>
      </c>
      <c r="F930" s="15" t="s">
        <v>9823</v>
      </c>
      <c r="G930" s="6" t="s">
        <v>5406</v>
      </c>
      <c r="H930" s="6" t="s">
        <v>5406</v>
      </c>
      <c r="I930" s="13" t="s">
        <v>13</v>
      </c>
      <c r="J930" s="13">
        <v>8</v>
      </c>
      <c r="K930" s="13" t="s">
        <v>1714</v>
      </c>
      <c r="L930" s="6" t="s">
        <v>5408</v>
      </c>
      <c r="M930" s="108" t="s">
        <v>5412</v>
      </c>
      <c r="N930" s="13" t="s">
        <v>8</v>
      </c>
      <c r="O930" s="13" t="s">
        <v>8</v>
      </c>
      <c r="P930" s="13" t="s">
        <v>9</v>
      </c>
      <c r="Q930" s="6" t="s">
        <v>5409</v>
      </c>
      <c r="R930" s="30" t="s">
        <v>5410</v>
      </c>
      <c r="S930" s="17" t="s">
        <v>5411</v>
      </c>
      <c r="T930" s="18">
        <v>236</v>
      </c>
      <c r="U930" s="18">
        <v>199</v>
      </c>
      <c r="V930" s="13" t="s">
        <v>5407</v>
      </c>
      <c r="X930" s="132">
        <v>922</v>
      </c>
      <c r="Y930" s="6"/>
    </row>
    <row r="931" spans="1:25" ht="15" customHeight="1" x14ac:dyDescent="0.2">
      <c r="A931" s="12" t="s">
        <v>5477</v>
      </c>
      <c r="B931" s="13" t="s">
        <v>4978</v>
      </c>
      <c r="C931" s="74">
        <v>46564</v>
      </c>
      <c r="D931" s="13" t="s">
        <v>33</v>
      </c>
      <c r="E931" s="6" t="s">
        <v>5478</v>
      </c>
      <c r="F931" s="6" t="s">
        <v>5480</v>
      </c>
      <c r="G931" s="6" t="s">
        <v>5479</v>
      </c>
      <c r="H931" s="6" t="s">
        <v>5479</v>
      </c>
      <c r="I931" s="13" t="s">
        <v>25</v>
      </c>
      <c r="J931" s="13">
        <v>3</v>
      </c>
      <c r="K931" s="13" t="s">
        <v>1714</v>
      </c>
      <c r="L931" s="6" t="s">
        <v>5485</v>
      </c>
      <c r="M931" s="108" t="s">
        <v>5481</v>
      </c>
      <c r="N931" s="13" t="s">
        <v>5482</v>
      </c>
      <c r="O931" s="13" t="s">
        <v>925</v>
      </c>
      <c r="P931" s="13" t="s">
        <v>16</v>
      </c>
      <c r="Q931" s="6" t="s">
        <v>5483</v>
      </c>
      <c r="R931" s="17" t="s">
        <v>5595</v>
      </c>
      <c r="S931" s="17" t="s">
        <v>6628</v>
      </c>
      <c r="T931" s="18">
        <v>13</v>
      </c>
      <c r="U931" s="18">
        <v>8</v>
      </c>
      <c r="V931" s="13" t="s">
        <v>5484</v>
      </c>
      <c r="X931" s="132">
        <v>923</v>
      </c>
      <c r="Y931" s="6"/>
    </row>
    <row r="932" spans="1:25" ht="15" customHeight="1" x14ac:dyDescent="0.2">
      <c r="A932" s="12" t="s">
        <v>5486</v>
      </c>
      <c r="B932" s="13" t="s">
        <v>4978</v>
      </c>
      <c r="C932" s="74">
        <v>46564</v>
      </c>
      <c r="D932" s="13" t="s">
        <v>33</v>
      </c>
      <c r="E932" s="6" t="s">
        <v>5487</v>
      </c>
      <c r="F932" s="15" t="s">
        <v>5488</v>
      </c>
      <c r="G932" s="6" t="s">
        <v>5489</v>
      </c>
      <c r="H932" s="6" t="s">
        <v>5489</v>
      </c>
      <c r="I932" s="13" t="s">
        <v>25</v>
      </c>
      <c r="J932" s="13">
        <v>3</v>
      </c>
      <c r="K932" s="13" t="s">
        <v>1714</v>
      </c>
      <c r="L932" s="6" t="s">
        <v>5490</v>
      </c>
      <c r="M932" s="108" t="s">
        <v>5491</v>
      </c>
      <c r="N932" s="13" t="s">
        <v>2478</v>
      </c>
      <c r="O932" s="13" t="s">
        <v>61</v>
      </c>
      <c r="P932" s="13" t="s">
        <v>9</v>
      </c>
      <c r="Q932" s="6" t="s">
        <v>5492</v>
      </c>
      <c r="R932" s="17" t="s">
        <v>5493</v>
      </c>
      <c r="S932" s="17" t="s">
        <v>6634</v>
      </c>
      <c r="T932" s="18">
        <v>24</v>
      </c>
      <c r="U932" s="18">
        <v>22</v>
      </c>
      <c r="V932" s="13" t="s">
        <v>5494</v>
      </c>
      <c r="X932" s="132">
        <v>924</v>
      </c>
      <c r="Y932" s="6"/>
    </row>
    <row r="933" spans="1:25" ht="15" customHeight="1" x14ac:dyDescent="0.2">
      <c r="A933" s="12" t="s">
        <v>5496</v>
      </c>
      <c r="B933" s="13" t="s">
        <v>4978</v>
      </c>
      <c r="C933" s="74">
        <v>46564</v>
      </c>
      <c r="D933" s="13" t="s">
        <v>33</v>
      </c>
      <c r="E933" s="6" t="s">
        <v>5497</v>
      </c>
      <c r="F933" s="15" t="s">
        <v>5498</v>
      </c>
      <c r="G933" s="6" t="s">
        <v>5499</v>
      </c>
      <c r="H933" s="6" t="s">
        <v>5499</v>
      </c>
      <c r="I933" s="13" t="s">
        <v>25</v>
      </c>
      <c r="J933" s="13">
        <v>3</v>
      </c>
      <c r="K933" s="13" t="s">
        <v>1714</v>
      </c>
      <c r="L933" s="6" t="s">
        <v>5500</v>
      </c>
      <c r="M933" s="108" t="s">
        <v>3015</v>
      </c>
      <c r="N933" s="13" t="s">
        <v>5501</v>
      </c>
      <c r="O933" s="13" t="s">
        <v>15</v>
      </c>
      <c r="P933" s="13" t="s">
        <v>16</v>
      </c>
      <c r="Q933" s="6" t="s">
        <v>5502</v>
      </c>
      <c r="R933" s="17" t="s">
        <v>5503</v>
      </c>
      <c r="S933" s="17" t="s">
        <v>6694</v>
      </c>
      <c r="T933" s="18">
        <v>36</v>
      </c>
      <c r="U933" s="18">
        <v>31</v>
      </c>
      <c r="V933" s="13" t="s">
        <v>5495</v>
      </c>
      <c r="X933" s="132">
        <v>925</v>
      </c>
      <c r="Y933" s="6"/>
    </row>
    <row r="934" spans="1:25" ht="15" customHeight="1" x14ac:dyDescent="0.2">
      <c r="A934" s="12" t="s">
        <v>5504</v>
      </c>
      <c r="B934" s="13" t="s">
        <v>4978</v>
      </c>
      <c r="C934" s="74">
        <v>46564</v>
      </c>
      <c r="D934" s="13" t="s">
        <v>33</v>
      </c>
      <c r="E934" s="6" t="s">
        <v>5505</v>
      </c>
      <c r="F934" s="15" t="s">
        <v>5506</v>
      </c>
      <c r="G934" s="6" t="s">
        <v>5507</v>
      </c>
      <c r="H934" s="6" t="s">
        <v>5507</v>
      </c>
      <c r="I934" s="13" t="s">
        <v>25</v>
      </c>
      <c r="J934" s="13">
        <v>3</v>
      </c>
      <c r="K934" s="13" t="s">
        <v>1714</v>
      </c>
      <c r="L934" s="6" t="s">
        <v>5508</v>
      </c>
      <c r="M934" s="108" t="s">
        <v>5509</v>
      </c>
      <c r="N934" s="13" t="s">
        <v>2276</v>
      </c>
      <c r="O934" s="13" t="s">
        <v>172</v>
      </c>
      <c r="P934" s="13" t="s">
        <v>9</v>
      </c>
      <c r="Q934" s="6" t="s">
        <v>5510</v>
      </c>
      <c r="R934" s="17" t="s">
        <v>5511</v>
      </c>
      <c r="S934" s="17" t="s">
        <v>6634</v>
      </c>
      <c r="T934" s="18">
        <v>20</v>
      </c>
      <c r="U934" s="18">
        <v>14</v>
      </c>
      <c r="V934" s="13" t="s">
        <v>5512</v>
      </c>
      <c r="X934" s="132">
        <v>926</v>
      </c>
      <c r="Y934" s="6"/>
    </row>
    <row r="935" spans="1:25" ht="15" customHeight="1" x14ac:dyDescent="0.25">
      <c r="A935" s="12" t="s">
        <v>11981</v>
      </c>
      <c r="B935" s="24" t="s">
        <v>4977</v>
      </c>
      <c r="C935" s="14">
        <v>46885</v>
      </c>
      <c r="D935" s="13" t="s">
        <v>1533</v>
      </c>
      <c r="E935" s="6" t="s">
        <v>5514</v>
      </c>
      <c r="F935" s="6" t="s">
        <v>11486</v>
      </c>
      <c r="G935" s="6" t="s">
        <v>5515</v>
      </c>
      <c r="H935" s="6" t="s">
        <v>5515</v>
      </c>
      <c r="I935" s="13" t="s">
        <v>39</v>
      </c>
      <c r="J935" s="13">
        <v>12</v>
      </c>
      <c r="K935" s="13" t="s">
        <v>1714</v>
      </c>
      <c r="L935" s="6" t="s">
        <v>5516</v>
      </c>
      <c r="M935" s="108" t="s">
        <v>5517</v>
      </c>
      <c r="N935" s="13" t="s">
        <v>4205</v>
      </c>
      <c r="O935" s="13" t="s">
        <v>1847</v>
      </c>
      <c r="P935" s="13" t="s">
        <v>68</v>
      </c>
      <c r="Q935" s="6" t="s">
        <v>5518</v>
      </c>
      <c r="R935" s="69" t="s">
        <v>5519</v>
      </c>
      <c r="S935" s="17" t="s">
        <v>11479</v>
      </c>
      <c r="T935" s="18">
        <v>40</v>
      </c>
      <c r="U935" s="18">
        <v>20</v>
      </c>
      <c r="V935" s="13" t="s">
        <v>5513</v>
      </c>
      <c r="X935" s="132">
        <v>927</v>
      </c>
      <c r="Y935" s="6"/>
    </row>
    <row r="936" spans="1:25" ht="15" customHeight="1" x14ac:dyDescent="0.2">
      <c r="A936" s="12" t="s">
        <v>11480</v>
      </c>
      <c r="B936" s="13" t="s">
        <v>4977</v>
      </c>
      <c r="C936" s="14">
        <v>46885</v>
      </c>
      <c r="D936" s="13" t="s">
        <v>1533</v>
      </c>
      <c r="E936" s="6" t="s">
        <v>5514</v>
      </c>
      <c r="F936" s="15" t="s">
        <v>11481</v>
      </c>
      <c r="G936" s="6" t="s">
        <v>5515</v>
      </c>
      <c r="H936" s="6" t="s">
        <v>5515</v>
      </c>
      <c r="I936" s="13" t="s">
        <v>39</v>
      </c>
      <c r="J936" s="13">
        <v>12</v>
      </c>
      <c r="K936" s="13" t="s">
        <v>1714</v>
      </c>
      <c r="L936" s="6" t="s">
        <v>5516</v>
      </c>
      <c r="M936" s="108" t="s">
        <v>5517</v>
      </c>
      <c r="N936" s="13" t="s">
        <v>4205</v>
      </c>
      <c r="O936" s="13" t="s">
        <v>1847</v>
      </c>
      <c r="P936" s="13" t="s">
        <v>68</v>
      </c>
      <c r="Q936" s="6" t="s">
        <v>5518</v>
      </c>
      <c r="R936" s="30" t="s">
        <v>5519</v>
      </c>
      <c r="S936" s="30" t="s">
        <v>11479</v>
      </c>
      <c r="T936" s="18">
        <v>20</v>
      </c>
      <c r="U936" s="18">
        <v>20</v>
      </c>
      <c r="V936" s="13" t="s">
        <v>5513</v>
      </c>
      <c r="X936" s="132">
        <v>928</v>
      </c>
      <c r="Y936" s="6"/>
    </row>
    <row r="937" spans="1:25" ht="15" customHeight="1" x14ac:dyDescent="0.2">
      <c r="A937" s="12" t="s">
        <v>11482</v>
      </c>
      <c r="B937" s="13" t="s">
        <v>4977</v>
      </c>
      <c r="C937" s="14">
        <v>46885</v>
      </c>
      <c r="D937" s="13" t="s">
        <v>1533</v>
      </c>
      <c r="E937" s="6" t="s">
        <v>5514</v>
      </c>
      <c r="F937" s="15" t="s">
        <v>11483</v>
      </c>
      <c r="G937" s="6" t="s">
        <v>5515</v>
      </c>
      <c r="H937" s="6" t="s">
        <v>5515</v>
      </c>
      <c r="I937" s="13" t="s">
        <v>39</v>
      </c>
      <c r="J937" s="13">
        <v>12</v>
      </c>
      <c r="K937" s="13" t="s">
        <v>1714</v>
      </c>
      <c r="L937" s="6" t="s">
        <v>5516</v>
      </c>
      <c r="M937" s="108" t="s">
        <v>5517</v>
      </c>
      <c r="N937" s="13" t="s">
        <v>4205</v>
      </c>
      <c r="O937" s="13" t="s">
        <v>1847</v>
      </c>
      <c r="P937" s="13" t="s">
        <v>68</v>
      </c>
      <c r="Q937" s="6" t="s">
        <v>5518</v>
      </c>
      <c r="R937" s="30" t="s">
        <v>5519</v>
      </c>
      <c r="S937" s="30" t="s">
        <v>11479</v>
      </c>
      <c r="T937" s="18">
        <v>40</v>
      </c>
      <c r="U937" s="18">
        <v>15</v>
      </c>
      <c r="V937" s="13" t="s">
        <v>5513</v>
      </c>
      <c r="X937" s="132">
        <v>929</v>
      </c>
      <c r="Y937" s="6"/>
    </row>
    <row r="938" spans="1:25" ht="15" customHeight="1" x14ac:dyDescent="0.2">
      <c r="A938" s="12" t="s">
        <v>11484</v>
      </c>
      <c r="B938" s="13" t="s">
        <v>4977</v>
      </c>
      <c r="C938" s="14">
        <v>46885</v>
      </c>
      <c r="D938" s="13" t="s">
        <v>1533</v>
      </c>
      <c r="E938" s="6" t="s">
        <v>5514</v>
      </c>
      <c r="F938" s="15" t="s">
        <v>11485</v>
      </c>
      <c r="G938" s="6" t="s">
        <v>5515</v>
      </c>
      <c r="H938" s="6" t="s">
        <v>5515</v>
      </c>
      <c r="I938" s="13" t="s">
        <v>39</v>
      </c>
      <c r="J938" s="13">
        <v>12</v>
      </c>
      <c r="K938" s="13" t="s">
        <v>1714</v>
      </c>
      <c r="L938" s="6" t="s">
        <v>5516</v>
      </c>
      <c r="M938" s="108" t="s">
        <v>5517</v>
      </c>
      <c r="N938" s="13" t="s">
        <v>4205</v>
      </c>
      <c r="O938" s="13" t="s">
        <v>1847</v>
      </c>
      <c r="P938" s="13" t="s">
        <v>68</v>
      </c>
      <c r="Q938" s="6" t="s">
        <v>5518</v>
      </c>
      <c r="R938" s="30" t="s">
        <v>5519</v>
      </c>
      <c r="S938" s="30" t="s">
        <v>11479</v>
      </c>
      <c r="T938" s="18"/>
      <c r="U938" s="18"/>
      <c r="V938" s="13" t="s">
        <v>5513</v>
      </c>
      <c r="X938" s="132">
        <v>930</v>
      </c>
      <c r="Y938" s="6"/>
    </row>
    <row r="939" spans="1:25" ht="15" customHeight="1" x14ac:dyDescent="0.2">
      <c r="A939" s="12" t="s">
        <v>5520</v>
      </c>
      <c r="B939" s="13" t="s">
        <v>4978</v>
      </c>
      <c r="C939" s="74">
        <v>46564</v>
      </c>
      <c r="D939" s="13" t="s">
        <v>33</v>
      </c>
      <c r="E939" s="6" t="s">
        <v>5522</v>
      </c>
      <c r="F939" s="15" t="s">
        <v>5523</v>
      </c>
      <c r="G939" s="6" t="s">
        <v>5524</v>
      </c>
      <c r="H939" s="6" t="s">
        <v>5524</v>
      </c>
      <c r="I939" s="13" t="s">
        <v>25</v>
      </c>
      <c r="J939" s="13">
        <v>3</v>
      </c>
      <c r="K939" s="13" t="s">
        <v>1714</v>
      </c>
      <c r="L939" s="6" t="s">
        <v>5525</v>
      </c>
      <c r="M939" s="108" t="s">
        <v>2761</v>
      </c>
      <c r="N939" s="13" t="s">
        <v>5526</v>
      </c>
      <c r="O939" s="13" t="s">
        <v>2146</v>
      </c>
      <c r="P939" s="13" t="s">
        <v>68</v>
      </c>
      <c r="Q939" s="6" t="s">
        <v>5440</v>
      </c>
      <c r="R939" s="17" t="s">
        <v>5441</v>
      </c>
      <c r="S939" s="17" t="s">
        <v>2514</v>
      </c>
      <c r="T939" s="18">
        <v>24</v>
      </c>
      <c r="U939" s="18">
        <v>21</v>
      </c>
      <c r="V939" s="13" t="s">
        <v>5521</v>
      </c>
      <c r="X939" s="132">
        <v>931</v>
      </c>
      <c r="Y939" s="6"/>
    </row>
    <row r="940" spans="1:25" ht="15" customHeight="1" x14ac:dyDescent="0.2">
      <c r="A940" s="12" t="s">
        <v>5528</v>
      </c>
      <c r="B940" s="13" t="s">
        <v>4978</v>
      </c>
      <c r="C940" s="74">
        <v>46564</v>
      </c>
      <c r="D940" s="13" t="s">
        <v>33</v>
      </c>
      <c r="E940" s="6" t="s">
        <v>5529</v>
      </c>
      <c r="F940" s="15" t="s">
        <v>5530</v>
      </c>
      <c r="G940" s="6" t="s">
        <v>5527</v>
      </c>
      <c r="H940" s="6" t="s">
        <v>5527</v>
      </c>
      <c r="I940" s="13" t="s">
        <v>25</v>
      </c>
      <c r="J940" s="13">
        <v>3</v>
      </c>
      <c r="K940" s="13" t="s">
        <v>1714</v>
      </c>
      <c r="L940" s="6" t="s">
        <v>5531</v>
      </c>
      <c r="M940" s="108" t="s">
        <v>5532</v>
      </c>
      <c r="N940" s="13" t="s">
        <v>2235</v>
      </c>
      <c r="O940" s="13" t="s">
        <v>11948</v>
      </c>
      <c r="P940" s="13" t="s">
        <v>68</v>
      </c>
      <c r="Q940" s="6" t="s">
        <v>5533</v>
      </c>
      <c r="R940" s="25" t="s">
        <v>5534</v>
      </c>
      <c r="S940" s="17" t="s">
        <v>5535</v>
      </c>
      <c r="T940" s="18">
        <v>20</v>
      </c>
      <c r="U940" s="18">
        <v>18</v>
      </c>
      <c r="V940" s="13" t="s">
        <v>5547</v>
      </c>
      <c r="X940" s="132">
        <v>932</v>
      </c>
      <c r="Y940" s="6"/>
    </row>
    <row r="941" spans="1:25" ht="15" customHeight="1" x14ac:dyDescent="0.2">
      <c r="A941" s="12" t="s">
        <v>5536</v>
      </c>
      <c r="B941" s="13" t="s">
        <v>4978</v>
      </c>
      <c r="C941" s="74">
        <v>46564</v>
      </c>
      <c r="D941" s="13" t="s">
        <v>33</v>
      </c>
      <c r="E941" s="6" t="s">
        <v>5537</v>
      </c>
      <c r="F941" s="15" t="s">
        <v>5538</v>
      </c>
      <c r="G941" s="6" t="s">
        <v>5539</v>
      </c>
      <c r="H941" s="6" t="s">
        <v>5539</v>
      </c>
      <c r="I941" s="13" t="s">
        <v>25</v>
      </c>
      <c r="J941" s="13">
        <v>3</v>
      </c>
      <c r="K941" s="13" t="s">
        <v>1714</v>
      </c>
      <c r="L941" s="6" t="s">
        <v>5540</v>
      </c>
      <c r="M941" s="108" t="s">
        <v>5541</v>
      </c>
      <c r="N941" s="13" t="s">
        <v>5542</v>
      </c>
      <c r="O941" s="13" t="s">
        <v>1055</v>
      </c>
      <c r="P941" s="13" t="s">
        <v>16</v>
      </c>
      <c r="Q941" s="6" t="s">
        <v>5543</v>
      </c>
      <c r="R941" s="17" t="s">
        <v>5544</v>
      </c>
      <c r="S941" s="17" t="s">
        <v>5545</v>
      </c>
      <c r="T941" s="18">
        <v>15</v>
      </c>
      <c r="U941" s="18">
        <v>12</v>
      </c>
      <c r="V941" s="13" t="s">
        <v>5546</v>
      </c>
      <c r="X941" s="132">
        <v>933</v>
      </c>
      <c r="Y941" s="6"/>
    </row>
    <row r="942" spans="1:25" ht="15" customHeight="1" x14ac:dyDescent="0.25">
      <c r="A942" s="12" t="s">
        <v>5550</v>
      </c>
      <c r="B942" s="13" t="s">
        <v>4977</v>
      </c>
      <c r="C942" s="14">
        <v>46554</v>
      </c>
      <c r="D942" s="13" t="s">
        <v>1533</v>
      </c>
      <c r="E942" s="6" t="s">
        <v>5551</v>
      </c>
      <c r="F942" s="15" t="s">
        <v>5552</v>
      </c>
      <c r="G942" s="6" t="s">
        <v>5553</v>
      </c>
      <c r="H942" s="6" t="s">
        <v>5553</v>
      </c>
      <c r="I942" s="13" t="s">
        <v>39</v>
      </c>
      <c r="J942" s="13">
        <v>12</v>
      </c>
      <c r="K942" s="13" t="s">
        <v>1714</v>
      </c>
      <c r="L942" s="6" t="s">
        <v>5554</v>
      </c>
      <c r="M942" s="108" t="s">
        <v>10066</v>
      </c>
      <c r="N942" s="13" t="s">
        <v>5555</v>
      </c>
      <c r="O942" s="13" t="s">
        <v>5556</v>
      </c>
      <c r="P942" s="13" t="s">
        <v>9</v>
      </c>
      <c r="Q942" s="6" t="s">
        <v>10064</v>
      </c>
      <c r="R942" s="69" t="s">
        <v>10065</v>
      </c>
      <c r="S942" s="30"/>
      <c r="T942" s="18">
        <v>120</v>
      </c>
      <c r="U942" s="18">
        <v>120</v>
      </c>
      <c r="V942" s="13" t="s">
        <v>5597</v>
      </c>
      <c r="X942" s="132">
        <v>934</v>
      </c>
      <c r="Y942" s="6"/>
    </row>
    <row r="943" spans="1:25" ht="15" customHeight="1" x14ac:dyDescent="0.2">
      <c r="A943" s="12" t="s">
        <v>5557</v>
      </c>
      <c r="B943" s="13" t="s">
        <v>4977</v>
      </c>
      <c r="C943" s="14">
        <v>46675</v>
      </c>
      <c r="D943" s="13" t="s">
        <v>1533</v>
      </c>
      <c r="E943" s="6" t="s">
        <v>10662</v>
      </c>
      <c r="F943" s="15" t="s">
        <v>10548</v>
      </c>
      <c r="G943" s="6" t="s">
        <v>5558</v>
      </c>
      <c r="H943" s="6" t="s">
        <v>5558</v>
      </c>
      <c r="I943" s="13" t="s">
        <v>13</v>
      </c>
      <c r="J943" s="13">
        <v>8</v>
      </c>
      <c r="K943" s="13" t="s">
        <v>1714</v>
      </c>
      <c r="L943" s="6" t="s">
        <v>10549</v>
      </c>
      <c r="M943" s="108" t="s">
        <v>10550</v>
      </c>
      <c r="N943" s="13" t="s">
        <v>10551</v>
      </c>
      <c r="O943" s="13" t="s">
        <v>5556</v>
      </c>
      <c r="P943" s="13" t="s">
        <v>9</v>
      </c>
      <c r="Q943" s="6" t="s">
        <v>10552</v>
      </c>
      <c r="R943" s="30" t="s">
        <v>5559</v>
      </c>
      <c r="S943" s="17"/>
      <c r="T943" s="18">
        <v>150</v>
      </c>
      <c r="U943" s="18">
        <v>59</v>
      </c>
      <c r="V943" s="13" t="s">
        <v>5596</v>
      </c>
      <c r="X943" s="132">
        <v>935</v>
      </c>
      <c r="Y943" s="6"/>
    </row>
    <row r="944" spans="1:25" ht="15" customHeight="1" x14ac:dyDescent="0.2">
      <c r="A944" s="20" t="s">
        <v>5574</v>
      </c>
      <c r="B944" s="22" t="s">
        <v>2608</v>
      </c>
      <c r="C944" s="14">
        <v>45834</v>
      </c>
      <c r="D944" s="13" t="s">
        <v>1533</v>
      </c>
      <c r="E944" s="6" t="s">
        <v>5575</v>
      </c>
      <c r="F944" s="15" t="s">
        <v>5576</v>
      </c>
      <c r="G944" s="6" t="s">
        <v>5577</v>
      </c>
      <c r="H944" s="6" t="s">
        <v>5577</v>
      </c>
      <c r="I944" s="13" t="s">
        <v>39</v>
      </c>
      <c r="J944" s="13">
        <v>12</v>
      </c>
      <c r="K944" s="13" t="s">
        <v>1714</v>
      </c>
      <c r="L944" s="6" t="s">
        <v>5578</v>
      </c>
      <c r="M944" s="108" t="s">
        <v>5579</v>
      </c>
      <c r="N944" s="13" t="s">
        <v>1732</v>
      </c>
      <c r="O944" s="13" t="s">
        <v>1732</v>
      </c>
      <c r="P944" s="13" t="s">
        <v>16</v>
      </c>
      <c r="Q944" s="6" t="s">
        <v>5580</v>
      </c>
      <c r="R944" s="17" t="s">
        <v>5581</v>
      </c>
      <c r="S944" s="17" t="s">
        <v>5582</v>
      </c>
      <c r="T944" s="18">
        <v>200</v>
      </c>
      <c r="U944" s="18">
        <v>160</v>
      </c>
      <c r="V944" s="13" t="s">
        <v>5569</v>
      </c>
      <c r="X944" s="132">
        <v>936</v>
      </c>
      <c r="Y944" s="6"/>
    </row>
    <row r="945" spans="1:25" ht="15" customHeight="1" x14ac:dyDescent="0.2">
      <c r="A945" s="20" t="s">
        <v>5610</v>
      </c>
      <c r="B945" s="22" t="s">
        <v>4978</v>
      </c>
      <c r="C945" s="101">
        <v>46582</v>
      </c>
      <c r="D945" s="22" t="s">
        <v>33</v>
      </c>
      <c r="E945" s="7" t="s">
        <v>9010</v>
      </c>
      <c r="F945" s="77" t="s">
        <v>5612</v>
      </c>
      <c r="G945" s="7" t="s">
        <v>5611</v>
      </c>
      <c r="H945" s="7" t="s">
        <v>5611</v>
      </c>
      <c r="I945" s="22" t="s">
        <v>25</v>
      </c>
      <c r="J945" s="22">
        <v>3</v>
      </c>
      <c r="K945" s="22" t="s">
        <v>1714</v>
      </c>
      <c r="L945" s="7" t="s">
        <v>5613</v>
      </c>
      <c r="M945" s="115" t="s">
        <v>5614</v>
      </c>
      <c r="N945" s="22" t="s">
        <v>5615</v>
      </c>
      <c r="O945" s="13" t="s">
        <v>8</v>
      </c>
      <c r="P945" s="13" t="s">
        <v>9</v>
      </c>
      <c r="Q945" s="7" t="s">
        <v>5616</v>
      </c>
      <c r="R945" s="43" t="s">
        <v>5617</v>
      </c>
      <c r="S945" s="43" t="s">
        <v>6634</v>
      </c>
      <c r="T945" s="44">
        <v>22</v>
      </c>
      <c r="U945" s="44">
        <v>21</v>
      </c>
      <c r="V945" s="22" t="s">
        <v>5618</v>
      </c>
      <c r="X945" s="132">
        <v>937</v>
      </c>
      <c r="Y945" s="6"/>
    </row>
    <row r="946" spans="1:25" ht="15" customHeight="1" x14ac:dyDescent="0.2">
      <c r="A946" s="12" t="s">
        <v>5619</v>
      </c>
      <c r="B946" s="92" t="s">
        <v>4978</v>
      </c>
      <c r="C946" s="74">
        <v>46582</v>
      </c>
      <c r="D946" s="13" t="s">
        <v>33</v>
      </c>
      <c r="E946" s="6" t="s">
        <v>5679</v>
      </c>
      <c r="F946" s="15" t="s">
        <v>5680</v>
      </c>
      <c r="G946" s="6" t="s">
        <v>5620</v>
      </c>
      <c r="H946" s="6" t="s">
        <v>5620</v>
      </c>
      <c r="I946" s="13" t="s">
        <v>25</v>
      </c>
      <c r="J946" s="13">
        <v>3</v>
      </c>
      <c r="K946" s="13" t="s">
        <v>1714</v>
      </c>
      <c r="L946" s="6" t="s">
        <v>5621</v>
      </c>
      <c r="M946" s="108" t="s">
        <v>5622</v>
      </c>
      <c r="N946" s="13" t="s">
        <v>8</v>
      </c>
      <c r="O946" s="13" t="s">
        <v>8</v>
      </c>
      <c r="P946" s="13" t="s">
        <v>9</v>
      </c>
      <c r="Q946" s="6" t="s">
        <v>5623</v>
      </c>
      <c r="R946" s="17" t="s">
        <v>5624</v>
      </c>
      <c r="S946" s="17" t="s">
        <v>5625</v>
      </c>
      <c r="T946" s="18">
        <v>28</v>
      </c>
      <c r="U946" s="18">
        <v>28</v>
      </c>
      <c r="V946" s="13" t="s">
        <v>5626</v>
      </c>
      <c r="X946" s="132">
        <v>938</v>
      </c>
      <c r="Y946" s="6"/>
    </row>
    <row r="947" spans="1:25" ht="15" customHeight="1" x14ac:dyDescent="0.2">
      <c r="A947" s="12" t="s">
        <v>5627</v>
      </c>
      <c r="B947" s="92" t="s">
        <v>4978</v>
      </c>
      <c r="C947" s="74">
        <v>46582</v>
      </c>
      <c r="D947" s="13" t="s">
        <v>33</v>
      </c>
      <c r="E947" s="6" t="s">
        <v>5681</v>
      </c>
      <c r="F947" s="15" t="s">
        <v>5683</v>
      </c>
      <c r="G947" s="6" t="s">
        <v>5628</v>
      </c>
      <c r="H947" s="6" t="s">
        <v>5628</v>
      </c>
      <c r="I947" s="13" t="s">
        <v>25</v>
      </c>
      <c r="J947" s="13">
        <v>3</v>
      </c>
      <c r="K947" s="13" t="s">
        <v>1714</v>
      </c>
      <c r="L947" s="6" t="s">
        <v>5629</v>
      </c>
      <c r="M947" s="108" t="s">
        <v>5630</v>
      </c>
      <c r="N947" s="13" t="s">
        <v>2601</v>
      </c>
      <c r="O947" s="13" t="s">
        <v>8</v>
      </c>
      <c r="P947" s="13" t="s">
        <v>9</v>
      </c>
      <c r="Q947" s="6" t="s">
        <v>5631</v>
      </c>
      <c r="R947" s="17" t="s">
        <v>5632</v>
      </c>
      <c r="S947" s="17" t="s">
        <v>5633</v>
      </c>
      <c r="T947" s="18">
        <v>30</v>
      </c>
      <c r="U947" s="18">
        <v>11</v>
      </c>
      <c r="V947" s="13" t="s">
        <v>5634</v>
      </c>
      <c r="X947" s="132">
        <v>939</v>
      </c>
      <c r="Y947" s="6"/>
    </row>
    <row r="948" spans="1:25" ht="15" customHeight="1" x14ac:dyDescent="0.2">
      <c r="A948" s="12" t="s">
        <v>5635</v>
      </c>
      <c r="B948" s="92" t="s">
        <v>4978</v>
      </c>
      <c r="C948" s="74">
        <v>46582</v>
      </c>
      <c r="D948" s="13" t="s">
        <v>33</v>
      </c>
      <c r="E948" s="6" t="s">
        <v>5682</v>
      </c>
      <c r="F948" s="6" t="s">
        <v>5639</v>
      </c>
      <c r="G948" s="6" t="s">
        <v>5636</v>
      </c>
      <c r="H948" s="6" t="s">
        <v>5636</v>
      </c>
      <c r="I948" s="13" t="s">
        <v>25</v>
      </c>
      <c r="J948" s="13">
        <v>3</v>
      </c>
      <c r="K948" s="13" t="s">
        <v>1714</v>
      </c>
      <c r="L948" s="6" t="s">
        <v>5655</v>
      </c>
      <c r="M948" s="108" t="s">
        <v>2339</v>
      </c>
      <c r="N948" s="13" t="s">
        <v>2340</v>
      </c>
      <c r="O948" s="13" t="s">
        <v>1055</v>
      </c>
      <c r="P948" s="13" t="s">
        <v>16</v>
      </c>
      <c r="Q948" s="6" t="s">
        <v>5637</v>
      </c>
      <c r="R948" s="17" t="s">
        <v>5252</v>
      </c>
      <c r="S948" s="17" t="s">
        <v>6634</v>
      </c>
      <c r="T948" s="18">
        <v>25</v>
      </c>
      <c r="U948" s="18">
        <v>25</v>
      </c>
      <c r="V948" s="13" t="s">
        <v>5638</v>
      </c>
      <c r="X948" s="132">
        <v>940</v>
      </c>
      <c r="Y948" s="6"/>
    </row>
    <row r="949" spans="1:25" ht="15" customHeight="1" x14ac:dyDescent="0.2">
      <c r="A949" s="12" t="s">
        <v>5640</v>
      </c>
      <c r="B949" s="92" t="s">
        <v>4978</v>
      </c>
      <c r="C949" s="74">
        <v>46582</v>
      </c>
      <c r="D949" s="13" t="s">
        <v>33</v>
      </c>
      <c r="E949" s="6" t="s">
        <v>5642</v>
      </c>
      <c r="F949" s="6" t="s">
        <v>5641</v>
      </c>
      <c r="G949" s="6" t="s">
        <v>5643</v>
      </c>
      <c r="H949" s="6" t="s">
        <v>5643</v>
      </c>
      <c r="I949" s="13" t="s">
        <v>25</v>
      </c>
      <c r="J949" s="13">
        <v>3</v>
      </c>
      <c r="K949" s="13" t="s">
        <v>1714</v>
      </c>
      <c r="L949" s="6" t="s">
        <v>5654</v>
      </c>
      <c r="M949" s="108" t="s">
        <v>5644</v>
      </c>
      <c r="N949" s="13" t="s">
        <v>2123</v>
      </c>
      <c r="O949" s="13" t="s">
        <v>15</v>
      </c>
      <c r="P949" s="13" t="s">
        <v>16</v>
      </c>
      <c r="Q949" s="6" t="s">
        <v>5645</v>
      </c>
      <c r="R949" s="17" t="s">
        <v>5646</v>
      </c>
      <c r="S949" s="17" t="s">
        <v>5647</v>
      </c>
      <c r="T949" s="18">
        <v>19</v>
      </c>
      <c r="U949" s="18">
        <v>18</v>
      </c>
      <c r="V949" s="13" t="s">
        <v>5648</v>
      </c>
      <c r="X949" s="132">
        <v>941</v>
      </c>
      <c r="Y949" s="6"/>
    </row>
    <row r="950" spans="1:25" ht="15" customHeight="1" x14ac:dyDescent="0.2">
      <c r="A950" s="12" t="s">
        <v>5649</v>
      </c>
      <c r="B950" s="92" t="s">
        <v>4978</v>
      </c>
      <c r="C950" s="74">
        <v>46582</v>
      </c>
      <c r="D950" s="13" t="s">
        <v>33</v>
      </c>
      <c r="E950" s="6" t="s">
        <v>5651</v>
      </c>
      <c r="F950" s="15" t="s">
        <v>5652</v>
      </c>
      <c r="G950" s="6" t="s">
        <v>5650</v>
      </c>
      <c r="H950" s="6" t="s">
        <v>5650</v>
      </c>
      <c r="I950" s="13" t="s">
        <v>25</v>
      </c>
      <c r="J950" s="13">
        <v>3</v>
      </c>
      <c r="K950" s="13" t="s">
        <v>1714</v>
      </c>
      <c r="L950" s="6" t="s">
        <v>5653</v>
      </c>
      <c r="M950" s="108" t="s">
        <v>5656</v>
      </c>
      <c r="N950" s="13" t="s">
        <v>5657</v>
      </c>
      <c r="O950" s="13" t="s">
        <v>240</v>
      </c>
      <c r="P950" s="13" t="s">
        <v>16</v>
      </c>
      <c r="Q950" s="6" t="s">
        <v>5658</v>
      </c>
      <c r="R950" s="121" t="s">
        <v>5659</v>
      </c>
      <c r="S950" s="17" t="s">
        <v>5660</v>
      </c>
      <c r="T950" s="18">
        <v>36</v>
      </c>
      <c r="U950" s="18">
        <v>30</v>
      </c>
      <c r="V950" s="13" t="s">
        <v>5661</v>
      </c>
      <c r="X950" s="132">
        <v>942</v>
      </c>
      <c r="Y950" s="6"/>
    </row>
    <row r="951" spans="1:25" ht="15" customHeight="1" x14ac:dyDescent="0.2">
      <c r="A951" s="12" t="s">
        <v>5688</v>
      </c>
      <c r="B951" s="92" t="s">
        <v>4978</v>
      </c>
      <c r="C951" s="74">
        <v>46582</v>
      </c>
      <c r="D951" s="13" t="s">
        <v>1533</v>
      </c>
      <c r="E951" s="6" t="s">
        <v>5684</v>
      </c>
      <c r="F951" s="6" t="s">
        <v>5685</v>
      </c>
      <c r="G951" s="6" t="s">
        <v>5689</v>
      </c>
      <c r="H951" s="6" t="s">
        <v>5689</v>
      </c>
      <c r="I951" s="13" t="s">
        <v>13</v>
      </c>
      <c r="J951" s="13">
        <v>7</v>
      </c>
      <c r="K951" s="13" t="s">
        <v>6603</v>
      </c>
      <c r="L951" s="6" t="s">
        <v>5691</v>
      </c>
      <c r="M951" s="108"/>
      <c r="N951" s="13" t="s">
        <v>293</v>
      </c>
      <c r="O951" s="13" t="s">
        <v>293</v>
      </c>
      <c r="P951" s="13" t="s">
        <v>16</v>
      </c>
      <c r="Q951" s="6" t="s">
        <v>5694</v>
      </c>
      <c r="R951" s="17" t="s">
        <v>5696</v>
      </c>
      <c r="S951" s="17" t="s">
        <v>5697</v>
      </c>
      <c r="T951" s="18">
        <v>100</v>
      </c>
      <c r="U951" s="18">
        <v>100</v>
      </c>
      <c r="V951" s="13" t="s">
        <v>5698</v>
      </c>
      <c r="X951" s="132">
        <v>943</v>
      </c>
      <c r="Y951" s="6"/>
    </row>
    <row r="952" spans="1:25" ht="15" customHeight="1" x14ac:dyDescent="0.2">
      <c r="A952" s="12" t="s">
        <v>5687</v>
      </c>
      <c r="B952" s="92" t="s">
        <v>4978</v>
      </c>
      <c r="C952" s="74">
        <v>46582</v>
      </c>
      <c r="D952" s="13" t="s">
        <v>1533</v>
      </c>
      <c r="E952" s="6" t="s">
        <v>5684</v>
      </c>
      <c r="F952" s="6" t="s">
        <v>5686</v>
      </c>
      <c r="G952" s="6" t="s">
        <v>5689</v>
      </c>
      <c r="H952" s="6" t="s">
        <v>5690</v>
      </c>
      <c r="I952" s="13" t="s">
        <v>13</v>
      </c>
      <c r="J952" s="13">
        <v>7</v>
      </c>
      <c r="K952" s="13" t="s">
        <v>6603</v>
      </c>
      <c r="L952" s="6" t="s">
        <v>5692</v>
      </c>
      <c r="M952" s="108"/>
      <c r="N952" s="13" t="s">
        <v>5693</v>
      </c>
      <c r="O952" s="13" t="s">
        <v>704</v>
      </c>
      <c r="P952" s="13" t="s">
        <v>16</v>
      </c>
      <c r="Q952" s="6" t="s">
        <v>5695</v>
      </c>
      <c r="R952" s="17" t="s">
        <v>5696</v>
      </c>
      <c r="S952" s="17" t="s">
        <v>5697</v>
      </c>
      <c r="T952" s="18">
        <v>100</v>
      </c>
      <c r="U952" s="18">
        <v>100</v>
      </c>
      <c r="V952" s="13" t="s">
        <v>5698</v>
      </c>
      <c r="X952" s="132">
        <v>944</v>
      </c>
      <c r="Y952" s="6"/>
    </row>
    <row r="953" spans="1:25" ht="15" customHeight="1" x14ac:dyDescent="0.2">
      <c r="A953" s="12" t="s">
        <v>5699</v>
      </c>
      <c r="B953" s="92" t="s">
        <v>4978</v>
      </c>
      <c r="C953" s="74">
        <v>46582</v>
      </c>
      <c r="D953" s="13" t="s">
        <v>33</v>
      </c>
      <c r="E953" s="6" t="s">
        <v>5700</v>
      </c>
      <c r="F953" s="15" t="s">
        <v>5702</v>
      </c>
      <c r="G953" s="6" t="s">
        <v>5701</v>
      </c>
      <c r="H953" s="6" t="s">
        <v>5701</v>
      </c>
      <c r="I953" s="13" t="s">
        <v>25</v>
      </c>
      <c r="J953" s="13">
        <v>3</v>
      </c>
      <c r="K953" s="13" t="s">
        <v>1714</v>
      </c>
      <c r="L953" s="6" t="s">
        <v>5703</v>
      </c>
      <c r="M953" s="108" t="s">
        <v>5704</v>
      </c>
      <c r="N953" s="13" t="s">
        <v>743</v>
      </c>
      <c r="O953" s="13" t="s">
        <v>743</v>
      </c>
      <c r="P953" s="13" t="s">
        <v>16</v>
      </c>
      <c r="Q953" s="6" t="s">
        <v>5637</v>
      </c>
      <c r="R953" s="17" t="s">
        <v>5252</v>
      </c>
      <c r="S953" s="17" t="s">
        <v>6634</v>
      </c>
      <c r="T953" s="18">
        <v>18</v>
      </c>
      <c r="U953" s="18">
        <v>18</v>
      </c>
      <c r="V953" s="13" t="s">
        <v>5705</v>
      </c>
      <c r="X953" s="132">
        <v>945</v>
      </c>
      <c r="Y953" s="6"/>
    </row>
    <row r="954" spans="1:25" ht="15" customHeight="1" x14ac:dyDescent="0.2">
      <c r="A954" s="20" t="s">
        <v>5706</v>
      </c>
      <c r="B954" s="22" t="s">
        <v>2608</v>
      </c>
      <c r="C954" s="14">
        <v>45852</v>
      </c>
      <c r="D954" s="13" t="s">
        <v>1533</v>
      </c>
      <c r="E954" s="6" t="s">
        <v>5707</v>
      </c>
      <c r="F954" s="15" t="s">
        <v>5708</v>
      </c>
      <c r="G954" s="6" t="s">
        <v>5709</v>
      </c>
      <c r="H954" s="6" t="s">
        <v>5709</v>
      </c>
      <c r="I954" s="13" t="s">
        <v>39</v>
      </c>
      <c r="J954" s="13">
        <v>12</v>
      </c>
      <c r="K954" s="13" t="s">
        <v>1714</v>
      </c>
      <c r="L954" s="6" t="s">
        <v>7662</v>
      </c>
      <c r="M954" s="108" t="s">
        <v>7663</v>
      </c>
      <c r="N954" s="13" t="s">
        <v>172</v>
      </c>
      <c r="O954" s="13" t="s">
        <v>172</v>
      </c>
      <c r="P954" s="13" t="s">
        <v>9</v>
      </c>
      <c r="Q954" s="6" t="s">
        <v>5710</v>
      </c>
      <c r="R954" s="17" t="s">
        <v>5711</v>
      </c>
      <c r="S954" s="17" t="s">
        <v>6634</v>
      </c>
      <c r="T954" s="18">
        <v>2000</v>
      </c>
      <c r="U954" s="18">
        <v>1500</v>
      </c>
      <c r="V954" s="13" t="s">
        <v>5712</v>
      </c>
      <c r="X954" s="132">
        <v>946</v>
      </c>
      <c r="Y954" s="6"/>
    </row>
    <row r="955" spans="1:25" ht="15" customHeight="1" x14ac:dyDescent="0.25">
      <c r="A955" s="12" t="s">
        <v>5714</v>
      </c>
      <c r="B955" s="92" t="s">
        <v>4978</v>
      </c>
      <c r="C955" s="74">
        <v>47406</v>
      </c>
      <c r="D955" s="13" t="s">
        <v>33</v>
      </c>
      <c r="E955" s="6" t="s">
        <v>5715</v>
      </c>
      <c r="F955" s="15" t="s">
        <v>5716</v>
      </c>
      <c r="G955" s="6" t="s">
        <v>5717</v>
      </c>
      <c r="H955" s="6" t="s">
        <v>5717</v>
      </c>
      <c r="I955" s="13" t="s">
        <v>25</v>
      </c>
      <c r="J955" s="13">
        <v>3</v>
      </c>
      <c r="K955" s="13" t="s">
        <v>1714</v>
      </c>
      <c r="L955" s="6" t="s">
        <v>10636</v>
      </c>
      <c r="M955" s="108" t="s">
        <v>2653</v>
      </c>
      <c r="N955" s="13" t="s">
        <v>2229</v>
      </c>
      <c r="O955" s="13" t="s">
        <v>36</v>
      </c>
      <c r="P955" s="13" t="s">
        <v>4</v>
      </c>
      <c r="Q955" s="6" t="s">
        <v>5718</v>
      </c>
      <c r="R955" s="69" t="s">
        <v>10684</v>
      </c>
      <c r="S955" s="69" t="s">
        <v>10685</v>
      </c>
      <c r="T955" s="18">
        <v>29</v>
      </c>
      <c r="U955" s="18">
        <v>23</v>
      </c>
      <c r="V955" s="13" t="s">
        <v>5719</v>
      </c>
      <c r="X955" s="132">
        <v>947</v>
      </c>
      <c r="Y955" s="6"/>
    </row>
    <row r="956" spans="1:25" ht="15" customHeight="1" x14ac:dyDescent="0.2">
      <c r="A956" s="12" t="s">
        <v>5720</v>
      </c>
      <c r="B956" s="92" t="s">
        <v>4978</v>
      </c>
      <c r="C956" s="74">
        <v>46582</v>
      </c>
      <c r="D956" s="13" t="s">
        <v>33</v>
      </c>
      <c r="E956" s="6" t="s">
        <v>5721</v>
      </c>
      <c r="F956" s="15" t="s">
        <v>501</v>
      </c>
      <c r="G956" s="6" t="s">
        <v>5722</v>
      </c>
      <c r="H956" s="6" t="s">
        <v>5722</v>
      </c>
      <c r="I956" s="13" t="s">
        <v>25</v>
      </c>
      <c r="J956" s="13">
        <v>3</v>
      </c>
      <c r="K956" s="13" t="s">
        <v>1714</v>
      </c>
      <c r="L956" s="6" t="s">
        <v>11273</v>
      </c>
      <c r="M956" s="108" t="s">
        <v>5723</v>
      </c>
      <c r="N956" s="13" t="s">
        <v>4774</v>
      </c>
      <c r="O956" s="13" t="s">
        <v>128</v>
      </c>
      <c r="P956" s="13" t="s">
        <v>16</v>
      </c>
      <c r="Q956" s="6" t="s">
        <v>3786</v>
      </c>
      <c r="R956" s="17" t="s">
        <v>4682</v>
      </c>
      <c r="S956" s="17" t="s">
        <v>6631</v>
      </c>
      <c r="T956" s="18">
        <v>32</v>
      </c>
      <c r="U956" s="18">
        <v>26</v>
      </c>
      <c r="V956" s="13" t="s">
        <v>5724</v>
      </c>
      <c r="X956" s="132">
        <v>948</v>
      </c>
      <c r="Y956" s="6"/>
    </row>
    <row r="957" spans="1:25" ht="15" customHeight="1" x14ac:dyDescent="0.2">
      <c r="A957" s="12" t="s">
        <v>5760</v>
      </c>
      <c r="B957" s="92" t="s">
        <v>4978</v>
      </c>
      <c r="C957" s="74">
        <v>46596</v>
      </c>
      <c r="D957" s="13" t="s">
        <v>33</v>
      </c>
      <c r="E957" s="6" t="s">
        <v>5761</v>
      </c>
      <c r="F957" s="6" t="s">
        <v>9174</v>
      </c>
      <c r="G957" s="6" t="s">
        <v>5762</v>
      </c>
      <c r="H957" s="6" t="s">
        <v>5762</v>
      </c>
      <c r="I957" s="13" t="s">
        <v>25</v>
      </c>
      <c r="J957" s="13">
        <v>3</v>
      </c>
      <c r="K957" s="13" t="s">
        <v>1714</v>
      </c>
      <c r="L957" s="6" t="s">
        <v>5763</v>
      </c>
      <c r="M957" s="108" t="s">
        <v>5764</v>
      </c>
      <c r="N957" s="13" t="s">
        <v>3916</v>
      </c>
      <c r="O957" s="13" t="s">
        <v>36</v>
      </c>
      <c r="P957" s="13" t="s">
        <v>4</v>
      </c>
      <c r="Q957" s="6" t="s">
        <v>5765</v>
      </c>
      <c r="R957" s="17" t="s">
        <v>5766</v>
      </c>
      <c r="S957" s="17" t="s">
        <v>6634</v>
      </c>
      <c r="T957" s="18">
        <v>19</v>
      </c>
      <c r="U957" s="18">
        <v>14</v>
      </c>
      <c r="V957" s="13" t="s">
        <v>5767</v>
      </c>
      <c r="X957" s="132">
        <v>949</v>
      </c>
      <c r="Y957" s="6"/>
    </row>
    <row r="958" spans="1:25" ht="15" customHeight="1" x14ac:dyDescent="0.2">
      <c r="A958" s="12" t="s">
        <v>5773</v>
      </c>
      <c r="B958" s="92" t="s">
        <v>4978</v>
      </c>
      <c r="C958" s="74">
        <v>46596</v>
      </c>
      <c r="D958" s="13" t="s">
        <v>33</v>
      </c>
      <c r="E958" s="6" t="s">
        <v>5774</v>
      </c>
      <c r="F958" s="15" t="s">
        <v>5775</v>
      </c>
      <c r="G958" s="6" t="s">
        <v>5776</v>
      </c>
      <c r="H958" s="6" t="s">
        <v>5776</v>
      </c>
      <c r="I958" s="13" t="s">
        <v>25</v>
      </c>
      <c r="J958" s="13">
        <v>3</v>
      </c>
      <c r="K958" s="13" t="s">
        <v>1714</v>
      </c>
      <c r="L958" s="6" t="s">
        <v>5777</v>
      </c>
      <c r="M958" s="108" t="s">
        <v>5778</v>
      </c>
      <c r="N958" s="13" t="s">
        <v>5779</v>
      </c>
      <c r="O958" s="13" t="s">
        <v>204</v>
      </c>
      <c r="P958" s="13" t="s">
        <v>9</v>
      </c>
      <c r="Q958" s="6" t="s">
        <v>5780</v>
      </c>
      <c r="R958" s="17" t="s">
        <v>5781</v>
      </c>
      <c r="S958" s="17" t="s">
        <v>6634</v>
      </c>
      <c r="T958" s="18">
        <v>10</v>
      </c>
      <c r="U958" s="18">
        <v>10</v>
      </c>
      <c r="V958" s="13" t="s">
        <v>5782</v>
      </c>
      <c r="X958" s="132">
        <v>950</v>
      </c>
      <c r="Y958" s="6"/>
    </row>
    <row r="959" spans="1:25" ht="15" customHeight="1" x14ac:dyDescent="0.2">
      <c r="A959" s="12" t="s">
        <v>5783</v>
      </c>
      <c r="B959" s="92" t="s">
        <v>4978</v>
      </c>
      <c r="C959" s="74">
        <v>46596</v>
      </c>
      <c r="D959" s="13" t="s">
        <v>33</v>
      </c>
      <c r="E959" s="6" t="s">
        <v>5784</v>
      </c>
      <c r="F959" s="15" t="s">
        <v>5785</v>
      </c>
      <c r="G959" s="6" t="s">
        <v>5786</v>
      </c>
      <c r="H959" s="6" t="s">
        <v>5786</v>
      </c>
      <c r="I959" s="13" t="s">
        <v>25</v>
      </c>
      <c r="J959" s="13">
        <v>3</v>
      </c>
      <c r="K959" s="13" t="s">
        <v>1714</v>
      </c>
      <c r="L959" s="6" t="s">
        <v>5787</v>
      </c>
      <c r="M959" s="108" t="s">
        <v>5154</v>
      </c>
      <c r="N959" s="13" t="s">
        <v>2340</v>
      </c>
      <c r="O959" s="13" t="s">
        <v>1055</v>
      </c>
      <c r="P959" s="13" t="s">
        <v>16</v>
      </c>
      <c r="Q959" s="6" t="s">
        <v>5788</v>
      </c>
      <c r="R959" s="17" t="s">
        <v>5789</v>
      </c>
      <c r="S959" s="17" t="s">
        <v>5790</v>
      </c>
      <c r="T959" s="18">
        <v>38</v>
      </c>
      <c r="U959" s="18">
        <v>38</v>
      </c>
      <c r="V959" s="13" t="s">
        <v>5791</v>
      </c>
      <c r="X959" s="132">
        <v>951</v>
      </c>
      <c r="Y959" s="6"/>
    </row>
    <row r="960" spans="1:25" ht="15" customHeight="1" x14ac:dyDescent="0.2">
      <c r="A960" s="12" t="s">
        <v>5792</v>
      </c>
      <c r="B960" s="92" t="s">
        <v>4978</v>
      </c>
      <c r="C960" s="74">
        <v>46596</v>
      </c>
      <c r="D960" s="13" t="s">
        <v>33</v>
      </c>
      <c r="E960" s="6" t="s">
        <v>5793</v>
      </c>
      <c r="F960" s="6" t="s">
        <v>5800</v>
      </c>
      <c r="G960" s="6" t="s">
        <v>5794</v>
      </c>
      <c r="H960" s="6" t="s">
        <v>5794</v>
      </c>
      <c r="I960" s="13" t="s">
        <v>25</v>
      </c>
      <c r="J960" s="13">
        <v>3</v>
      </c>
      <c r="K960" s="13" t="s">
        <v>1714</v>
      </c>
      <c r="L960" s="6" t="s">
        <v>5795</v>
      </c>
      <c r="M960" s="108" t="s">
        <v>5796</v>
      </c>
      <c r="N960" s="13" t="s">
        <v>5797</v>
      </c>
      <c r="O960" s="13" t="s">
        <v>21</v>
      </c>
      <c r="P960" s="13" t="s">
        <v>9</v>
      </c>
      <c r="Q960" s="6" t="s">
        <v>5798</v>
      </c>
      <c r="R960" s="30" t="s">
        <v>5799</v>
      </c>
      <c r="S960" s="17" t="s">
        <v>6634</v>
      </c>
      <c r="T960" s="18">
        <v>15</v>
      </c>
      <c r="U960" s="18">
        <v>12</v>
      </c>
      <c r="V960" s="13" t="s">
        <v>5850</v>
      </c>
      <c r="X960" s="132">
        <v>952</v>
      </c>
      <c r="Y960" s="6"/>
    </row>
    <row r="961" spans="1:25" ht="15" customHeight="1" x14ac:dyDescent="0.2">
      <c r="A961" s="20" t="s">
        <v>5830</v>
      </c>
      <c r="B961" s="22" t="s">
        <v>2608</v>
      </c>
      <c r="C961" s="14">
        <v>45887</v>
      </c>
      <c r="D961" s="13" t="s">
        <v>1533</v>
      </c>
      <c r="E961" s="6" t="s">
        <v>5838</v>
      </c>
      <c r="F961" s="15" t="s">
        <v>5839</v>
      </c>
      <c r="G961" s="6" t="s">
        <v>5840</v>
      </c>
      <c r="H961" s="6" t="s">
        <v>5840</v>
      </c>
      <c r="I961" s="13" t="s">
        <v>39</v>
      </c>
      <c r="J961" s="13">
        <v>12</v>
      </c>
      <c r="K961" s="13" t="s">
        <v>1714</v>
      </c>
      <c r="L961" s="6" t="s">
        <v>7664</v>
      </c>
      <c r="M961" s="108" t="s">
        <v>4878</v>
      </c>
      <c r="N961" s="13" t="s">
        <v>4879</v>
      </c>
      <c r="O961" s="13" t="s">
        <v>53</v>
      </c>
      <c r="P961" s="13" t="s">
        <v>54</v>
      </c>
      <c r="Q961" s="39" t="s">
        <v>7665</v>
      </c>
      <c r="R961" s="25" t="s">
        <v>7666</v>
      </c>
      <c r="S961" s="25" t="s">
        <v>7667</v>
      </c>
      <c r="T961" s="18">
        <v>15</v>
      </c>
      <c r="U961" s="18">
        <v>15</v>
      </c>
      <c r="V961" s="13" t="s">
        <v>5848</v>
      </c>
      <c r="X961" s="132">
        <v>953</v>
      </c>
      <c r="Y961" s="6"/>
    </row>
    <row r="962" spans="1:25" ht="15" customHeight="1" x14ac:dyDescent="0.2">
      <c r="A962" s="12" t="s">
        <v>5831</v>
      </c>
      <c r="B962" s="92" t="s">
        <v>4978</v>
      </c>
      <c r="C962" s="74">
        <v>46617</v>
      </c>
      <c r="D962" s="13" t="s">
        <v>33</v>
      </c>
      <c r="E962" s="6" t="s">
        <v>5841</v>
      </c>
      <c r="F962" s="15" t="s">
        <v>5842</v>
      </c>
      <c r="G962" s="6" t="s">
        <v>5843</v>
      </c>
      <c r="H962" s="6" t="s">
        <v>5843</v>
      </c>
      <c r="I962" s="13" t="s">
        <v>25</v>
      </c>
      <c r="J962" s="13">
        <v>3</v>
      </c>
      <c r="K962" s="13" t="s">
        <v>1714</v>
      </c>
      <c r="L962" s="6" t="s">
        <v>5844</v>
      </c>
      <c r="M962" s="108" t="s">
        <v>2638</v>
      </c>
      <c r="N962" s="13" t="s">
        <v>2130</v>
      </c>
      <c r="O962" s="13" t="s">
        <v>1889</v>
      </c>
      <c r="P962" s="13" t="s">
        <v>68</v>
      </c>
      <c r="Q962" s="6" t="s">
        <v>5845</v>
      </c>
      <c r="R962" s="17" t="s">
        <v>5846</v>
      </c>
      <c r="S962" s="17" t="s">
        <v>5847</v>
      </c>
      <c r="T962" s="18">
        <v>32</v>
      </c>
      <c r="U962" s="18">
        <v>30</v>
      </c>
      <c r="V962" s="13" t="s">
        <v>5849</v>
      </c>
      <c r="X962" s="132">
        <v>954</v>
      </c>
      <c r="Y962" s="6"/>
    </row>
    <row r="963" spans="1:25" ht="15" customHeight="1" x14ac:dyDescent="0.2">
      <c r="A963" s="12" t="s">
        <v>5832</v>
      </c>
      <c r="B963" s="92" t="s">
        <v>4978</v>
      </c>
      <c r="C963" s="74">
        <v>46617</v>
      </c>
      <c r="D963" s="13" t="s">
        <v>1533</v>
      </c>
      <c r="E963" s="6" t="s">
        <v>5851</v>
      </c>
      <c r="F963" s="15" t="s">
        <v>5852</v>
      </c>
      <c r="G963" s="6" t="s">
        <v>5853</v>
      </c>
      <c r="H963" s="6" t="s">
        <v>5853</v>
      </c>
      <c r="I963" s="13" t="s">
        <v>13</v>
      </c>
      <c r="J963" s="13">
        <v>7</v>
      </c>
      <c r="K963" s="13" t="s">
        <v>6603</v>
      </c>
      <c r="L963" s="6" t="s">
        <v>5854</v>
      </c>
      <c r="M963" s="108" t="s">
        <v>5855</v>
      </c>
      <c r="N963" s="13" t="s">
        <v>2298</v>
      </c>
      <c r="O963" s="13" t="s">
        <v>445</v>
      </c>
      <c r="P963" s="13" t="s">
        <v>16</v>
      </c>
      <c r="Q963" s="6" t="s">
        <v>5856</v>
      </c>
      <c r="R963" s="17" t="s">
        <v>5857</v>
      </c>
      <c r="S963" s="17" t="s">
        <v>6634</v>
      </c>
      <c r="T963" s="18">
        <v>100</v>
      </c>
      <c r="U963" s="18">
        <v>136</v>
      </c>
      <c r="V963" s="13" t="s">
        <v>5858</v>
      </c>
      <c r="X963" s="132">
        <v>955</v>
      </c>
      <c r="Y963" s="6"/>
    </row>
    <row r="964" spans="1:25" ht="15" customHeight="1" x14ac:dyDescent="0.2">
      <c r="A964" s="12" t="s">
        <v>6476</v>
      </c>
      <c r="B964" s="92" t="s">
        <v>4978</v>
      </c>
      <c r="C964" s="74">
        <v>46742</v>
      </c>
      <c r="D964" s="13" t="s">
        <v>1533</v>
      </c>
      <c r="E964" s="6" t="s">
        <v>5851</v>
      </c>
      <c r="F964" s="15" t="s">
        <v>6477</v>
      </c>
      <c r="G964" s="6" t="s">
        <v>5853</v>
      </c>
      <c r="H964" s="6" t="s">
        <v>5853</v>
      </c>
      <c r="I964" s="13" t="s">
        <v>13</v>
      </c>
      <c r="J964" s="13">
        <v>7</v>
      </c>
      <c r="K964" s="13" t="s">
        <v>6603</v>
      </c>
      <c r="L964" s="6" t="s">
        <v>6591</v>
      </c>
      <c r="M964" s="108" t="s">
        <v>6592</v>
      </c>
      <c r="N964" s="13" t="s">
        <v>6514</v>
      </c>
      <c r="O964" s="13" t="s">
        <v>445</v>
      </c>
      <c r="P964" s="13" t="s">
        <v>16</v>
      </c>
      <c r="Q964" s="6" t="s">
        <v>5856</v>
      </c>
      <c r="R964" s="17" t="s">
        <v>5857</v>
      </c>
      <c r="S964" s="17" t="s">
        <v>6634</v>
      </c>
      <c r="T964" s="18">
        <v>100</v>
      </c>
      <c r="U964" s="18">
        <v>125</v>
      </c>
      <c r="V964" s="13" t="s">
        <v>5858</v>
      </c>
      <c r="X964" s="132">
        <v>956</v>
      </c>
      <c r="Y964" s="6"/>
    </row>
    <row r="965" spans="1:25" ht="15" customHeight="1" x14ac:dyDescent="0.2">
      <c r="A965" s="12" t="s">
        <v>5833</v>
      </c>
      <c r="B965" s="13" t="s">
        <v>4977</v>
      </c>
      <c r="C965" s="14">
        <v>46617</v>
      </c>
      <c r="D965" s="13" t="s">
        <v>1533</v>
      </c>
      <c r="E965" s="6" t="s">
        <v>5893</v>
      </c>
      <c r="F965" s="15" t="s">
        <v>5859</v>
      </c>
      <c r="G965" s="6" t="s">
        <v>5860</v>
      </c>
      <c r="H965" s="6" t="s">
        <v>5860</v>
      </c>
      <c r="I965" s="13" t="s">
        <v>39</v>
      </c>
      <c r="J965" s="13">
        <v>12</v>
      </c>
      <c r="K965" s="13" t="s">
        <v>1714</v>
      </c>
      <c r="L965" s="6" t="s">
        <v>7668</v>
      </c>
      <c r="M965" s="108" t="s">
        <v>7669</v>
      </c>
      <c r="N965" s="13" t="s">
        <v>7670</v>
      </c>
      <c r="O965" s="13" t="s">
        <v>5556</v>
      </c>
      <c r="P965" s="13" t="s">
        <v>9</v>
      </c>
      <c r="Q965" s="6" t="s">
        <v>7671</v>
      </c>
      <c r="R965" s="25" t="s">
        <v>7672</v>
      </c>
      <c r="S965" s="25" t="s">
        <v>7673</v>
      </c>
      <c r="T965" s="18">
        <v>18</v>
      </c>
      <c r="U965" s="18">
        <v>18</v>
      </c>
      <c r="V965" s="13" t="s">
        <v>5861</v>
      </c>
      <c r="X965" s="132">
        <v>957</v>
      </c>
      <c r="Y965" s="6"/>
    </row>
    <row r="966" spans="1:25" ht="15" customHeight="1" x14ac:dyDescent="0.2">
      <c r="A966" s="12" t="s">
        <v>5834</v>
      </c>
      <c r="B966" s="92" t="s">
        <v>4978</v>
      </c>
      <c r="C966" s="74">
        <v>46617</v>
      </c>
      <c r="D966" s="13" t="s">
        <v>33</v>
      </c>
      <c r="E966" s="6" t="s">
        <v>5862</v>
      </c>
      <c r="F966" s="15" t="s">
        <v>5869</v>
      </c>
      <c r="G966" s="6" t="s">
        <v>5863</v>
      </c>
      <c r="H966" s="6" t="s">
        <v>5863</v>
      </c>
      <c r="I966" s="13" t="s">
        <v>25</v>
      </c>
      <c r="J966" s="13">
        <v>3</v>
      </c>
      <c r="K966" s="13" t="s">
        <v>1714</v>
      </c>
      <c r="L966" s="6" t="s">
        <v>5864</v>
      </c>
      <c r="M966" s="108" t="s">
        <v>5865</v>
      </c>
      <c r="N966" s="13" t="s">
        <v>2667</v>
      </c>
      <c r="O966" s="13" t="s">
        <v>177</v>
      </c>
      <c r="P966" s="13" t="s">
        <v>9</v>
      </c>
      <c r="Q966" s="6" t="s">
        <v>5866</v>
      </c>
      <c r="R966" s="17" t="s">
        <v>5867</v>
      </c>
      <c r="S966" s="17" t="s">
        <v>6634</v>
      </c>
      <c r="T966" s="18">
        <v>19</v>
      </c>
      <c r="U966" s="18">
        <v>17</v>
      </c>
      <c r="V966" s="13" t="s">
        <v>5868</v>
      </c>
      <c r="X966" s="132">
        <v>958</v>
      </c>
      <c r="Y966" s="6"/>
    </row>
    <row r="967" spans="1:25" ht="15" customHeight="1" x14ac:dyDescent="0.2">
      <c r="A967" s="20" t="s">
        <v>5835</v>
      </c>
      <c r="B967" s="22" t="s">
        <v>2608</v>
      </c>
      <c r="C967" s="14">
        <v>45887</v>
      </c>
      <c r="D967" s="13" t="s">
        <v>1533</v>
      </c>
      <c r="E967" s="6" t="s">
        <v>5872</v>
      </c>
      <c r="F967" s="15" t="s">
        <v>5870</v>
      </c>
      <c r="G967" s="6" t="s">
        <v>5871</v>
      </c>
      <c r="H967" s="6" t="s">
        <v>5871</v>
      </c>
      <c r="I967" s="13" t="s">
        <v>39</v>
      </c>
      <c r="J967" s="13">
        <v>12</v>
      </c>
      <c r="K967" s="13" t="s">
        <v>1714</v>
      </c>
      <c r="L967" s="6"/>
      <c r="M967" s="108"/>
      <c r="N967" s="13" t="s">
        <v>7674</v>
      </c>
      <c r="O967" s="13" t="s">
        <v>21</v>
      </c>
      <c r="P967" s="13" t="s">
        <v>9</v>
      </c>
      <c r="Q967" s="6" t="s">
        <v>7675</v>
      </c>
      <c r="R967" s="25" t="s">
        <v>7676</v>
      </c>
      <c r="S967" s="25" t="s">
        <v>7677</v>
      </c>
      <c r="T967" s="18">
        <v>600</v>
      </c>
      <c r="U967" s="18">
        <v>100</v>
      </c>
      <c r="V967" s="13" t="s">
        <v>5873</v>
      </c>
      <c r="X967" s="132">
        <v>959</v>
      </c>
      <c r="Y967" s="6"/>
    </row>
    <row r="968" spans="1:25" ht="15" customHeight="1" x14ac:dyDescent="0.2">
      <c r="A968" s="20" t="s">
        <v>5836</v>
      </c>
      <c r="B968" s="22" t="s">
        <v>2608</v>
      </c>
      <c r="C968" s="14">
        <v>45887</v>
      </c>
      <c r="D968" s="13" t="s">
        <v>1533</v>
      </c>
      <c r="E968" s="6" t="s">
        <v>5874</v>
      </c>
      <c r="F968" s="15" t="s">
        <v>5877</v>
      </c>
      <c r="G968" s="6" t="s">
        <v>5876</v>
      </c>
      <c r="H968" s="6" t="s">
        <v>5875</v>
      </c>
      <c r="I968" s="13" t="s">
        <v>39</v>
      </c>
      <c r="J968" s="13">
        <v>12</v>
      </c>
      <c r="K968" s="13" t="s">
        <v>1714</v>
      </c>
      <c r="L968" s="39" t="s">
        <v>7678</v>
      </c>
      <c r="M968" s="108" t="s">
        <v>7679</v>
      </c>
      <c r="N968" s="13" t="s">
        <v>7680</v>
      </c>
      <c r="O968" s="13" t="s">
        <v>204</v>
      </c>
      <c r="P968" s="13" t="s">
        <v>9</v>
      </c>
      <c r="Q968" s="39" t="s">
        <v>7681</v>
      </c>
      <c r="R968" s="17" t="s">
        <v>5892</v>
      </c>
      <c r="S968" s="25" t="s">
        <v>8026</v>
      </c>
      <c r="T968" s="18">
        <v>50</v>
      </c>
      <c r="U968" s="18">
        <v>40</v>
      </c>
      <c r="V968" s="13" t="s">
        <v>5878</v>
      </c>
      <c r="X968" s="132">
        <v>960</v>
      </c>
      <c r="Y968" s="6"/>
    </row>
    <row r="969" spans="1:25" ht="15" customHeight="1" x14ac:dyDescent="0.25">
      <c r="A969" s="12" t="s">
        <v>8020</v>
      </c>
      <c r="B969" s="13" t="s">
        <v>4977</v>
      </c>
      <c r="C969" s="14">
        <v>46295</v>
      </c>
      <c r="D969" s="13" t="s">
        <v>1533</v>
      </c>
      <c r="E969" s="6" t="s">
        <v>5874</v>
      </c>
      <c r="F969" s="64" t="s">
        <v>8021</v>
      </c>
      <c r="G969" s="6" t="s">
        <v>5876</v>
      </c>
      <c r="H969" s="6" t="s">
        <v>5875</v>
      </c>
      <c r="I969" s="13" t="s">
        <v>39</v>
      </c>
      <c r="J969" s="13">
        <v>12</v>
      </c>
      <c r="K969" s="13" t="s">
        <v>7032</v>
      </c>
      <c r="L969" s="6" t="s">
        <v>8022</v>
      </c>
      <c r="M969" s="112" t="s">
        <v>8023</v>
      </c>
      <c r="N969" s="13" t="s">
        <v>2187</v>
      </c>
      <c r="O969" s="13" t="s">
        <v>53</v>
      </c>
      <c r="P969" s="13" t="s">
        <v>54</v>
      </c>
      <c r="Q969" s="6" t="s">
        <v>8024</v>
      </c>
      <c r="R969" s="69" t="s">
        <v>8481</v>
      </c>
      <c r="S969" s="25" t="s">
        <v>8026</v>
      </c>
      <c r="T969" s="18">
        <v>90</v>
      </c>
      <c r="U969" s="18">
        <v>50</v>
      </c>
      <c r="V969" s="13" t="s">
        <v>8025</v>
      </c>
      <c r="X969" s="132">
        <v>961</v>
      </c>
      <c r="Y969" s="6"/>
    </row>
    <row r="970" spans="1:25" ht="15" customHeight="1" x14ac:dyDescent="0.25">
      <c r="A970" s="12" t="s">
        <v>8483</v>
      </c>
      <c r="B970" s="13" t="s">
        <v>4977</v>
      </c>
      <c r="C970" s="14">
        <v>46359</v>
      </c>
      <c r="D970" s="13" t="s">
        <v>1533</v>
      </c>
      <c r="E970" s="6" t="s">
        <v>5874</v>
      </c>
      <c r="F970" s="15" t="s">
        <v>8478</v>
      </c>
      <c r="G970" s="6" t="s">
        <v>5876</v>
      </c>
      <c r="H970" s="6" t="s">
        <v>5875</v>
      </c>
      <c r="I970" s="13" t="s">
        <v>39</v>
      </c>
      <c r="J970" s="13">
        <v>12</v>
      </c>
      <c r="K970" s="13"/>
      <c r="L970" s="6" t="s">
        <v>8479</v>
      </c>
      <c r="M970" s="108" t="s">
        <v>8480</v>
      </c>
      <c r="N970" s="13" t="s">
        <v>36</v>
      </c>
      <c r="O970" s="13" t="s">
        <v>36</v>
      </c>
      <c r="P970" s="13" t="s">
        <v>4</v>
      </c>
      <c r="Q970" s="6" t="s">
        <v>8024</v>
      </c>
      <c r="R970" s="69" t="s">
        <v>8481</v>
      </c>
      <c r="S970" s="25" t="s">
        <v>8026</v>
      </c>
      <c r="T970" s="18">
        <v>40</v>
      </c>
      <c r="U970" s="18">
        <v>20</v>
      </c>
      <c r="V970" s="13" t="s">
        <v>8482</v>
      </c>
      <c r="X970" s="132">
        <v>962</v>
      </c>
      <c r="Y970" s="6"/>
    </row>
    <row r="971" spans="1:25" ht="15" customHeight="1" x14ac:dyDescent="0.25">
      <c r="A971" s="19" t="s">
        <v>10821</v>
      </c>
      <c r="B971" s="13" t="s">
        <v>4977</v>
      </c>
      <c r="C971" s="80">
        <v>46691</v>
      </c>
      <c r="D971" s="79" t="s">
        <v>1533</v>
      </c>
      <c r="E971" s="6" t="s">
        <v>5874</v>
      </c>
      <c r="F971" s="82" t="s">
        <v>10876</v>
      </c>
      <c r="G971" s="6" t="s">
        <v>5876</v>
      </c>
      <c r="H971" s="6" t="s">
        <v>5875</v>
      </c>
      <c r="I971" s="13" t="s">
        <v>39</v>
      </c>
      <c r="J971" s="79">
        <v>12</v>
      </c>
      <c r="K971" s="13" t="s">
        <v>7032</v>
      </c>
      <c r="L971" s="81" t="s">
        <v>10822</v>
      </c>
      <c r="M971" s="109" t="s">
        <v>10823</v>
      </c>
      <c r="N971" s="79" t="s">
        <v>61</v>
      </c>
      <c r="O971" s="13" t="s">
        <v>61</v>
      </c>
      <c r="P971" s="13" t="s">
        <v>9</v>
      </c>
      <c r="Q971" s="81" t="s">
        <v>10824</v>
      </c>
      <c r="R971" s="69" t="s">
        <v>10825</v>
      </c>
      <c r="S971" s="69" t="s">
        <v>8026</v>
      </c>
      <c r="T971" s="85">
        <v>50</v>
      </c>
      <c r="U971" s="85">
        <v>40</v>
      </c>
      <c r="V971" s="79" t="s">
        <v>8482</v>
      </c>
      <c r="W971" s="81"/>
      <c r="X971" s="132">
        <v>963</v>
      </c>
      <c r="Y971" s="6"/>
    </row>
    <row r="972" spans="1:25" ht="15" customHeight="1" x14ac:dyDescent="0.2">
      <c r="A972" s="20" t="s">
        <v>5837</v>
      </c>
      <c r="B972" s="22" t="s">
        <v>2608</v>
      </c>
      <c r="C972" s="14">
        <v>45887</v>
      </c>
      <c r="D972" s="13" t="s">
        <v>1533</v>
      </c>
      <c r="E972" s="6" t="s">
        <v>5879</v>
      </c>
      <c r="F972" s="6" t="s">
        <v>5879</v>
      </c>
      <c r="G972" s="6" t="s">
        <v>5880</v>
      </c>
      <c r="H972" s="6" t="s">
        <v>5880</v>
      </c>
      <c r="I972" s="13" t="s">
        <v>39</v>
      </c>
      <c r="J972" s="13">
        <v>12</v>
      </c>
      <c r="K972" s="13" t="s">
        <v>1714</v>
      </c>
      <c r="L972" s="6" t="s">
        <v>7685</v>
      </c>
      <c r="M972" s="108" t="s">
        <v>7686</v>
      </c>
      <c r="N972" s="13" t="s">
        <v>4879</v>
      </c>
      <c r="O972" s="13" t="s">
        <v>53</v>
      </c>
      <c r="P972" s="13" t="s">
        <v>54</v>
      </c>
      <c r="Q972" s="6" t="s">
        <v>7684</v>
      </c>
      <c r="R972" s="25" t="s">
        <v>7683</v>
      </c>
      <c r="S972" s="25" t="s">
        <v>7682</v>
      </c>
      <c r="T972" s="18">
        <v>60</v>
      </c>
      <c r="U972" s="18">
        <v>30</v>
      </c>
      <c r="V972" s="13" t="s">
        <v>5881</v>
      </c>
      <c r="X972" s="132">
        <v>964</v>
      </c>
      <c r="Y972" s="6"/>
    </row>
    <row r="973" spans="1:25" ht="15" customHeight="1" x14ac:dyDescent="0.2">
      <c r="A973" s="12" t="s">
        <v>5882</v>
      </c>
      <c r="B973" s="92" t="s">
        <v>4978</v>
      </c>
      <c r="C973" s="74">
        <v>46617</v>
      </c>
      <c r="D973" s="13" t="s">
        <v>33</v>
      </c>
      <c r="E973" s="6" t="s">
        <v>5883</v>
      </c>
      <c r="F973" s="15" t="s">
        <v>5884</v>
      </c>
      <c r="G973" s="6" t="s">
        <v>5885</v>
      </c>
      <c r="H973" s="6" t="s">
        <v>5885</v>
      </c>
      <c r="I973" s="13" t="s">
        <v>25</v>
      </c>
      <c r="J973" s="13">
        <v>3</v>
      </c>
      <c r="K973" s="13" t="s">
        <v>1714</v>
      </c>
      <c r="L973" s="6" t="s">
        <v>5886</v>
      </c>
      <c r="M973" s="108" t="s">
        <v>5887</v>
      </c>
      <c r="N973" s="13" t="s">
        <v>5917</v>
      </c>
      <c r="O973" s="13" t="s">
        <v>204</v>
      </c>
      <c r="P973" s="13" t="s">
        <v>9</v>
      </c>
      <c r="Q973" s="6" t="s">
        <v>5888</v>
      </c>
      <c r="R973" s="17" t="s">
        <v>5889</v>
      </c>
      <c r="S973" s="17" t="s">
        <v>6634</v>
      </c>
      <c r="T973" s="18">
        <v>19</v>
      </c>
      <c r="U973" s="18">
        <v>15</v>
      </c>
      <c r="V973" s="13" t="s">
        <v>5890</v>
      </c>
      <c r="X973" s="132">
        <v>965</v>
      </c>
      <c r="Y973" s="6"/>
    </row>
    <row r="974" spans="1:25" ht="15" customHeight="1" x14ac:dyDescent="0.2">
      <c r="A974" s="12" t="s">
        <v>5904</v>
      </c>
      <c r="B974" s="92" t="s">
        <v>4978</v>
      </c>
      <c r="C974" s="74">
        <v>46629</v>
      </c>
      <c r="D974" s="13" t="s">
        <v>33</v>
      </c>
      <c r="E974" s="6" t="s">
        <v>5909</v>
      </c>
      <c r="F974" s="15" t="s">
        <v>5775</v>
      </c>
      <c r="G974" s="6" t="s">
        <v>5914</v>
      </c>
      <c r="H974" s="6" t="s">
        <v>5914</v>
      </c>
      <c r="I974" s="13" t="s">
        <v>25</v>
      </c>
      <c r="J974" s="13">
        <v>3</v>
      </c>
      <c r="K974" s="13" t="s">
        <v>1714</v>
      </c>
      <c r="L974" s="6" t="s">
        <v>5915</v>
      </c>
      <c r="M974" s="108" t="s">
        <v>5778</v>
      </c>
      <c r="N974" s="13" t="s">
        <v>5916</v>
      </c>
      <c r="O974" s="13" t="s">
        <v>204</v>
      </c>
      <c r="P974" s="13" t="s">
        <v>9</v>
      </c>
      <c r="Q974" s="6" t="s">
        <v>5918</v>
      </c>
      <c r="R974" s="17" t="s">
        <v>5919</v>
      </c>
      <c r="S974" s="17" t="s">
        <v>6634</v>
      </c>
      <c r="T974" s="18">
        <v>20</v>
      </c>
      <c r="U974" s="18">
        <v>16</v>
      </c>
      <c r="V974" s="13" t="s">
        <v>6008</v>
      </c>
      <c r="X974" s="132">
        <v>966</v>
      </c>
      <c r="Y974" s="6"/>
    </row>
    <row r="975" spans="1:25" ht="15" customHeight="1" x14ac:dyDescent="0.2">
      <c r="A975" s="20" t="s">
        <v>5905</v>
      </c>
      <c r="B975" s="22" t="s">
        <v>2608</v>
      </c>
      <c r="C975" s="14">
        <v>45899</v>
      </c>
      <c r="D975" s="13" t="s">
        <v>1533</v>
      </c>
      <c r="E975" s="6" t="s">
        <v>5921</v>
      </c>
      <c r="F975" s="15" t="s">
        <v>5920</v>
      </c>
      <c r="G975" s="6" t="s">
        <v>5922</v>
      </c>
      <c r="H975" s="6" t="s">
        <v>5922</v>
      </c>
      <c r="I975" s="13" t="s">
        <v>39</v>
      </c>
      <c r="J975" s="13">
        <v>12</v>
      </c>
      <c r="K975" s="13" t="s">
        <v>1714</v>
      </c>
      <c r="L975" s="65" t="s">
        <v>7687</v>
      </c>
      <c r="M975" s="108" t="s">
        <v>7688</v>
      </c>
      <c r="N975" s="13" t="s">
        <v>2391</v>
      </c>
      <c r="O975" s="13" t="s">
        <v>2146</v>
      </c>
      <c r="P975" s="13" t="s">
        <v>68</v>
      </c>
      <c r="Q975" s="6" t="s">
        <v>5923</v>
      </c>
      <c r="R975" s="39" t="s">
        <v>7689</v>
      </c>
      <c r="S975" s="30"/>
      <c r="T975" s="18">
        <v>24</v>
      </c>
      <c r="U975" s="18">
        <v>24</v>
      </c>
      <c r="V975" s="13" t="s">
        <v>6009</v>
      </c>
      <c r="X975" s="132">
        <v>967</v>
      </c>
      <c r="Y975" s="6"/>
    </row>
    <row r="976" spans="1:25" ht="15" customHeight="1" x14ac:dyDescent="0.2">
      <c r="A976" s="12" t="s">
        <v>5906</v>
      </c>
      <c r="B976" s="92" t="s">
        <v>4978</v>
      </c>
      <c r="C976" s="74">
        <v>46629</v>
      </c>
      <c r="D976" s="13" t="s">
        <v>33</v>
      </c>
      <c r="E976" s="6" t="s">
        <v>5910</v>
      </c>
      <c r="F976" s="15" t="s">
        <v>5911</v>
      </c>
      <c r="G976" s="6" t="s">
        <v>5924</v>
      </c>
      <c r="H976" s="6" t="s">
        <v>5924</v>
      </c>
      <c r="I976" s="13" t="s">
        <v>25</v>
      </c>
      <c r="J976" s="13">
        <v>3</v>
      </c>
      <c r="K976" s="13" t="s">
        <v>1714</v>
      </c>
      <c r="L976" s="6" t="s">
        <v>5925</v>
      </c>
      <c r="M976" s="108" t="s">
        <v>5926</v>
      </c>
      <c r="N976" s="13" t="s">
        <v>2312</v>
      </c>
      <c r="O976" s="13" t="s">
        <v>15</v>
      </c>
      <c r="P976" s="13" t="s">
        <v>16</v>
      </c>
      <c r="Q976" s="6" t="s">
        <v>3786</v>
      </c>
      <c r="R976" s="17" t="s">
        <v>4682</v>
      </c>
      <c r="S976" s="17" t="s">
        <v>6631</v>
      </c>
      <c r="T976" s="18">
        <v>19</v>
      </c>
      <c r="U976" s="18">
        <v>9</v>
      </c>
      <c r="V976" s="13" t="s">
        <v>6007</v>
      </c>
      <c r="X976" s="132">
        <v>968</v>
      </c>
      <c r="Y976" s="6"/>
    </row>
    <row r="977" spans="1:25" ht="15" customHeight="1" x14ac:dyDescent="0.2">
      <c r="A977" s="12" t="s">
        <v>5907</v>
      </c>
      <c r="B977" s="92" t="s">
        <v>4978</v>
      </c>
      <c r="C977" s="74">
        <v>46629</v>
      </c>
      <c r="D977" s="13" t="s">
        <v>1533</v>
      </c>
      <c r="E977" s="6" t="s">
        <v>5912</v>
      </c>
      <c r="F977" s="15" t="s">
        <v>5931</v>
      </c>
      <c r="G977" s="6" t="s">
        <v>5928</v>
      </c>
      <c r="H977" s="6" t="s">
        <v>5927</v>
      </c>
      <c r="I977" s="13" t="s">
        <v>2702</v>
      </c>
      <c r="J977" s="13">
        <v>11</v>
      </c>
      <c r="K977" s="13" t="s">
        <v>6603</v>
      </c>
      <c r="L977" s="6" t="s">
        <v>5929</v>
      </c>
      <c r="M977" s="108" t="s">
        <v>5930</v>
      </c>
      <c r="N977" s="13" t="s">
        <v>5932</v>
      </c>
      <c r="O977" s="13" t="s">
        <v>445</v>
      </c>
      <c r="P977" s="13" t="s">
        <v>16</v>
      </c>
      <c r="Q977" s="6" t="s">
        <v>5933</v>
      </c>
      <c r="R977" s="30" t="s">
        <v>5934</v>
      </c>
      <c r="S977" s="17" t="s">
        <v>6695</v>
      </c>
      <c r="T977" s="18">
        <v>210</v>
      </c>
      <c r="U977" s="18">
        <v>240</v>
      </c>
      <c r="V977" s="13" t="s">
        <v>6006</v>
      </c>
      <c r="X977" s="132">
        <v>969</v>
      </c>
      <c r="Y977" s="6"/>
    </row>
    <row r="978" spans="1:25" ht="15" customHeight="1" x14ac:dyDescent="0.2">
      <c r="A978" s="12" t="s">
        <v>9739</v>
      </c>
      <c r="B978" s="92" t="s">
        <v>4978</v>
      </c>
      <c r="C978" s="74">
        <v>46629</v>
      </c>
      <c r="D978" s="13" t="s">
        <v>33</v>
      </c>
      <c r="E978" s="6" t="s">
        <v>5935</v>
      </c>
      <c r="F978" s="6" t="s">
        <v>9173</v>
      </c>
      <c r="G978" s="6" t="s">
        <v>5936</v>
      </c>
      <c r="H978" s="6" t="s">
        <v>5936</v>
      </c>
      <c r="I978" s="13" t="s">
        <v>25</v>
      </c>
      <c r="J978" s="13">
        <v>3</v>
      </c>
      <c r="K978" s="13" t="s">
        <v>1714</v>
      </c>
      <c r="L978" s="6" t="s">
        <v>5937</v>
      </c>
      <c r="M978" s="108" t="s">
        <v>5938</v>
      </c>
      <c r="N978" s="13" t="s">
        <v>3797</v>
      </c>
      <c r="O978" s="13" t="s">
        <v>36</v>
      </c>
      <c r="P978" s="13" t="s">
        <v>4</v>
      </c>
      <c r="Q978" s="6" t="s">
        <v>5939</v>
      </c>
      <c r="R978" s="17" t="s">
        <v>5940</v>
      </c>
      <c r="S978" s="17" t="s">
        <v>5941</v>
      </c>
      <c r="T978" s="18">
        <v>37</v>
      </c>
      <c r="U978" s="18">
        <v>33</v>
      </c>
      <c r="V978" s="13" t="s">
        <v>6005</v>
      </c>
      <c r="X978" s="132">
        <v>970</v>
      </c>
      <c r="Y978" s="6"/>
    </row>
    <row r="979" spans="1:25" ht="15" customHeight="1" x14ac:dyDescent="0.25">
      <c r="A979" s="12" t="s">
        <v>9738</v>
      </c>
      <c r="B979" s="92" t="s">
        <v>4978</v>
      </c>
      <c r="C979" s="74">
        <v>47223</v>
      </c>
      <c r="D979" s="13" t="s">
        <v>33</v>
      </c>
      <c r="E979" s="6" t="s">
        <v>5935</v>
      </c>
      <c r="F979" s="15" t="s">
        <v>9740</v>
      </c>
      <c r="G979" s="6" t="s">
        <v>9741</v>
      </c>
      <c r="H979" s="6" t="s">
        <v>9741</v>
      </c>
      <c r="I979" s="13" t="s">
        <v>25</v>
      </c>
      <c r="J979" s="13">
        <v>3</v>
      </c>
      <c r="K979" s="13" t="s">
        <v>1714</v>
      </c>
      <c r="L979" s="6" t="s">
        <v>9743</v>
      </c>
      <c r="M979" s="108" t="s">
        <v>5938</v>
      </c>
      <c r="N979" s="13" t="s">
        <v>3797</v>
      </c>
      <c r="O979" s="13" t="s">
        <v>36</v>
      </c>
      <c r="P979" s="13" t="s">
        <v>4</v>
      </c>
      <c r="Q979" s="6" t="s">
        <v>5939</v>
      </c>
      <c r="R979" s="69" t="s">
        <v>5940</v>
      </c>
      <c r="S979" s="69" t="s">
        <v>5941</v>
      </c>
      <c r="T979" s="18">
        <v>12</v>
      </c>
      <c r="U979" s="18">
        <v>9</v>
      </c>
      <c r="V979" s="13" t="s">
        <v>9742</v>
      </c>
      <c r="X979" s="132">
        <v>971</v>
      </c>
      <c r="Y979" s="6"/>
    </row>
    <row r="980" spans="1:25" ht="15" customHeight="1" x14ac:dyDescent="0.2">
      <c r="A980" s="12" t="s">
        <v>5908</v>
      </c>
      <c r="B980" s="92" t="s">
        <v>4978</v>
      </c>
      <c r="C980" s="74">
        <v>46629</v>
      </c>
      <c r="D980" s="13" t="s">
        <v>33</v>
      </c>
      <c r="E980" s="6" t="s">
        <v>5942</v>
      </c>
      <c r="F980" s="15" t="s">
        <v>5913</v>
      </c>
      <c r="G980" s="6" t="s">
        <v>5943</v>
      </c>
      <c r="H980" s="6" t="s">
        <v>5943</v>
      </c>
      <c r="I980" s="13" t="s">
        <v>25</v>
      </c>
      <c r="J980" s="13">
        <v>3</v>
      </c>
      <c r="K980" s="13" t="s">
        <v>1714</v>
      </c>
      <c r="L980" s="6" t="s">
        <v>5944</v>
      </c>
      <c r="M980" s="108" t="s">
        <v>5945</v>
      </c>
      <c r="N980" s="13" t="s">
        <v>5946</v>
      </c>
      <c r="O980" s="13" t="s">
        <v>21</v>
      </c>
      <c r="P980" s="13" t="s">
        <v>9</v>
      </c>
      <c r="Q980" s="6" t="s">
        <v>5947</v>
      </c>
      <c r="R980" s="17" t="s">
        <v>5948</v>
      </c>
      <c r="S980" s="17" t="s">
        <v>6634</v>
      </c>
      <c r="T980" s="18">
        <v>23</v>
      </c>
      <c r="U980" s="18">
        <v>21</v>
      </c>
      <c r="V980" s="13" t="s">
        <v>6004</v>
      </c>
      <c r="X980" s="132">
        <v>972</v>
      </c>
      <c r="Y980" s="6"/>
    </row>
    <row r="981" spans="1:25" ht="15" customHeight="1" x14ac:dyDescent="0.2">
      <c r="A981" s="12" t="s">
        <v>5980</v>
      </c>
      <c r="B981" s="92" t="s">
        <v>4978</v>
      </c>
      <c r="C981" s="74">
        <v>46645</v>
      </c>
      <c r="D981" s="13" t="s">
        <v>1533</v>
      </c>
      <c r="E981" s="6" t="s">
        <v>5983</v>
      </c>
      <c r="F981" s="15" t="s">
        <v>6046</v>
      </c>
      <c r="G981" s="6" t="s">
        <v>5999</v>
      </c>
      <c r="H981" s="6" t="s">
        <v>5999</v>
      </c>
      <c r="I981" s="13" t="s">
        <v>25</v>
      </c>
      <c r="J981" s="13">
        <v>6</v>
      </c>
      <c r="K981" s="13" t="s">
        <v>1714</v>
      </c>
      <c r="L981" s="6" t="s">
        <v>6000</v>
      </c>
      <c r="M981" s="108" t="s">
        <v>6039</v>
      </c>
      <c r="N981" s="13" t="s">
        <v>704</v>
      </c>
      <c r="O981" s="13" t="s">
        <v>704</v>
      </c>
      <c r="P981" s="13" t="s">
        <v>16</v>
      </c>
      <c r="Q981" s="6" t="s">
        <v>6001</v>
      </c>
      <c r="R981" s="17" t="s">
        <v>6002</v>
      </c>
      <c r="S981" s="17" t="s">
        <v>6634</v>
      </c>
      <c r="T981" s="18">
        <v>14</v>
      </c>
      <c r="U981" s="18">
        <v>9</v>
      </c>
      <c r="V981" s="13" t="s">
        <v>6003</v>
      </c>
      <c r="X981" s="132">
        <v>973</v>
      </c>
      <c r="Y981" s="6"/>
    </row>
    <row r="982" spans="1:25" ht="15" customHeight="1" x14ac:dyDescent="0.2">
      <c r="A982" s="12" t="s">
        <v>5981</v>
      </c>
      <c r="B982" s="92" t="s">
        <v>4978</v>
      </c>
      <c r="C982" s="74">
        <v>46645</v>
      </c>
      <c r="D982" s="13" t="s">
        <v>33</v>
      </c>
      <c r="E982" s="6" t="s">
        <v>5995</v>
      </c>
      <c r="F982" s="15" t="s">
        <v>5984</v>
      </c>
      <c r="G982" s="6" t="s">
        <v>5994</v>
      </c>
      <c r="H982" s="6" t="s">
        <v>5994</v>
      </c>
      <c r="I982" s="13" t="s">
        <v>25</v>
      </c>
      <c r="J982" s="13">
        <v>3</v>
      </c>
      <c r="K982" s="13" t="s">
        <v>1714</v>
      </c>
      <c r="L982" s="6" t="s">
        <v>7035</v>
      </c>
      <c r="M982" s="108" t="s">
        <v>7036</v>
      </c>
      <c r="N982" s="13" t="s">
        <v>7037</v>
      </c>
      <c r="O982" s="13" t="s">
        <v>128</v>
      </c>
      <c r="P982" s="13" t="s">
        <v>16</v>
      </c>
      <c r="Q982" s="6" t="s">
        <v>5996</v>
      </c>
      <c r="R982" s="17" t="s">
        <v>5997</v>
      </c>
      <c r="S982" s="17" t="s">
        <v>6634</v>
      </c>
      <c r="T982" s="18">
        <v>20</v>
      </c>
      <c r="U982" s="18">
        <v>12</v>
      </c>
      <c r="V982" s="13" t="s">
        <v>5998</v>
      </c>
      <c r="X982" s="132">
        <v>974</v>
      </c>
      <c r="Y982" s="6"/>
    </row>
    <row r="983" spans="1:25" ht="15" customHeight="1" x14ac:dyDescent="0.2">
      <c r="A983" s="12" t="s">
        <v>5982</v>
      </c>
      <c r="B983" s="92" t="s">
        <v>4978</v>
      </c>
      <c r="C983" s="74">
        <v>46645</v>
      </c>
      <c r="D983" s="13" t="s">
        <v>1533</v>
      </c>
      <c r="E983" s="6" t="s">
        <v>5985</v>
      </c>
      <c r="F983" s="15" t="s">
        <v>5986</v>
      </c>
      <c r="G983" s="6" t="s">
        <v>5987</v>
      </c>
      <c r="H983" s="6" t="s">
        <v>5987</v>
      </c>
      <c r="I983" s="13" t="s">
        <v>13</v>
      </c>
      <c r="J983" s="13">
        <v>7</v>
      </c>
      <c r="K983" s="13" t="s">
        <v>6603</v>
      </c>
      <c r="L983" s="6" t="s">
        <v>5988</v>
      </c>
      <c r="M983" s="108" t="s">
        <v>6040</v>
      </c>
      <c r="N983" s="13" t="s">
        <v>5989</v>
      </c>
      <c r="O983" s="13" t="s">
        <v>136</v>
      </c>
      <c r="P983" s="13" t="s">
        <v>4</v>
      </c>
      <c r="Q983" s="6" t="s">
        <v>5990</v>
      </c>
      <c r="R983" s="17" t="s">
        <v>5991</v>
      </c>
      <c r="S983" s="17" t="s">
        <v>5992</v>
      </c>
      <c r="T983" s="18">
        <v>100</v>
      </c>
      <c r="U983" s="18">
        <v>267</v>
      </c>
      <c r="V983" s="13" t="s">
        <v>5993</v>
      </c>
      <c r="X983" s="132">
        <v>975</v>
      </c>
      <c r="Y983" s="6"/>
    </row>
    <row r="984" spans="1:25" ht="15" customHeight="1" x14ac:dyDescent="0.2">
      <c r="A984" s="12" t="s">
        <v>6051</v>
      </c>
      <c r="B984" s="92" t="s">
        <v>4978</v>
      </c>
      <c r="C984" s="74">
        <v>46705</v>
      </c>
      <c r="D984" s="13" t="s">
        <v>33</v>
      </c>
      <c r="E984" s="6" t="s">
        <v>6052</v>
      </c>
      <c r="F984" s="15" t="s">
        <v>2569</v>
      </c>
      <c r="G984" s="6" t="s">
        <v>6053</v>
      </c>
      <c r="H984" s="6" t="s">
        <v>6053</v>
      </c>
      <c r="I984" s="13" t="s">
        <v>25</v>
      </c>
      <c r="J984" s="13">
        <v>3</v>
      </c>
      <c r="K984" s="13" t="s">
        <v>1714</v>
      </c>
      <c r="L984" s="6" t="s">
        <v>6054</v>
      </c>
      <c r="M984" s="108" t="s">
        <v>2571</v>
      </c>
      <c r="N984" s="13" t="s">
        <v>6055</v>
      </c>
      <c r="O984" s="13" t="s">
        <v>2146</v>
      </c>
      <c r="P984" s="13" t="s">
        <v>68</v>
      </c>
      <c r="Q984" s="6" t="s">
        <v>6056</v>
      </c>
      <c r="R984" s="17" t="s">
        <v>6057</v>
      </c>
      <c r="S984" s="17" t="s">
        <v>6639</v>
      </c>
      <c r="T984" s="18">
        <v>25</v>
      </c>
      <c r="U984" s="18">
        <v>23</v>
      </c>
      <c r="V984" s="34" t="s">
        <v>6058</v>
      </c>
      <c r="X984" s="132">
        <v>976</v>
      </c>
      <c r="Y984" s="6"/>
    </row>
    <row r="985" spans="1:25" ht="15" customHeight="1" x14ac:dyDescent="0.2">
      <c r="A985" s="12" t="s">
        <v>6543</v>
      </c>
      <c r="B985" s="92" t="s">
        <v>4978</v>
      </c>
      <c r="C985" s="74">
        <v>46742</v>
      </c>
      <c r="D985" s="13" t="s">
        <v>33</v>
      </c>
      <c r="E985" s="6" t="s">
        <v>6052</v>
      </c>
      <c r="F985" s="15" t="s">
        <v>6589</v>
      </c>
      <c r="G985" s="6" t="s">
        <v>6053</v>
      </c>
      <c r="H985" s="6" t="s">
        <v>6585</v>
      </c>
      <c r="I985" s="13" t="s">
        <v>25</v>
      </c>
      <c r="J985" s="13">
        <v>3</v>
      </c>
      <c r="K985" s="13" t="s">
        <v>1714</v>
      </c>
      <c r="L985" s="6" t="s">
        <v>6586</v>
      </c>
      <c r="M985" s="108" t="s">
        <v>6587</v>
      </c>
      <c r="N985" s="13" t="s">
        <v>4558</v>
      </c>
      <c r="O985" s="13" t="s">
        <v>2146</v>
      </c>
      <c r="P985" s="13" t="s">
        <v>68</v>
      </c>
      <c r="Q985" s="6" t="s">
        <v>6588</v>
      </c>
      <c r="R985" s="17" t="s">
        <v>6057</v>
      </c>
      <c r="S985" s="17" t="s">
        <v>6639</v>
      </c>
      <c r="T985" s="18">
        <v>24</v>
      </c>
      <c r="U985" s="18">
        <v>19</v>
      </c>
      <c r="V985" s="13" t="s">
        <v>6058</v>
      </c>
      <c r="X985" s="132">
        <v>977</v>
      </c>
      <c r="Y985" s="6"/>
    </row>
    <row r="986" spans="1:25" ht="15" customHeight="1" x14ac:dyDescent="0.2">
      <c r="A986" s="12" t="s">
        <v>6584</v>
      </c>
      <c r="B986" s="92" t="s">
        <v>4978</v>
      </c>
      <c r="C986" s="74">
        <v>46742</v>
      </c>
      <c r="D986" s="13" t="s">
        <v>33</v>
      </c>
      <c r="E986" s="6" t="s">
        <v>6052</v>
      </c>
      <c r="F986" s="15" t="s">
        <v>6538</v>
      </c>
      <c r="G986" s="6" t="s">
        <v>6053</v>
      </c>
      <c r="H986" s="6" t="s">
        <v>6539</v>
      </c>
      <c r="I986" s="13" t="s">
        <v>25</v>
      </c>
      <c r="J986" s="13">
        <v>3</v>
      </c>
      <c r="K986" s="13" t="s">
        <v>1714</v>
      </c>
      <c r="L986" s="6" t="s">
        <v>6540</v>
      </c>
      <c r="M986" s="108" t="s">
        <v>6541</v>
      </c>
      <c r="N986" s="13" t="s">
        <v>4558</v>
      </c>
      <c r="O986" s="13" t="s">
        <v>2146</v>
      </c>
      <c r="P986" s="13" t="s">
        <v>68</v>
      </c>
      <c r="Q986" s="6" t="s">
        <v>6542</v>
      </c>
      <c r="R986" s="17" t="s">
        <v>6057</v>
      </c>
      <c r="S986" s="17" t="s">
        <v>6639</v>
      </c>
      <c r="T986" s="18">
        <v>20</v>
      </c>
      <c r="U986" s="18">
        <v>20</v>
      </c>
      <c r="V986" s="13" t="s">
        <v>6058</v>
      </c>
      <c r="X986" s="132">
        <v>978</v>
      </c>
      <c r="Y986" s="6"/>
    </row>
    <row r="987" spans="1:25" ht="15" customHeight="1" x14ac:dyDescent="0.2">
      <c r="A987" s="12" t="s">
        <v>6059</v>
      </c>
      <c r="B987" s="92" t="s">
        <v>4978</v>
      </c>
      <c r="C987" s="74">
        <v>46705</v>
      </c>
      <c r="D987" s="13" t="s">
        <v>33</v>
      </c>
      <c r="E987" s="6" t="s">
        <v>6060</v>
      </c>
      <c r="F987" s="15" t="s">
        <v>6061</v>
      </c>
      <c r="G987" s="6" t="s">
        <v>6062</v>
      </c>
      <c r="H987" s="6" t="s">
        <v>6062</v>
      </c>
      <c r="I987" s="13" t="s">
        <v>25</v>
      </c>
      <c r="J987" s="13">
        <v>3</v>
      </c>
      <c r="K987" s="13" t="s">
        <v>1714</v>
      </c>
      <c r="L987" s="6" t="s">
        <v>6063</v>
      </c>
      <c r="M987" s="108" t="s">
        <v>6064</v>
      </c>
      <c r="N987" s="13" t="s">
        <v>2123</v>
      </c>
      <c r="O987" s="13" t="s">
        <v>15</v>
      </c>
      <c r="P987" s="13" t="s">
        <v>16</v>
      </c>
      <c r="Q987" s="6" t="s">
        <v>3786</v>
      </c>
      <c r="R987" s="17" t="s">
        <v>6065</v>
      </c>
      <c r="S987" s="17" t="s">
        <v>6631</v>
      </c>
      <c r="T987" s="18">
        <v>20</v>
      </c>
      <c r="U987" s="18">
        <v>13</v>
      </c>
      <c r="V987" s="13" t="s">
        <v>6066</v>
      </c>
      <c r="X987" s="132">
        <v>979</v>
      </c>
      <c r="Y987" s="6"/>
    </row>
    <row r="988" spans="1:25" ht="15" customHeight="1" x14ac:dyDescent="0.2">
      <c r="A988" s="12" t="s">
        <v>6083</v>
      </c>
      <c r="B988" s="92" t="s">
        <v>4978</v>
      </c>
      <c r="C988" s="74">
        <v>46705</v>
      </c>
      <c r="D988" s="13" t="s">
        <v>33</v>
      </c>
      <c r="E988" s="6" t="s">
        <v>6084</v>
      </c>
      <c r="F988" s="6" t="s">
        <v>9172</v>
      </c>
      <c r="G988" s="6" t="s">
        <v>6085</v>
      </c>
      <c r="H988" s="6" t="s">
        <v>6085</v>
      </c>
      <c r="I988" s="13" t="s">
        <v>25</v>
      </c>
      <c r="J988" s="13">
        <v>3</v>
      </c>
      <c r="K988" s="13" t="s">
        <v>1714</v>
      </c>
      <c r="L988" s="6" t="s">
        <v>6086</v>
      </c>
      <c r="M988" s="108" t="s">
        <v>6087</v>
      </c>
      <c r="N988" s="13" t="s">
        <v>6088</v>
      </c>
      <c r="O988" s="13" t="s">
        <v>1847</v>
      </c>
      <c r="P988" s="13" t="s">
        <v>68</v>
      </c>
      <c r="Q988" s="6" t="s">
        <v>6089</v>
      </c>
      <c r="R988" s="17" t="s">
        <v>6090</v>
      </c>
      <c r="S988" s="17" t="s">
        <v>6639</v>
      </c>
      <c r="T988" s="18">
        <v>13</v>
      </c>
      <c r="U988" s="18">
        <v>9</v>
      </c>
      <c r="V988" s="13" t="s">
        <v>6091</v>
      </c>
      <c r="X988" s="132">
        <v>980</v>
      </c>
      <c r="Y988" s="6"/>
    </row>
    <row r="989" spans="1:25" ht="15" customHeight="1" x14ac:dyDescent="0.2">
      <c r="A989" s="12" t="s">
        <v>6137</v>
      </c>
      <c r="B989" s="92" t="s">
        <v>4978</v>
      </c>
      <c r="C989" s="74">
        <v>46705</v>
      </c>
      <c r="D989" s="13" t="s">
        <v>1533</v>
      </c>
      <c r="E989" s="6" t="s">
        <v>6138</v>
      </c>
      <c r="F989" s="15" t="s">
        <v>6139</v>
      </c>
      <c r="G989" s="6" t="s">
        <v>6140</v>
      </c>
      <c r="H989" s="6" t="s">
        <v>6140</v>
      </c>
      <c r="I989" s="13" t="s">
        <v>13</v>
      </c>
      <c r="J989" s="13">
        <v>7</v>
      </c>
      <c r="K989" s="13" t="s">
        <v>6603</v>
      </c>
      <c r="L989" s="6" t="s">
        <v>6141</v>
      </c>
      <c r="M989" s="108" t="s">
        <v>6142</v>
      </c>
      <c r="N989" s="13" t="s">
        <v>6143</v>
      </c>
      <c r="O989" s="13" t="s">
        <v>1847</v>
      </c>
      <c r="P989" s="13" t="s">
        <v>68</v>
      </c>
      <c r="Q989" s="6" t="s">
        <v>6144</v>
      </c>
      <c r="R989" s="17" t="s">
        <v>6145</v>
      </c>
      <c r="S989" s="17" t="s">
        <v>6634</v>
      </c>
      <c r="T989" s="18">
        <v>200</v>
      </c>
      <c r="U989" s="18">
        <v>155</v>
      </c>
      <c r="V989" s="34" t="s">
        <v>6146</v>
      </c>
      <c r="X989" s="132">
        <v>981</v>
      </c>
      <c r="Y989" s="6"/>
    </row>
    <row r="990" spans="1:25" ht="15" customHeight="1" x14ac:dyDescent="0.2">
      <c r="A990" s="12" t="s">
        <v>6378</v>
      </c>
      <c r="B990" s="92" t="s">
        <v>4978</v>
      </c>
      <c r="C990" s="74" t="s">
        <v>6469</v>
      </c>
      <c r="D990" s="13" t="s">
        <v>1533</v>
      </c>
      <c r="E990" s="6" t="s">
        <v>6138</v>
      </c>
      <c r="F990" s="15" t="s">
        <v>6379</v>
      </c>
      <c r="G990" s="6" t="s">
        <v>6140</v>
      </c>
      <c r="H990" s="6" t="s">
        <v>6140</v>
      </c>
      <c r="I990" s="13" t="s">
        <v>7931</v>
      </c>
      <c r="J990" s="13">
        <v>9</v>
      </c>
      <c r="K990" s="13" t="s">
        <v>6603</v>
      </c>
      <c r="L990" s="6" t="s">
        <v>6380</v>
      </c>
      <c r="M990" s="108"/>
      <c r="N990" s="13" t="s">
        <v>6381</v>
      </c>
      <c r="O990" s="13" t="s">
        <v>1847</v>
      </c>
      <c r="P990" s="13" t="s">
        <v>68</v>
      </c>
      <c r="Q990" s="6" t="s">
        <v>6382</v>
      </c>
      <c r="R990" s="17" t="s">
        <v>6145</v>
      </c>
      <c r="S990" s="17" t="s">
        <v>6634</v>
      </c>
      <c r="T990" s="18">
        <v>30</v>
      </c>
      <c r="U990" s="18">
        <v>34</v>
      </c>
      <c r="V990" s="13" t="s">
        <v>6146</v>
      </c>
      <c r="X990" s="132">
        <v>982</v>
      </c>
      <c r="Y990" s="6"/>
    </row>
    <row r="991" spans="1:25" ht="15" customHeight="1" x14ac:dyDescent="0.2">
      <c r="A991" s="12" t="s">
        <v>6156</v>
      </c>
      <c r="B991" s="92" t="s">
        <v>4978</v>
      </c>
      <c r="C991" s="74">
        <v>46705</v>
      </c>
      <c r="D991" s="13" t="s">
        <v>33</v>
      </c>
      <c r="E991" s="6" t="s">
        <v>6157</v>
      </c>
      <c r="F991" s="6" t="s">
        <v>6158</v>
      </c>
      <c r="G991" s="6" t="s">
        <v>6159</v>
      </c>
      <c r="H991" s="6" t="s">
        <v>6159</v>
      </c>
      <c r="I991" s="13" t="s">
        <v>25</v>
      </c>
      <c r="J991" s="13">
        <v>3</v>
      </c>
      <c r="K991" s="13" t="s">
        <v>1714</v>
      </c>
      <c r="L991" s="6" t="s">
        <v>6160</v>
      </c>
      <c r="M991" s="108" t="s">
        <v>5251</v>
      </c>
      <c r="N991" s="13" t="s">
        <v>2340</v>
      </c>
      <c r="O991" s="13" t="s">
        <v>1055</v>
      </c>
      <c r="P991" s="13" t="s">
        <v>16</v>
      </c>
      <c r="Q991" s="6" t="s">
        <v>6161</v>
      </c>
      <c r="R991" s="17" t="s">
        <v>475</v>
      </c>
      <c r="S991" s="17" t="s">
        <v>6628</v>
      </c>
      <c r="T991" s="18">
        <v>30</v>
      </c>
      <c r="U991" s="18">
        <v>30</v>
      </c>
      <c r="V991" s="13" t="s">
        <v>6162</v>
      </c>
      <c r="X991" s="132">
        <v>983</v>
      </c>
      <c r="Y991" s="6"/>
    </row>
    <row r="992" spans="1:25" ht="15" customHeight="1" x14ac:dyDescent="0.2">
      <c r="A992" s="20" t="s">
        <v>6167</v>
      </c>
      <c r="B992" s="22" t="s">
        <v>2608</v>
      </c>
      <c r="C992" s="14">
        <v>45975</v>
      </c>
      <c r="D992" s="13" t="s">
        <v>1533</v>
      </c>
      <c r="E992" s="6" t="s">
        <v>6168</v>
      </c>
      <c r="F992" s="15" t="s">
        <v>6169</v>
      </c>
      <c r="G992" s="6" t="s">
        <v>6170</v>
      </c>
      <c r="H992" s="6" t="s">
        <v>6170</v>
      </c>
      <c r="I992" s="13" t="s">
        <v>39</v>
      </c>
      <c r="J992" s="13">
        <v>12</v>
      </c>
      <c r="K992" s="13" t="s">
        <v>1714</v>
      </c>
      <c r="L992" s="6" t="s">
        <v>6171</v>
      </c>
      <c r="M992" s="108" t="s">
        <v>6172</v>
      </c>
      <c r="N992" s="13" t="s">
        <v>4329</v>
      </c>
      <c r="O992" s="13" t="s">
        <v>21</v>
      </c>
      <c r="P992" s="13" t="s">
        <v>9</v>
      </c>
      <c r="Q992" s="6" t="s">
        <v>6173</v>
      </c>
      <c r="R992" s="17" t="s">
        <v>6174</v>
      </c>
      <c r="S992" s="17" t="s">
        <v>6175</v>
      </c>
      <c r="T992" s="18">
        <v>500</v>
      </c>
      <c r="U992" s="18">
        <v>280</v>
      </c>
      <c r="V992" s="13" t="s">
        <v>6176</v>
      </c>
      <c r="X992" s="132">
        <v>984</v>
      </c>
      <c r="Y992" s="6"/>
    </row>
    <row r="993" spans="1:25" ht="15" customHeight="1" x14ac:dyDescent="0.2">
      <c r="A993" s="12" t="s">
        <v>6177</v>
      </c>
      <c r="B993" s="92" t="s">
        <v>4978</v>
      </c>
      <c r="C993" s="74">
        <v>46705</v>
      </c>
      <c r="D993" s="13" t="s">
        <v>33</v>
      </c>
      <c r="E993" s="6" t="s">
        <v>6178</v>
      </c>
      <c r="F993" s="6" t="s">
        <v>6179</v>
      </c>
      <c r="G993" s="6" t="s">
        <v>6180</v>
      </c>
      <c r="H993" s="6" t="s">
        <v>6180</v>
      </c>
      <c r="I993" s="13" t="s">
        <v>25</v>
      </c>
      <c r="J993" s="13">
        <v>3</v>
      </c>
      <c r="K993" s="13" t="s">
        <v>1714</v>
      </c>
      <c r="L993" s="6" t="s">
        <v>6181</v>
      </c>
      <c r="M993" s="108" t="s">
        <v>6182</v>
      </c>
      <c r="N993" s="13" t="s">
        <v>4121</v>
      </c>
      <c r="O993" s="13" t="s">
        <v>8</v>
      </c>
      <c r="P993" s="13" t="s">
        <v>9</v>
      </c>
      <c r="Q993" s="6" t="s">
        <v>6183</v>
      </c>
      <c r="R993" s="17" t="s">
        <v>6184</v>
      </c>
      <c r="S993" s="17" t="s">
        <v>6634</v>
      </c>
      <c r="T993" s="18">
        <v>28</v>
      </c>
      <c r="U993" s="18">
        <v>15</v>
      </c>
      <c r="V993" s="13" t="s">
        <v>6185</v>
      </c>
      <c r="X993" s="132">
        <v>985</v>
      </c>
      <c r="Y993" s="6"/>
    </row>
    <row r="994" spans="1:25" ht="15" customHeight="1" x14ac:dyDescent="0.2">
      <c r="A994" s="12" t="s">
        <v>6199</v>
      </c>
      <c r="B994" s="13" t="s">
        <v>4977</v>
      </c>
      <c r="C994" s="14">
        <v>46822</v>
      </c>
      <c r="D994" s="13" t="s">
        <v>1533</v>
      </c>
      <c r="E994" s="6" t="s">
        <v>6200</v>
      </c>
      <c r="F994" s="15" t="s">
        <v>6201</v>
      </c>
      <c r="G994" s="6" t="s">
        <v>6202</v>
      </c>
      <c r="H994" s="6" t="s">
        <v>6202</v>
      </c>
      <c r="I994" s="13" t="s">
        <v>39</v>
      </c>
      <c r="J994" s="13">
        <v>12</v>
      </c>
      <c r="K994" s="13" t="s">
        <v>1714</v>
      </c>
      <c r="L994" s="6" t="s">
        <v>6203</v>
      </c>
      <c r="M994" s="108" t="s">
        <v>6204</v>
      </c>
      <c r="N994" s="13" t="s">
        <v>6205</v>
      </c>
      <c r="O994" s="13" t="s">
        <v>519</v>
      </c>
      <c r="P994" s="13" t="s">
        <v>16</v>
      </c>
      <c r="Q994" s="6" t="s">
        <v>6206</v>
      </c>
      <c r="R994" s="17" t="s">
        <v>6207</v>
      </c>
      <c r="S994" s="17" t="s">
        <v>6208</v>
      </c>
      <c r="T994" s="18">
        <v>75</v>
      </c>
      <c r="U994" s="18">
        <v>60</v>
      </c>
      <c r="V994" s="13" t="s">
        <v>6209</v>
      </c>
      <c r="X994" s="132">
        <v>986</v>
      </c>
      <c r="Y994" s="6"/>
    </row>
    <row r="995" spans="1:25" ht="15" customHeight="1" x14ac:dyDescent="0.2">
      <c r="A995" s="12" t="s">
        <v>6210</v>
      </c>
      <c r="B995" s="92" t="s">
        <v>4978</v>
      </c>
      <c r="C995" s="74">
        <v>46705</v>
      </c>
      <c r="D995" s="13" t="s">
        <v>33</v>
      </c>
      <c r="E995" s="6" t="s">
        <v>6211</v>
      </c>
      <c r="F995" s="6" t="s">
        <v>6212</v>
      </c>
      <c r="G995" s="6" t="s">
        <v>6213</v>
      </c>
      <c r="H995" s="6" t="s">
        <v>6213</v>
      </c>
      <c r="I995" s="13" t="s">
        <v>25</v>
      </c>
      <c r="J995" s="13">
        <v>3</v>
      </c>
      <c r="K995" s="13" t="s">
        <v>1714</v>
      </c>
      <c r="L995" s="6" t="s">
        <v>6214</v>
      </c>
      <c r="M995" s="108" t="s">
        <v>6215</v>
      </c>
      <c r="N995" s="13" t="s">
        <v>6216</v>
      </c>
      <c r="O995" s="13" t="s">
        <v>97</v>
      </c>
      <c r="P995" s="13" t="s">
        <v>4</v>
      </c>
      <c r="Q995" s="6" t="s">
        <v>6217</v>
      </c>
      <c r="R995" s="17" t="s">
        <v>6218</v>
      </c>
      <c r="S995" s="17" t="s">
        <v>6632</v>
      </c>
      <c r="T995" s="18">
        <v>10</v>
      </c>
      <c r="U995" s="18">
        <v>10</v>
      </c>
      <c r="V995" s="13" t="s">
        <v>6219</v>
      </c>
      <c r="X995" s="132">
        <v>987</v>
      </c>
      <c r="Y995" s="6"/>
    </row>
    <row r="996" spans="1:25" ht="15" customHeight="1" x14ac:dyDescent="0.2">
      <c r="A996" s="12" t="s">
        <v>6221</v>
      </c>
      <c r="B996" s="92" t="s">
        <v>4978</v>
      </c>
      <c r="C996" s="74">
        <v>46705</v>
      </c>
      <c r="D996" s="13" t="s">
        <v>33</v>
      </c>
      <c r="E996" s="6" t="s">
        <v>6222</v>
      </c>
      <c r="F996" s="15" t="s">
        <v>6223</v>
      </c>
      <c r="G996" s="6" t="s">
        <v>6225</v>
      </c>
      <c r="H996" s="6" t="s">
        <v>6225</v>
      </c>
      <c r="I996" s="13" t="s">
        <v>25</v>
      </c>
      <c r="J996" s="13">
        <v>3</v>
      </c>
      <c r="K996" s="13" t="s">
        <v>1714</v>
      </c>
      <c r="L996" s="6" t="s">
        <v>6224</v>
      </c>
      <c r="M996" s="108" t="s">
        <v>6226</v>
      </c>
      <c r="N996" s="13" t="s">
        <v>6227</v>
      </c>
      <c r="O996" s="13" t="s">
        <v>2146</v>
      </c>
      <c r="P996" s="13" t="s">
        <v>68</v>
      </c>
      <c r="Q996" s="6" t="s">
        <v>3786</v>
      </c>
      <c r="R996" s="17" t="s">
        <v>6065</v>
      </c>
      <c r="S996" s="17" t="s">
        <v>6631</v>
      </c>
      <c r="T996" s="18">
        <v>23</v>
      </c>
      <c r="U996" s="18">
        <v>20</v>
      </c>
      <c r="V996" s="13" t="s">
        <v>6228</v>
      </c>
      <c r="X996" s="132">
        <v>988</v>
      </c>
      <c r="Y996" s="6"/>
    </row>
    <row r="997" spans="1:25" ht="15" customHeight="1" x14ac:dyDescent="0.2">
      <c r="A997" s="12" t="s">
        <v>6229</v>
      </c>
      <c r="B997" s="92" t="s">
        <v>4978</v>
      </c>
      <c r="C997" s="74">
        <v>46705</v>
      </c>
      <c r="D997" s="13" t="s">
        <v>33</v>
      </c>
      <c r="E997" s="6" t="s">
        <v>6230</v>
      </c>
      <c r="F997" s="6" t="s">
        <v>6231</v>
      </c>
      <c r="G997" s="6" t="s">
        <v>6232</v>
      </c>
      <c r="H997" s="6" t="s">
        <v>6232</v>
      </c>
      <c r="I997" s="13" t="s">
        <v>25</v>
      </c>
      <c r="J997" s="13">
        <v>3</v>
      </c>
      <c r="K997" s="13" t="s">
        <v>1714</v>
      </c>
      <c r="L997" s="6" t="s">
        <v>6233</v>
      </c>
      <c r="M997" s="108" t="s">
        <v>6234</v>
      </c>
      <c r="N997" s="13" t="s">
        <v>2478</v>
      </c>
      <c r="O997" s="13" t="s">
        <v>61</v>
      </c>
      <c r="P997" s="13" t="s">
        <v>9</v>
      </c>
      <c r="Q997" s="6" t="s">
        <v>6235</v>
      </c>
      <c r="R997" s="17" t="s">
        <v>6236</v>
      </c>
      <c r="S997" s="17" t="s">
        <v>2853</v>
      </c>
      <c r="T997" s="18">
        <v>26</v>
      </c>
      <c r="U997" s="18">
        <v>12</v>
      </c>
      <c r="V997" s="13" t="s">
        <v>6237</v>
      </c>
      <c r="X997" s="132">
        <v>989</v>
      </c>
      <c r="Y997" s="6"/>
    </row>
    <row r="998" spans="1:25" ht="15" customHeight="1" x14ac:dyDescent="0.25">
      <c r="A998" s="12" t="s">
        <v>6238</v>
      </c>
      <c r="B998" s="13" t="s">
        <v>4977</v>
      </c>
      <c r="C998" s="14">
        <v>46705</v>
      </c>
      <c r="D998" s="13" t="s">
        <v>1533</v>
      </c>
      <c r="E998" s="6" t="s">
        <v>10929</v>
      </c>
      <c r="F998" s="6" t="s">
        <v>6315</v>
      </c>
      <c r="G998" s="6" t="s">
        <v>6239</v>
      </c>
      <c r="H998" s="6" t="s">
        <v>6239</v>
      </c>
      <c r="I998" s="13" t="s">
        <v>39</v>
      </c>
      <c r="J998" s="13">
        <v>12</v>
      </c>
      <c r="K998" s="13" t="s">
        <v>1714</v>
      </c>
      <c r="L998" s="6" t="s">
        <v>6240</v>
      </c>
      <c r="M998" s="108" t="s">
        <v>6241</v>
      </c>
      <c r="N998" s="13" t="s">
        <v>6242</v>
      </c>
      <c r="O998" s="13" t="s">
        <v>1889</v>
      </c>
      <c r="P998" s="13" t="s">
        <v>68</v>
      </c>
      <c r="Q998" s="6" t="s">
        <v>6243</v>
      </c>
      <c r="R998" s="17" t="s">
        <v>6244</v>
      </c>
      <c r="S998" s="69" t="s">
        <v>10930</v>
      </c>
      <c r="T998" s="18">
        <v>90</v>
      </c>
      <c r="U998" s="18">
        <v>90</v>
      </c>
      <c r="V998" s="13" t="s">
        <v>6245</v>
      </c>
      <c r="X998" s="132">
        <v>990</v>
      </c>
      <c r="Y998" s="6"/>
    </row>
    <row r="999" spans="1:25" ht="15" customHeight="1" x14ac:dyDescent="0.2">
      <c r="A999" s="12" t="s">
        <v>6246</v>
      </c>
      <c r="B999" s="92" t="s">
        <v>4978</v>
      </c>
      <c r="C999" s="74">
        <v>46705</v>
      </c>
      <c r="D999" s="13" t="s">
        <v>33</v>
      </c>
      <c r="E999" s="6" t="s">
        <v>6247</v>
      </c>
      <c r="F999" s="6" t="s">
        <v>6248</v>
      </c>
      <c r="G999" s="6" t="s">
        <v>6249</v>
      </c>
      <c r="H999" s="6" t="s">
        <v>6249</v>
      </c>
      <c r="I999" s="13" t="s">
        <v>7931</v>
      </c>
      <c r="J999" s="13">
        <v>4</v>
      </c>
      <c r="K999" s="13" t="s">
        <v>1714</v>
      </c>
      <c r="L999" s="6" t="s">
        <v>6250</v>
      </c>
      <c r="M999" s="108" t="s">
        <v>6251</v>
      </c>
      <c r="N999" s="13" t="s">
        <v>8</v>
      </c>
      <c r="O999" s="13" t="s">
        <v>8</v>
      </c>
      <c r="P999" s="13" t="s">
        <v>9</v>
      </c>
      <c r="Q999" s="6" t="s">
        <v>6252</v>
      </c>
      <c r="R999" s="17" t="s">
        <v>6253</v>
      </c>
      <c r="S999" s="17" t="s">
        <v>6254</v>
      </c>
      <c r="T999" s="18">
        <v>40</v>
      </c>
      <c r="U999" s="18">
        <v>30</v>
      </c>
      <c r="V999" s="13" t="s">
        <v>6255</v>
      </c>
      <c r="X999" s="132">
        <v>991</v>
      </c>
      <c r="Y999" s="6"/>
    </row>
    <row r="1000" spans="1:25" ht="15" customHeight="1" x14ac:dyDescent="0.2">
      <c r="A1000" s="12" t="s">
        <v>6262</v>
      </c>
      <c r="B1000" s="92" t="s">
        <v>4978</v>
      </c>
      <c r="C1000" s="74">
        <v>46705</v>
      </c>
      <c r="D1000" s="13" t="s">
        <v>33</v>
      </c>
      <c r="E1000" s="6" t="s">
        <v>6263</v>
      </c>
      <c r="F1000" s="6" t="s">
        <v>6264</v>
      </c>
      <c r="G1000" s="6" t="s">
        <v>6306</v>
      </c>
      <c r="H1000" s="6" t="s">
        <v>6306</v>
      </c>
      <c r="I1000" s="13" t="s">
        <v>25</v>
      </c>
      <c r="J1000" s="13">
        <v>3</v>
      </c>
      <c r="K1000" s="13" t="s">
        <v>1714</v>
      </c>
      <c r="L1000" s="6" t="s">
        <v>6307</v>
      </c>
      <c r="M1000" s="108" t="s">
        <v>6308</v>
      </c>
      <c r="N1000" s="13" t="s">
        <v>6309</v>
      </c>
      <c r="O1000" s="13" t="s">
        <v>21</v>
      </c>
      <c r="P1000" s="13" t="s">
        <v>9</v>
      </c>
      <c r="Q1000" s="6" t="s">
        <v>6310</v>
      </c>
      <c r="R1000" s="17" t="s">
        <v>6311</v>
      </c>
      <c r="S1000" s="17" t="s">
        <v>6645</v>
      </c>
      <c r="T1000" s="18">
        <v>27</v>
      </c>
      <c r="U1000" s="18">
        <v>20</v>
      </c>
      <c r="V1000" s="13" t="s">
        <v>6312</v>
      </c>
      <c r="X1000" s="132">
        <v>992</v>
      </c>
      <c r="Y1000" s="6"/>
    </row>
    <row r="1001" spans="1:25" ht="15" customHeight="1" x14ac:dyDescent="0.2">
      <c r="A1001" s="12" t="s">
        <v>6265</v>
      </c>
      <c r="B1001" s="92" t="s">
        <v>4978</v>
      </c>
      <c r="C1001" s="74">
        <v>46705</v>
      </c>
      <c r="D1001" s="13" t="s">
        <v>33</v>
      </c>
      <c r="E1001" s="6" t="s">
        <v>6266</v>
      </c>
      <c r="F1001" s="6" t="s">
        <v>9171</v>
      </c>
      <c r="G1001" s="6" t="s">
        <v>6267</v>
      </c>
      <c r="H1001" s="6" t="s">
        <v>6267</v>
      </c>
      <c r="I1001" s="13" t="s">
        <v>25</v>
      </c>
      <c r="J1001" s="13">
        <v>3</v>
      </c>
      <c r="K1001" s="13" t="s">
        <v>1714</v>
      </c>
      <c r="L1001" s="6" t="s">
        <v>6268</v>
      </c>
      <c r="M1001" s="108" t="s">
        <v>6269</v>
      </c>
      <c r="N1001" s="13" t="s">
        <v>240</v>
      </c>
      <c r="O1001" s="13" t="s">
        <v>240</v>
      </c>
      <c r="P1001" s="13" t="s">
        <v>16</v>
      </c>
      <c r="Q1001" s="6" t="s">
        <v>6270</v>
      </c>
      <c r="R1001" s="17" t="s">
        <v>6271</v>
      </c>
      <c r="S1001" s="17" t="s">
        <v>6634</v>
      </c>
      <c r="T1001" s="18">
        <v>22</v>
      </c>
      <c r="U1001" s="18">
        <v>17</v>
      </c>
      <c r="V1001" s="13" t="s">
        <v>6272</v>
      </c>
      <c r="X1001" s="132">
        <v>993</v>
      </c>
      <c r="Y1001" s="6"/>
    </row>
    <row r="1002" spans="1:25" ht="15" customHeight="1" x14ac:dyDescent="0.2">
      <c r="A1002" s="19" t="s">
        <v>6320</v>
      </c>
      <c r="B1002" s="13" t="s">
        <v>4977</v>
      </c>
      <c r="C1002" s="14">
        <v>46691</v>
      </c>
      <c r="D1002" s="13" t="s">
        <v>1533</v>
      </c>
      <c r="E1002" s="6" t="s">
        <v>6321</v>
      </c>
      <c r="F1002" s="15" t="s">
        <v>6322</v>
      </c>
      <c r="G1002" s="6" t="s">
        <v>6323</v>
      </c>
      <c r="H1002" s="6" t="s">
        <v>6323</v>
      </c>
      <c r="I1002" s="13" t="s">
        <v>39</v>
      </c>
      <c r="J1002" s="13">
        <v>12</v>
      </c>
      <c r="K1002" s="13" t="s">
        <v>7032</v>
      </c>
      <c r="L1002" s="6" t="s">
        <v>10785</v>
      </c>
      <c r="M1002" s="108" t="s">
        <v>10786</v>
      </c>
      <c r="N1002" s="134" t="s">
        <v>10787</v>
      </c>
      <c r="O1002" s="13" t="s">
        <v>704</v>
      </c>
      <c r="P1002" s="13" t="s">
        <v>16</v>
      </c>
      <c r="Q1002" s="6" t="s">
        <v>10788</v>
      </c>
      <c r="R1002" s="17" t="s">
        <v>6325</v>
      </c>
      <c r="S1002" s="17"/>
      <c r="T1002" s="18">
        <v>350</v>
      </c>
      <c r="U1002" s="18">
        <v>70</v>
      </c>
      <c r="V1002" s="13" t="s">
        <v>6324</v>
      </c>
      <c r="X1002" s="132">
        <v>994</v>
      </c>
      <c r="Y1002" s="6"/>
    </row>
    <row r="1003" spans="1:25" ht="15" customHeight="1" x14ac:dyDescent="0.2">
      <c r="A1003" s="12" t="s">
        <v>6363</v>
      </c>
      <c r="B1003" s="92" t="s">
        <v>4978</v>
      </c>
      <c r="C1003" s="74" t="s">
        <v>6469</v>
      </c>
      <c r="D1003" s="13" t="s">
        <v>33</v>
      </c>
      <c r="E1003" s="6" t="s">
        <v>6384</v>
      </c>
      <c r="F1003" s="15" t="s">
        <v>6385</v>
      </c>
      <c r="G1003" s="6" t="s">
        <v>6383</v>
      </c>
      <c r="H1003" s="6" t="s">
        <v>6383</v>
      </c>
      <c r="I1003" s="13" t="s">
        <v>25</v>
      </c>
      <c r="J1003" s="13">
        <v>3</v>
      </c>
      <c r="K1003" s="13" t="s">
        <v>1714</v>
      </c>
      <c r="L1003" s="6" t="s">
        <v>6386</v>
      </c>
      <c r="M1003" s="108" t="s">
        <v>6387</v>
      </c>
      <c r="N1003" s="13" t="s">
        <v>2483</v>
      </c>
      <c r="O1003" s="13" t="s">
        <v>172</v>
      </c>
      <c r="P1003" s="13" t="s">
        <v>9</v>
      </c>
      <c r="Q1003" s="6" t="s">
        <v>6388</v>
      </c>
      <c r="R1003" s="17" t="s">
        <v>6389</v>
      </c>
      <c r="S1003" s="17" t="s">
        <v>6390</v>
      </c>
      <c r="T1003" s="18">
        <v>35</v>
      </c>
      <c r="U1003" s="18">
        <v>35</v>
      </c>
      <c r="V1003" s="13" t="s">
        <v>6391</v>
      </c>
      <c r="X1003" s="132">
        <v>995</v>
      </c>
      <c r="Y1003" s="6"/>
    </row>
    <row r="1004" spans="1:25" ht="15" customHeight="1" x14ac:dyDescent="0.2">
      <c r="A1004" s="12" t="s">
        <v>6364</v>
      </c>
      <c r="B1004" s="92" t="s">
        <v>4978</v>
      </c>
      <c r="C1004" s="74" t="s">
        <v>6469</v>
      </c>
      <c r="D1004" s="13" t="s">
        <v>33</v>
      </c>
      <c r="E1004" s="6" t="s">
        <v>6373</v>
      </c>
      <c r="F1004" s="15" t="s">
        <v>6392</v>
      </c>
      <c r="G1004" s="6" t="s">
        <v>6393</v>
      </c>
      <c r="H1004" s="6" t="s">
        <v>6393</v>
      </c>
      <c r="I1004" s="13" t="s">
        <v>25</v>
      </c>
      <c r="J1004" s="13">
        <v>3</v>
      </c>
      <c r="K1004" s="13" t="s">
        <v>1714</v>
      </c>
      <c r="L1004" s="6" t="s">
        <v>6394</v>
      </c>
      <c r="M1004" s="108" t="s">
        <v>6395</v>
      </c>
      <c r="N1004" s="13" t="s">
        <v>2169</v>
      </c>
      <c r="O1004" s="13" t="s">
        <v>8</v>
      </c>
      <c r="P1004" s="13" t="s">
        <v>9</v>
      </c>
      <c r="Q1004" s="6" t="s">
        <v>6396</v>
      </c>
      <c r="R1004" s="17" t="s">
        <v>6397</v>
      </c>
      <c r="S1004" s="17" t="s">
        <v>6634</v>
      </c>
      <c r="T1004" s="18">
        <v>25</v>
      </c>
      <c r="U1004" s="18">
        <v>25</v>
      </c>
      <c r="V1004" s="13" t="s">
        <v>6398</v>
      </c>
      <c r="X1004" s="132">
        <v>996</v>
      </c>
      <c r="Y1004" s="6"/>
    </row>
    <row r="1005" spans="1:25" ht="15" customHeight="1" x14ac:dyDescent="0.2">
      <c r="A1005" s="12" t="s">
        <v>6365</v>
      </c>
      <c r="B1005" s="92" t="s">
        <v>4978</v>
      </c>
      <c r="C1005" s="74" t="s">
        <v>6469</v>
      </c>
      <c r="D1005" s="13" t="s">
        <v>33</v>
      </c>
      <c r="E1005" s="6" t="s">
        <v>6399</v>
      </c>
      <c r="F1005" s="15" t="s">
        <v>6374</v>
      </c>
      <c r="G1005" s="6" t="s">
        <v>6400</v>
      </c>
      <c r="H1005" s="6" t="s">
        <v>6400</v>
      </c>
      <c r="I1005" s="13" t="s">
        <v>25</v>
      </c>
      <c r="J1005" s="13">
        <v>3</v>
      </c>
      <c r="K1005" s="13" t="s">
        <v>1714</v>
      </c>
      <c r="L1005" s="6" t="s">
        <v>6401</v>
      </c>
      <c r="M1005" s="108" t="s">
        <v>6402</v>
      </c>
      <c r="N1005" s="13" t="s">
        <v>61</v>
      </c>
      <c r="O1005" s="13" t="s">
        <v>61</v>
      </c>
      <c r="P1005" s="13" t="s">
        <v>9</v>
      </c>
      <c r="Q1005" s="6" t="s">
        <v>6403</v>
      </c>
      <c r="R1005" s="17" t="s">
        <v>6404</v>
      </c>
      <c r="S1005" s="17" t="s">
        <v>6634</v>
      </c>
      <c r="T1005" s="18">
        <v>8</v>
      </c>
      <c r="U1005" s="18">
        <v>5</v>
      </c>
      <c r="V1005" s="13" t="s">
        <v>6405</v>
      </c>
      <c r="X1005" s="132">
        <v>997</v>
      </c>
      <c r="Y1005" s="6"/>
    </row>
    <row r="1006" spans="1:25" ht="15" customHeight="1" x14ac:dyDescent="0.2">
      <c r="A1006" s="12" t="s">
        <v>6366</v>
      </c>
      <c r="B1006" s="92" t="s">
        <v>4978</v>
      </c>
      <c r="C1006" s="74" t="s">
        <v>6469</v>
      </c>
      <c r="D1006" s="13" t="s">
        <v>33</v>
      </c>
      <c r="E1006" s="6" t="s">
        <v>6406</v>
      </c>
      <c r="F1006" s="15" t="s">
        <v>6375</v>
      </c>
      <c r="G1006" s="6" t="s">
        <v>6407</v>
      </c>
      <c r="H1006" s="6" t="s">
        <v>6407</v>
      </c>
      <c r="I1006" s="13" t="s">
        <v>25</v>
      </c>
      <c r="J1006" s="13">
        <v>3</v>
      </c>
      <c r="K1006" s="13" t="s">
        <v>1714</v>
      </c>
      <c r="L1006" s="6" t="s">
        <v>6408</v>
      </c>
      <c r="M1006" s="108" t="s">
        <v>6409</v>
      </c>
      <c r="N1006" s="13" t="s">
        <v>136</v>
      </c>
      <c r="O1006" s="13" t="s">
        <v>136</v>
      </c>
      <c r="P1006" s="13" t="s">
        <v>4</v>
      </c>
      <c r="Q1006" s="6" t="s">
        <v>6410</v>
      </c>
      <c r="R1006" s="17" t="s">
        <v>6411</v>
      </c>
      <c r="S1006" s="17" t="s">
        <v>2853</v>
      </c>
      <c r="T1006" s="18">
        <v>28</v>
      </c>
      <c r="U1006" s="18">
        <v>19</v>
      </c>
      <c r="V1006" s="13" t="s">
        <v>6452</v>
      </c>
      <c r="X1006" s="132">
        <v>998</v>
      </c>
      <c r="Y1006" s="6"/>
    </row>
    <row r="1007" spans="1:25" ht="15" customHeight="1" x14ac:dyDescent="0.2">
      <c r="A1007" s="12" t="s">
        <v>6367</v>
      </c>
      <c r="B1007" s="92" t="s">
        <v>4978</v>
      </c>
      <c r="C1007" s="74" t="s">
        <v>6469</v>
      </c>
      <c r="D1007" s="13" t="s">
        <v>33</v>
      </c>
      <c r="E1007" s="6" t="s">
        <v>6376</v>
      </c>
      <c r="F1007" s="15" t="s">
        <v>6412</v>
      </c>
      <c r="G1007" s="6" t="s">
        <v>6413</v>
      </c>
      <c r="H1007" s="6" t="s">
        <v>6413</v>
      </c>
      <c r="I1007" s="13" t="s">
        <v>25</v>
      </c>
      <c r="J1007" s="13">
        <v>3</v>
      </c>
      <c r="K1007" s="13" t="s">
        <v>1714</v>
      </c>
      <c r="L1007" s="6" t="s">
        <v>6414</v>
      </c>
      <c r="M1007" s="108" t="s">
        <v>6415</v>
      </c>
      <c r="N1007" s="13" t="s">
        <v>5254</v>
      </c>
      <c r="O1007" s="13" t="s">
        <v>8</v>
      </c>
      <c r="P1007" s="13" t="s">
        <v>9</v>
      </c>
      <c r="Q1007" s="6" t="s">
        <v>6416</v>
      </c>
      <c r="R1007" s="17" t="s">
        <v>1844</v>
      </c>
      <c r="S1007" s="17" t="s">
        <v>6417</v>
      </c>
      <c r="T1007" s="18">
        <v>22</v>
      </c>
      <c r="U1007" s="18">
        <v>20</v>
      </c>
      <c r="V1007" s="13" t="s">
        <v>6418</v>
      </c>
      <c r="X1007" s="132">
        <v>999</v>
      </c>
      <c r="Y1007" s="6"/>
    </row>
    <row r="1008" spans="1:25" ht="15" customHeight="1" x14ac:dyDescent="0.2">
      <c r="A1008" s="12" t="s">
        <v>6368</v>
      </c>
      <c r="B1008" s="92" t="s">
        <v>4978</v>
      </c>
      <c r="C1008" s="74" t="s">
        <v>6469</v>
      </c>
      <c r="D1008" s="13" t="s">
        <v>1533</v>
      </c>
      <c r="E1008" s="6" t="s">
        <v>6419</v>
      </c>
      <c r="F1008" s="15" t="s">
        <v>6422</v>
      </c>
      <c r="G1008" s="63" t="s">
        <v>6420</v>
      </c>
      <c r="H1008" s="63" t="s">
        <v>6421</v>
      </c>
      <c r="I1008" s="13" t="s">
        <v>13</v>
      </c>
      <c r="J1008" s="13">
        <v>7</v>
      </c>
      <c r="K1008" s="13" t="s">
        <v>6603</v>
      </c>
      <c r="L1008" s="6" t="s">
        <v>6423</v>
      </c>
      <c r="M1008" s="108" t="s">
        <v>6424</v>
      </c>
      <c r="N1008" s="13" t="s">
        <v>6425</v>
      </c>
      <c r="O1008" s="13" t="s">
        <v>743</v>
      </c>
      <c r="P1008" s="13" t="s">
        <v>16</v>
      </c>
      <c r="Q1008" s="6" t="s">
        <v>6426</v>
      </c>
      <c r="R1008" s="17" t="s">
        <v>6427</v>
      </c>
      <c r="S1008" s="17" t="s">
        <v>6428</v>
      </c>
      <c r="T1008" s="18">
        <v>200</v>
      </c>
      <c r="U1008" s="18">
        <v>200</v>
      </c>
      <c r="V1008" s="13" t="s">
        <v>6429</v>
      </c>
      <c r="X1008" s="132">
        <v>1000</v>
      </c>
      <c r="Y1008" s="6"/>
    </row>
    <row r="1009" spans="1:25" ht="15" customHeight="1" x14ac:dyDescent="0.2">
      <c r="A1009" s="12" t="s">
        <v>6369</v>
      </c>
      <c r="B1009" s="92" t="s">
        <v>4978</v>
      </c>
      <c r="C1009" s="74" t="s">
        <v>6469</v>
      </c>
      <c r="D1009" s="13" t="s">
        <v>33</v>
      </c>
      <c r="E1009" s="6" t="s">
        <v>6377</v>
      </c>
      <c r="F1009" s="15" t="s">
        <v>6430</v>
      </c>
      <c r="G1009" s="6" t="s">
        <v>6431</v>
      </c>
      <c r="H1009" s="6" t="s">
        <v>6431</v>
      </c>
      <c r="I1009" s="13" t="s">
        <v>25</v>
      </c>
      <c r="J1009" s="13">
        <v>3</v>
      </c>
      <c r="K1009" s="13" t="s">
        <v>1714</v>
      </c>
      <c r="L1009" s="6" t="s">
        <v>6432</v>
      </c>
      <c r="M1009" s="108" t="s">
        <v>6433</v>
      </c>
      <c r="N1009" s="13" t="s">
        <v>4839</v>
      </c>
      <c r="O1009" s="13" t="s">
        <v>704</v>
      </c>
      <c r="P1009" s="13" t="s">
        <v>16</v>
      </c>
      <c r="Q1009" s="6" t="s">
        <v>3786</v>
      </c>
      <c r="R1009" s="17" t="s">
        <v>4682</v>
      </c>
      <c r="S1009" s="17" t="s">
        <v>6631</v>
      </c>
      <c r="T1009" s="18">
        <v>21</v>
      </c>
      <c r="U1009" s="18">
        <v>19</v>
      </c>
      <c r="V1009" s="13" t="s">
        <v>6434</v>
      </c>
      <c r="X1009" s="132">
        <v>1001</v>
      </c>
      <c r="Y1009" s="6"/>
    </row>
    <row r="1010" spans="1:25" ht="15" customHeight="1" x14ac:dyDescent="0.2">
      <c r="A1010" s="12" t="s">
        <v>6370</v>
      </c>
      <c r="B1010" s="92" t="s">
        <v>4978</v>
      </c>
      <c r="C1010" s="74" t="s">
        <v>6469</v>
      </c>
      <c r="D1010" s="13" t="s">
        <v>33</v>
      </c>
      <c r="E1010" s="6" t="s">
        <v>6435</v>
      </c>
      <c r="F1010" s="15" t="s">
        <v>6436</v>
      </c>
      <c r="G1010" s="6" t="s">
        <v>6437</v>
      </c>
      <c r="H1010" s="6" t="s">
        <v>6437</v>
      </c>
      <c r="I1010" s="13" t="s">
        <v>25</v>
      </c>
      <c r="J1010" s="13">
        <v>3</v>
      </c>
      <c r="K1010" s="13" t="s">
        <v>1714</v>
      </c>
      <c r="L1010" s="6" t="s">
        <v>6440</v>
      </c>
      <c r="M1010" s="108" t="s">
        <v>6438</v>
      </c>
      <c r="N1010" s="13" t="s">
        <v>3135</v>
      </c>
      <c r="O1010" s="13" t="s">
        <v>1847</v>
      </c>
      <c r="P1010" s="13" t="s">
        <v>68</v>
      </c>
      <c r="Q1010" s="6" t="s">
        <v>3786</v>
      </c>
      <c r="R1010" s="17" t="s">
        <v>4682</v>
      </c>
      <c r="S1010" s="17" t="s">
        <v>6631</v>
      </c>
      <c r="T1010" s="18">
        <v>31</v>
      </c>
      <c r="U1010" s="18">
        <v>8</v>
      </c>
      <c r="V1010" s="13" t="s">
        <v>6439</v>
      </c>
      <c r="X1010" s="132">
        <v>1002</v>
      </c>
      <c r="Y1010" s="6"/>
    </row>
    <row r="1011" spans="1:25" ht="15" customHeight="1" x14ac:dyDescent="0.2">
      <c r="A1011" s="12" t="s">
        <v>6371</v>
      </c>
      <c r="B1011" s="92" t="s">
        <v>4978</v>
      </c>
      <c r="C1011" s="74" t="s">
        <v>6469</v>
      </c>
      <c r="D1011" s="13" t="s">
        <v>1533</v>
      </c>
      <c r="E1011" s="6" t="s">
        <v>6441</v>
      </c>
      <c r="F1011" s="15" t="s">
        <v>6442</v>
      </c>
      <c r="G1011" s="6" t="s">
        <v>6443</v>
      </c>
      <c r="H1011" s="6" t="s">
        <v>6444</v>
      </c>
      <c r="I1011" s="13" t="s">
        <v>13</v>
      </c>
      <c r="J1011" s="13">
        <v>7</v>
      </c>
      <c r="K1011" s="13" t="s">
        <v>6603</v>
      </c>
      <c r="L1011" s="6" t="s">
        <v>6445</v>
      </c>
      <c r="M1011" s="108" t="s">
        <v>6446</v>
      </c>
      <c r="N1011" s="13" t="s">
        <v>6447</v>
      </c>
      <c r="O1011" s="13" t="s">
        <v>5556</v>
      </c>
      <c r="P1011" s="13" t="s">
        <v>9</v>
      </c>
      <c r="Q1011" s="6" t="s">
        <v>6448</v>
      </c>
      <c r="R1011" s="17" t="s">
        <v>6449</v>
      </c>
      <c r="S1011" s="17" t="s">
        <v>6450</v>
      </c>
      <c r="T1011" s="18">
        <v>100</v>
      </c>
      <c r="U1011" s="18">
        <v>128</v>
      </c>
      <c r="V1011" s="13" t="s">
        <v>6451</v>
      </c>
      <c r="X1011" s="132">
        <v>1003</v>
      </c>
      <c r="Y1011" s="6"/>
    </row>
    <row r="1012" spans="1:25" ht="15" customHeight="1" x14ac:dyDescent="0.2">
      <c r="A1012" s="12" t="s">
        <v>6372</v>
      </c>
      <c r="B1012" s="13" t="s">
        <v>4977</v>
      </c>
      <c r="C1012" s="14">
        <v>46733</v>
      </c>
      <c r="D1012" s="13" t="s">
        <v>33</v>
      </c>
      <c r="E1012" s="6" t="s">
        <v>6458</v>
      </c>
      <c r="F1012" s="15" t="s">
        <v>6453</v>
      </c>
      <c r="G1012" s="6" t="s">
        <v>6454</v>
      </c>
      <c r="H1012" s="6" t="s">
        <v>6454</v>
      </c>
      <c r="I1012" s="13" t="s">
        <v>25</v>
      </c>
      <c r="J1012" s="13">
        <v>3</v>
      </c>
      <c r="K1012" s="13" t="s">
        <v>1714</v>
      </c>
      <c r="L1012" s="6" t="s">
        <v>6455</v>
      </c>
      <c r="M1012" s="108" t="s">
        <v>5274</v>
      </c>
      <c r="N1012" s="13" t="s">
        <v>2161</v>
      </c>
      <c r="O1012" s="13" t="s">
        <v>2146</v>
      </c>
      <c r="P1012" s="13" t="s">
        <v>68</v>
      </c>
      <c r="Q1012" s="6" t="s">
        <v>11098</v>
      </c>
      <c r="R1012" s="17" t="s">
        <v>6456</v>
      </c>
      <c r="S1012" s="17"/>
      <c r="T1012" s="18">
        <v>16</v>
      </c>
      <c r="U1012" s="18">
        <v>16</v>
      </c>
      <c r="V1012" s="13" t="s">
        <v>6457</v>
      </c>
      <c r="X1012" s="132">
        <v>1004</v>
      </c>
      <c r="Y1012" s="6"/>
    </row>
    <row r="1013" spans="1:25" ht="15" customHeight="1" x14ac:dyDescent="0.2">
      <c r="A1013" s="12" t="s">
        <v>6470</v>
      </c>
      <c r="B1013" s="92" t="s">
        <v>4978</v>
      </c>
      <c r="C1013" s="74">
        <v>46742</v>
      </c>
      <c r="D1013" s="13" t="s">
        <v>33</v>
      </c>
      <c r="E1013" s="6" t="s">
        <v>6472</v>
      </c>
      <c r="F1013" s="15" t="s">
        <v>6474</v>
      </c>
      <c r="G1013" s="6" t="s">
        <v>6515</v>
      </c>
      <c r="H1013" s="6" t="s">
        <v>6515</v>
      </c>
      <c r="I1013" s="13" t="s">
        <v>25</v>
      </c>
      <c r="J1013" s="13">
        <v>3</v>
      </c>
      <c r="K1013" s="13" t="s">
        <v>1714</v>
      </c>
      <c r="L1013" s="6" t="s">
        <v>6516</v>
      </c>
      <c r="M1013" s="108" t="s">
        <v>6517</v>
      </c>
      <c r="N1013" s="13" t="s">
        <v>2312</v>
      </c>
      <c r="O1013" s="13" t="s">
        <v>15</v>
      </c>
      <c r="P1013" s="13" t="s">
        <v>16</v>
      </c>
      <c r="Q1013" s="6" t="s">
        <v>3541</v>
      </c>
      <c r="R1013" s="17" t="s">
        <v>794</v>
      </c>
      <c r="S1013" s="17" t="s">
        <v>6643</v>
      </c>
      <c r="T1013" s="18">
        <v>42</v>
      </c>
      <c r="U1013" s="18">
        <v>41</v>
      </c>
      <c r="V1013" s="13" t="s">
        <v>6518</v>
      </c>
      <c r="X1013" s="132">
        <v>1005</v>
      </c>
      <c r="Y1013" s="6"/>
    </row>
    <row r="1014" spans="1:25" ht="15" customHeight="1" x14ac:dyDescent="0.2">
      <c r="A1014" s="12" t="s">
        <v>6471</v>
      </c>
      <c r="B1014" s="92" t="s">
        <v>4978</v>
      </c>
      <c r="C1014" s="74">
        <v>46742</v>
      </c>
      <c r="D1014" s="13" t="s">
        <v>1533</v>
      </c>
      <c r="E1014" s="6" t="s">
        <v>6473</v>
      </c>
      <c r="F1014" s="15" t="s">
        <v>6519</v>
      </c>
      <c r="G1014" s="6" t="s">
        <v>6520</v>
      </c>
      <c r="H1014" s="6" t="s">
        <v>6520</v>
      </c>
      <c r="I1014" s="13" t="s">
        <v>25</v>
      </c>
      <c r="J1014" s="13">
        <v>5</v>
      </c>
      <c r="K1014" s="13" t="s">
        <v>6603</v>
      </c>
      <c r="L1014" s="6" t="s">
        <v>6521</v>
      </c>
      <c r="M1014" s="108" t="s">
        <v>6522</v>
      </c>
      <c r="N1014" s="13" t="s">
        <v>2217</v>
      </c>
      <c r="O1014" s="13" t="s">
        <v>2085</v>
      </c>
      <c r="P1014" s="13" t="s">
        <v>68</v>
      </c>
      <c r="Q1014" s="6" t="s">
        <v>6523</v>
      </c>
      <c r="R1014" s="17" t="s">
        <v>6524</v>
      </c>
      <c r="S1014" s="17" t="s">
        <v>6525</v>
      </c>
      <c r="T1014" s="18">
        <v>30</v>
      </c>
      <c r="U1014" s="18">
        <v>0</v>
      </c>
      <c r="V1014" s="13" t="s">
        <v>6526</v>
      </c>
      <c r="X1014" s="132">
        <v>1006</v>
      </c>
      <c r="Y1014" s="6"/>
    </row>
    <row r="1015" spans="1:25" ht="15" customHeight="1" x14ac:dyDescent="0.25">
      <c r="A1015" s="12" t="s">
        <v>12199</v>
      </c>
      <c r="B1015" s="145" t="s">
        <v>4978</v>
      </c>
      <c r="C1015" s="146">
        <v>47679</v>
      </c>
      <c r="D1015" s="145" t="s">
        <v>1533</v>
      </c>
      <c r="E1015" s="147" t="s">
        <v>6473</v>
      </c>
      <c r="F1015" s="148" t="s">
        <v>12200</v>
      </c>
      <c r="G1015" s="147" t="s">
        <v>6520</v>
      </c>
      <c r="H1015" s="147" t="s">
        <v>12201</v>
      </c>
      <c r="I1015" s="145" t="s">
        <v>13</v>
      </c>
      <c r="J1015" s="145">
        <v>7</v>
      </c>
      <c r="K1015" s="145" t="s">
        <v>6603</v>
      </c>
      <c r="L1015" s="147" t="s">
        <v>12202</v>
      </c>
      <c r="M1015" s="149" t="s">
        <v>12203</v>
      </c>
      <c r="N1015" s="145" t="s">
        <v>2217</v>
      </c>
      <c r="O1015" s="145" t="s">
        <v>2085</v>
      </c>
      <c r="P1015" s="145" t="s">
        <v>68</v>
      </c>
      <c r="Q1015" s="147" t="s">
        <v>12204</v>
      </c>
      <c r="R1015" s="69" t="s">
        <v>12205</v>
      </c>
      <c r="S1015" s="150"/>
      <c r="T1015" s="151">
        <v>200</v>
      </c>
      <c r="U1015" s="151">
        <v>591</v>
      </c>
      <c r="V1015" s="145" t="s">
        <v>6526</v>
      </c>
      <c r="W1015" s="147"/>
      <c r="X1015" s="152"/>
      <c r="Y1015" s="6"/>
    </row>
    <row r="1016" spans="1:25" ht="15" customHeight="1" x14ac:dyDescent="0.2">
      <c r="A1016" s="12" t="s">
        <v>6478</v>
      </c>
      <c r="B1016" s="92" t="s">
        <v>4978</v>
      </c>
      <c r="C1016" s="74">
        <v>46742</v>
      </c>
      <c r="D1016" s="13" t="s">
        <v>33</v>
      </c>
      <c r="E1016" s="6" t="s">
        <v>6481</v>
      </c>
      <c r="F1016" s="15" t="s">
        <v>6482</v>
      </c>
      <c r="G1016" s="6" t="s">
        <v>6485</v>
      </c>
      <c r="H1016" s="6" t="s">
        <v>6485</v>
      </c>
      <c r="I1016" s="13" t="s">
        <v>25</v>
      </c>
      <c r="J1016" s="13">
        <v>3</v>
      </c>
      <c r="K1016" s="13" t="s">
        <v>1714</v>
      </c>
      <c r="L1016" s="6" t="s">
        <v>6527</v>
      </c>
      <c r="M1016" s="108" t="s">
        <v>2482</v>
      </c>
      <c r="N1016" s="13" t="s">
        <v>2483</v>
      </c>
      <c r="O1016" s="13" t="s">
        <v>172</v>
      </c>
      <c r="P1016" s="13" t="s">
        <v>9</v>
      </c>
      <c r="Q1016" s="6" t="s">
        <v>6528</v>
      </c>
      <c r="R1016" s="17" t="s">
        <v>6529</v>
      </c>
      <c r="S1016" s="17" t="s">
        <v>6634</v>
      </c>
      <c r="T1016" s="18">
        <v>29</v>
      </c>
      <c r="U1016" s="18">
        <v>29</v>
      </c>
      <c r="V1016" s="13" t="s">
        <v>6530</v>
      </c>
      <c r="X1016" s="132">
        <v>1007</v>
      </c>
      <c r="Y1016" s="6"/>
    </row>
    <row r="1017" spans="1:25" ht="15" customHeight="1" x14ac:dyDescent="0.2">
      <c r="A1017" s="12" t="s">
        <v>6479</v>
      </c>
      <c r="B1017" s="92" t="s">
        <v>4978</v>
      </c>
      <c r="C1017" s="74">
        <v>46742</v>
      </c>
      <c r="D1017" s="13" t="s">
        <v>33</v>
      </c>
      <c r="E1017" s="6" t="s">
        <v>6483</v>
      </c>
      <c r="F1017" s="15" t="s">
        <v>6484</v>
      </c>
      <c r="G1017" s="6" t="s">
        <v>6532</v>
      </c>
      <c r="H1017" s="6" t="s">
        <v>6532</v>
      </c>
      <c r="I1017" s="13" t="s">
        <v>25</v>
      </c>
      <c r="J1017" s="13">
        <v>3</v>
      </c>
      <c r="K1017" s="13" t="s">
        <v>1714</v>
      </c>
      <c r="L1017" s="6" t="s">
        <v>6533</v>
      </c>
      <c r="M1017" s="108" t="s">
        <v>6534</v>
      </c>
      <c r="N1017" s="13" t="s">
        <v>2747</v>
      </c>
      <c r="O1017" s="13" t="s">
        <v>2146</v>
      </c>
      <c r="P1017" s="13" t="s">
        <v>68</v>
      </c>
      <c r="Q1017" s="6" t="s">
        <v>6535</v>
      </c>
      <c r="R1017" s="17" t="s">
        <v>6536</v>
      </c>
      <c r="S1017" s="17" t="s">
        <v>6537</v>
      </c>
      <c r="T1017" s="18">
        <v>71</v>
      </c>
      <c r="U1017" s="18">
        <v>52</v>
      </c>
      <c r="V1017" s="13" t="s">
        <v>6531</v>
      </c>
      <c r="X1017" s="132">
        <v>1008</v>
      </c>
      <c r="Y1017" s="6"/>
    </row>
    <row r="1018" spans="1:25" ht="15" customHeight="1" x14ac:dyDescent="0.2">
      <c r="A1018" s="12" t="s">
        <v>6480</v>
      </c>
      <c r="B1018" s="92" t="s">
        <v>4978</v>
      </c>
      <c r="C1018" s="74">
        <v>46742</v>
      </c>
      <c r="D1018" s="13" t="s">
        <v>33</v>
      </c>
      <c r="E1018" s="6" t="s">
        <v>6550</v>
      </c>
      <c r="F1018" s="15" t="s">
        <v>6551</v>
      </c>
      <c r="G1018" s="6" t="s">
        <v>6552</v>
      </c>
      <c r="H1018" s="6" t="s">
        <v>6552</v>
      </c>
      <c r="I1018" s="13" t="s">
        <v>25</v>
      </c>
      <c r="J1018" s="13">
        <v>3</v>
      </c>
      <c r="K1018" s="13" t="s">
        <v>1714</v>
      </c>
      <c r="L1018" s="6" t="s">
        <v>6553</v>
      </c>
      <c r="M1018" s="108" t="s">
        <v>6554</v>
      </c>
      <c r="N1018" s="13" t="s">
        <v>5137</v>
      </c>
      <c r="O1018" s="13" t="s">
        <v>1847</v>
      </c>
      <c r="P1018" s="13" t="s">
        <v>68</v>
      </c>
      <c r="Q1018" s="6" t="s">
        <v>6555</v>
      </c>
      <c r="R1018" s="17" t="s">
        <v>6556</v>
      </c>
      <c r="S1018" s="17" t="s">
        <v>6557</v>
      </c>
      <c r="T1018" s="18">
        <v>21</v>
      </c>
      <c r="U1018" s="18">
        <v>21</v>
      </c>
      <c r="V1018" s="13" t="s">
        <v>6558</v>
      </c>
      <c r="X1018" s="132">
        <v>1009</v>
      </c>
      <c r="Y1018" s="6"/>
    </row>
    <row r="1019" spans="1:25" ht="15" customHeight="1" x14ac:dyDescent="0.25">
      <c r="A1019" s="12" t="s">
        <v>6565</v>
      </c>
      <c r="B1019" s="92" t="s">
        <v>4978</v>
      </c>
      <c r="C1019" s="74">
        <v>47615</v>
      </c>
      <c r="D1019" s="13" t="s">
        <v>1533</v>
      </c>
      <c r="E1019" s="6" t="s">
        <v>9170</v>
      </c>
      <c r="F1019" s="15" t="s">
        <v>11560</v>
      </c>
      <c r="G1019" s="6" t="s">
        <v>6559</v>
      </c>
      <c r="H1019" s="6" t="s">
        <v>6559</v>
      </c>
      <c r="I1019" s="13" t="s">
        <v>25</v>
      </c>
      <c r="J1019" s="13">
        <v>6</v>
      </c>
      <c r="K1019" s="13" t="s">
        <v>1714</v>
      </c>
      <c r="L1019" s="6" t="s">
        <v>6566</v>
      </c>
      <c r="M1019" s="108" t="s">
        <v>6567</v>
      </c>
      <c r="N1019" s="13" t="s">
        <v>11561</v>
      </c>
      <c r="O1019" s="13" t="s">
        <v>27</v>
      </c>
      <c r="P1019" s="13" t="s">
        <v>9</v>
      </c>
      <c r="Q1019" s="6" t="s">
        <v>11558</v>
      </c>
      <c r="R1019" s="69" t="s">
        <v>11559</v>
      </c>
      <c r="S1019" s="17"/>
      <c r="T1019" s="18">
        <v>22</v>
      </c>
      <c r="U1019" s="18">
        <v>10</v>
      </c>
      <c r="V1019" s="13" t="s">
        <v>6568</v>
      </c>
      <c r="X1019" s="132">
        <v>1010</v>
      </c>
      <c r="Y1019" s="6"/>
    </row>
    <row r="1020" spans="1:25" ht="15" customHeight="1" x14ac:dyDescent="0.2">
      <c r="A1020" s="12" t="s">
        <v>6570</v>
      </c>
      <c r="B1020" s="13" t="s">
        <v>4977</v>
      </c>
      <c r="C1020" s="14">
        <v>46719</v>
      </c>
      <c r="D1020" s="13" t="s">
        <v>1533</v>
      </c>
      <c r="E1020" s="6" t="s">
        <v>6571</v>
      </c>
      <c r="F1020" s="15" t="s">
        <v>6572</v>
      </c>
      <c r="G1020" s="6" t="s">
        <v>6573</v>
      </c>
      <c r="H1020" s="6" t="s">
        <v>6573</v>
      </c>
      <c r="I1020" s="13" t="s">
        <v>39</v>
      </c>
      <c r="J1020" s="13">
        <v>12</v>
      </c>
      <c r="K1020" s="13" t="s">
        <v>6574</v>
      </c>
      <c r="L1020" s="39" t="s">
        <v>7690</v>
      </c>
      <c r="M1020" s="108" t="s">
        <v>7691</v>
      </c>
      <c r="N1020" s="13" t="s">
        <v>2614</v>
      </c>
      <c r="O1020" s="13" t="s">
        <v>53</v>
      </c>
      <c r="P1020" s="13" t="s">
        <v>54</v>
      </c>
      <c r="Q1020" s="6" t="s">
        <v>6575</v>
      </c>
      <c r="R1020" s="30" t="s">
        <v>6576</v>
      </c>
      <c r="S1020" s="30" t="s">
        <v>6577</v>
      </c>
      <c r="T1020" s="18">
        <v>100</v>
      </c>
      <c r="U1020" s="18">
        <v>100</v>
      </c>
      <c r="V1020" s="13" t="s">
        <v>6569</v>
      </c>
      <c r="X1020" s="132">
        <v>1011</v>
      </c>
      <c r="Y1020" s="6"/>
    </row>
    <row r="1021" spans="1:25" ht="15" customHeight="1" x14ac:dyDescent="0.2">
      <c r="A1021" s="12" t="s">
        <v>6613</v>
      </c>
      <c r="B1021" s="92" t="s">
        <v>4978</v>
      </c>
      <c r="C1021" s="74">
        <v>46771</v>
      </c>
      <c r="D1021" s="13" t="s">
        <v>33</v>
      </c>
      <c r="E1021" s="6" t="s">
        <v>6614</v>
      </c>
      <c r="F1021" s="15" t="s">
        <v>323</v>
      </c>
      <c r="G1021" s="6" t="s">
        <v>6615</v>
      </c>
      <c r="H1021" s="6" t="s">
        <v>6615</v>
      </c>
      <c r="I1021" s="13" t="s">
        <v>25</v>
      </c>
      <c r="J1021" s="13">
        <v>3</v>
      </c>
      <c r="K1021" s="13" t="s">
        <v>1714</v>
      </c>
      <c r="L1021" s="6" t="s">
        <v>6616</v>
      </c>
      <c r="M1021" s="108" t="s">
        <v>6617</v>
      </c>
      <c r="N1021" s="13" t="s">
        <v>97</v>
      </c>
      <c r="O1021" s="13" t="s">
        <v>97</v>
      </c>
      <c r="P1021" s="13" t="s">
        <v>4</v>
      </c>
      <c r="Q1021" s="6" t="s">
        <v>6618</v>
      </c>
      <c r="R1021" s="17" t="s">
        <v>325</v>
      </c>
      <c r="S1021" s="17" t="s">
        <v>2261</v>
      </c>
      <c r="T1021" s="18">
        <v>22</v>
      </c>
      <c r="U1021" s="18">
        <v>9</v>
      </c>
      <c r="V1021" s="13" t="s">
        <v>6619</v>
      </c>
      <c r="X1021" s="132">
        <v>1012</v>
      </c>
      <c r="Y1021" s="6"/>
    </row>
    <row r="1022" spans="1:25" ht="15" customHeight="1" x14ac:dyDescent="0.2">
      <c r="A1022" s="12" t="s">
        <v>6735</v>
      </c>
      <c r="B1022" s="92" t="s">
        <v>4978</v>
      </c>
      <c r="C1022" s="74">
        <v>46799</v>
      </c>
      <c r="D1022" s="13" t="s">
        <v>33</v>
      </c>
      <c r="E1022" s="6" t="s">
        <v>6736</v>
      </c>
      <c r="F1022" s="15" t="s">
        <v>8141</v>
      </c>
      <c r="G1022" s="6" t="s">
        <v>6737</v>
      </c>
      <c r="H1022" s="6" t="s">
        <v>6737</v>
      </c>
      <c r="I1022" s="13" t="s">
        <v>25</v>
      </c>
      <c r="J1022" s="13">
        <v>3</v>
      </c>
      <c r="K1022" s="13" t="s">
        <v>1714</v>
      </c>
      <c r="L1022" s="6" t="s">
        <v>8142</v>
      </c>
      <c r="M1022" s="108" t="s">
        <v>8143</v>
      </c>
      <c r="N1022" s="13" t="s">
        <v>5932</v>
      </c>
      <c r="O1022" s="13" t="s">
        <v>445</v>
      </c>
      <c r="P1022" s="13" t="s">
        <v>16</v>
      </c>
      <c r="Q1022" s="6" t="s">
        <v>6738</v>
      </c>
      <c r="R1022" s="17" t="s">
        <v>6739</v>
      </c>
      <c r="S1022" s="17" t="s">
        <v>6740</v>
      </c>
      <c r="T1022" s="18">
        <v>20</v>
      </c>
      <c r="U1022" s="18">
        <v>19</v>
      </c>
      <c r="V1022" s="13" t="s">
        <v>6741</v>
      </c>
      <c r="X1022" s="132">
        <v>1013</v>
      </c>
      <c r="Y1022" s="6"/>
    </row>
    <row r="1023" spans="1:25" ht="15" customHeight="1" x14ac:dyDescent="0.2">
      <c r="A1023" s="12" t="s">
        <v>6841</v>
      </c>
      <c r="B1023" s="92" t="s">
        <v>4978</v>
      </c>
      <c r="C1023" s="74">
        <v>46799</v>
      </c>
      <c r="D1023" s="13" t="s">
        <v>33</v>
      </c>
      <c r="E1023" s="6" t="s">
        <v>6742</v>
      </c>
      <c r="F1023" s="15" t="s">
        <v>6743</v>
      </c>
      <c r="G1023" s="6" t="s">
        <v>6744</v>
      </c>
      <c r="H1023" s="6" t="s">
        <v>6744</v>
      </c>
      <c r="I1023" s="13" t="s">
        <v>25</v>
      </c>
      <c r="J1023" s="13">
        <v>3</v>
      </c>
      <c r="K1023" s="13" t="s">
        <v>1714</v>
      </c>
      <c r="L1023" s="6" t="s">
        <v>6745</v>
      </c>
      <c r="M1023" s="108" t="s">
        <v>2850</v>
      </c>
      <c r="N1023" s="13" t="s">
        <v>5087</v>
      </c>
      <c r="O1023" s="13" t="s">
        <v>1055</v>
      </c>
      <c r="P1023" s="13" t="s">
        <v>16</v>
      </c>
      <c r="Q1023" s="6" t="s">
        <v>6746</v>
      </c>
      <c r="R1023" s="17" t="s">
        <v>6747</v>
      </c>
      <c r="S1023" s="30"/>
      <c r="T1023" s="18">
        <v>27</v>
      </c>
      <c r="U1023" s="18">
        <v>26</v>
      </c>
      <c r="V1023" s="13" t="s">
        <v>6748</v>
      </c>
      <c r="X1023" s="132">
        <v>1014</v>
      </c>
      <c r="Y1023" s="6"/>
    </row>
    <row r="1024" spans="1:25" ht="15" customHeight="1" x14ac:dyDescent="0.2">
      <c r="A1024" s="20" t="s">
        <v>6842</v>
      </c>
      <c r="B1024" s="22" t="s">
        <v>2608</v>
      </c>
      <c r="C1024" s="14">
        <v>46069</v>
      </c>
      <c r="D1024" s="13" t="s">
        <v>1533</v>
      </c>
      <c r="E1024" s="6" t="s">
        <v>6749</v>
      </c>
      <c r="F1024" s="15" t="s">
        <v>6752</v>
      </c>
      <c r="G1024" s="6" t="s">
        <v>6750</v>
      </c>
      <c r="H1024" s="6" t="s">
        <v>6750</v>
      </c>
      <c r="I1024" s="13" t="s">
        <v>39</v>
      </c>
      <c r="J1024" s="13">
        <v>12</v>
      </c>
      <c r="K1024" s="13" t="s">
        <v>1714</v>
      </c>
      <c r="L1024" s="6" t="s">
        <v>7692</v>
      </c>
      <c r="M1024" s="108" t="s">
        <v>7693</v>
      </c>
      <c r="N1024" s="13" t="s">
        <v>7694</v>
      </c>
      <c r="O1024" s="13" t="s">
        <v>5556</v>
      </c>
      <c r="P1024" s="13" t="s">
        <v>9</v>
      </c>
      <c r="Q1024" s="39" t="s">
        <v>7695</v>
      </c>
      <c r="R1024" s="25" t="s">
        <v>7696</v>
      </c>
      <c r="S1024" s="39" t="s">
        <v>7697</v>
      </c>
      <c r="T1024" s="18">
        <v>1800</v>
      </c>
      <c r="U1024" s="18">
        <v>1800</v>
      </c>
      <c r="V1024" s="13" t="s">
        <v>6751</v>
      </c>
      <c r="X1024" s="132">
        <v>1015</v>
      </c>
      <c r="Y1024" s="6"/>
    </row>
    <row r="1025" spans="1:25" ht="15" customHeight="1" x14ac:dyDescent="0.2">
      <c r="A1025" s="12" t="s">
        <v>6844</v>
      </c>
      <c r="B1025" s="92" t="s">
        <v>4978</v>
      </c>
      <c r="C1025" s="74">
        <v>46799</v>
      </c>
      <c r="D1025" s="13" t="s">
        <v>33</v>
      </c>
      <c r="E1025" s="6" t="s">
        <v>6753</v>
      </c>
      <c r="F1025" s="15" t="s">
        <v>6754</v>
      </c>
      <c r="G1025" s="6" t="s">
        <v>6755</v>
      </c>
      <c r="H1025" s="6" t="s">
        <v>6755</v>
      </c>
      <c r="I1025" s="13" t="s">
        <v>25</v>
      </c>
      <c r="J1025" s="13">
        <v>3</v>
      </c>
      <c r="K1025" s="13" t="s">
        <v>1714</v>
      </c>
      <c r="L1025" s="6" t="s">
        <v>6756</v>
      </c>
      <c r="M1025" s="108" t="s">
        <v>6757</v>
      </c>
      <c r="N1025" s="13" t="s">
        <v>6758</v>
      </c>
      <c r="O1025" s="13" t="s">
        <v>61</v>
      </c>
      <c r="P1025" s="13" t="s">
        <v>9</v>
      </c>
      <c r="Q1025" s="6" t="s">
        <v>6759</v>
      </c>
      <c r="R1025" s="17" t="s">
        <v>4366</v>
      </c>
      <c r="S1025" s="30"/>
      <c r="T1025" s="18">
        <v>14</v>
      </c>
      <c r="U1025" s="18">
        <v>11</v>
      </c>
      <c r="V1025" s="13" t="s">
        <v>6760</v>
      </c>
      <c r="X1025" s="132">
        <v>1016</v>
      </c>
      <c r="Y1025" s="6"/>
    </row>
    <row r="1026" spans="1:25" ht="15" customHeight="1" x14ac:dyDescent="0.25">
      <c r="A1026" s="12" t="s">
        <v>6845</v>
      </c>
      <c r="B1026" s="92" t="s">
        <v>4978</v>
      </c>
      <c r="C1026" s="74">
        <v>46799</v>
      </c>
      <c r="D1026" s="13" t="s">
        <v>33</v>
      </c>
      <c r="E1026" s="6" t="s">
        <v>6762</v>
      </c>
      <c r="F1026" s="15" t="s">
        <v>6763</v>
      </c>
      <c r="G1026" s="6" t="s">
        <v>6761</v>
      </c>
      <c r="H1026" s="6" t="s">
        <v>6761</v>
      </c>
      <c r="I1026" s="13" t="s">
        <v>25</v>
      </c>
      <c r="J1026" s="13">
        <v>3</v>
      </c>
      <c r="K1026" s="13" t="s">
        <v>1714</v>
      </c>
      <c r="L1026" t="s">
        <v>9329</v>
      </c>
      <c r="M1026" s="116" t="s">
        <v>9330</v>
      </c>
      <c r="N1026" s="13" t="s">
        <v>6709</v>
      </c>
      <c r="O1026" s="13" t="s">
        <v>8</v>
      </c>
      <c r="P1026" s="13" t="s">
        <v>9</v>
      </c>
      <c r="Q1026" s="6" t="s">
        <v>6764</v>
      </c>
      <c r="R1026" s="17" t="s">
        <v>6765</v>
      </c>
      <c r="S1026" s="17" t="s">
        <v>6766</v>
      </c>
      <c r="T1026" s="18">
        <v>12</v>
      </c>
      <c r="U1026" s="18">
        <v>10</v>
      </c>
      <c r="V1026" s="13" t="s">
        <v>6767</v>
      </c>
      <c r="X1026" s="132">
        <v>1017</v>
      </c>
      <c r="Y1026" s="6"/>
    </row>
    <row r="1027" spans="1:25" ht="15" customHeight="1" x14ac:dyDescent="0.2">
      <c r="A1027" s="12" t="s">
        <v>6846</v>
      </c>
      <c r="B1027" s="92" t="s">
        <v>4978</v>
      </c>
      <c r="C1027" s="74">
        <v>46799</v>
      </c>
      <c r="D1027" s="13" t="s">
        <v>33</v>
      </c>
      <c r="E1027" s="6" t="s">
        <v>6768</v>
      </c>
      <c r="F1027" s="15" t="s">
        <v>6769</v>
      </c>
      <c r="G1027" s="6" t="s">
        <v>6770</v>
      </c>
      <c r="H1027" s="6" t="s">
        <v>6770</v>
      </c>
      <c r="I1027" s="13" t="s">
        <v>25</v>
      </c>
      <c r="J1027" s="13">
        <v>3</v>
      </c>
      <c r="K1027" s="13" t="s">
        <v>1714</v>
      </c>
      <c r="L1027" s="6" t="s">
        <v>6771</v>
      </c>
      <c r="M1027" s="108" t="s">
        <v>6772</v>
      </c>
      <c r="N1027" s="13" t="s">
        <v>2389</v>
      </c>
      <c r="O1027" s="13" t="s">
        <v>15</v>
      </c>
      <c r="P1027" s="13" t="s">
        <v>16</v>
      </c>
      <c r="Q1027" s="6" t="s">
        <v>6773</v>
      </c>
      <c r="R1027" s="17" t="s">
        <v>6774</v>
      </c>
      <c r="S1027" s="30"/>
      <c r="T1027" s="18">
        <v>14</v>
      </c>
      <c r="U1027" s="18">
        <v>13</v>
      </c>
      <c r="V1027" s="13" t="s">
        <v>6775</v>
      </c>
      <c r="X1027" s="132">
        <v>1018</v>
      </c>
      <c r="Y1027" s="6"/>
    </row>
    <row r="1028" spans="1:25" ht="15" customHeight="1" x14ac:dyDescent="0.2">
      <c r="A1028" s="12" t="s">
        <v>6847</v>
      </c>
      <c r="B1028" s="92" t="s">
        <v>4978</v>
      </c>
      <c r="C1028" s="74">
        <v>46799</v>
      </c>
      <c r="D1028" s="13" t="s">
        <v>33</v>
      </c>
      <c r="E1028" s="6" t="s">
        <v>6778</v>
      </c>
      <c r="F1028" s="15" t="s">
        <v>6782</v>
      </c>
      <c r="G1028" s="63" t="s">
        <v>6779</v>
      </c>
      <c r="H1028" s="63" t="s">
        <v>6779</v>
      </c>
      <c r="I1028" s="13" t="s">
        <v>25</v>
      </c>
      <c r="J1028" s="13">
        <v>3</v>
      </c>
      <c r="K1028" s="13" t="s">
        <v>1714</v>
      </c>
      <c r="L1028" s="6" t="s">
        <v>6854</v>
      </c>
      <c r="M1028" s="108" t="s">
        <v>6780</v>
      </c>
      <c r="N1028" s="13" t="s">
        <v>6781</v>
      </c>
      <c r="O1028" s="13" t="s">
        <v>36</v>
      </c>
      <c r="P1028" s="13" t="s">
        <v>4</v>
      </c>
      <c r="Q1028" s="6" t="s">
        <v>6783</v>
      </c>
      <c r="R1028" s="17" t="s">
        <v>6784</v>
      </c>
      <c r="S1028" s="17" t="s">
        <v>6785</v>
      </c>
      <c r="T1028" s="18">
        <v>24</v>
      </c>
      <c r="U1028" s="18">
        <v>19</v>
      </c>
      <c r="V1028" s="13" t="s">
        <v>6786</v>
      </c>
      <c r="X1028" s="132">
        <v>1019</v>
      </c>
      <c r="Y1028" s="6"/>
    </row>
    <row r="1029" spans="1:25" ht="15" customHeight="1" x14ac:dyDescent="0.2">
      <c r="A1029" s="20" t="s">
        <v>6848</v>
      </c>
      <c r="B1029" s="22" t="s">
        <v>2608</v>
      </c>
      <c r="C1029" s="14">
        <v>46069</v>
      </c>
      <c r="D1029" s="13" t="s">
        <v>1533</v>
      </c>
      <c r="E1029" s="6" t="s">
        <v>6787</v>
      </c>
      <c r="F1029" s="15" t="s">
        <v>6788</v>
      </c>
      <c r="G1029" s="6" t="s">
        <v>6789</v>
      </c>
      <c r="H1029" s="6" t="s">
        <v>6789</v>
      </c>
      <c r="I1029" s="13" t="s">
        <v>39</v>
      </c>
      <c r="J1029" s="13">
        <v>12</v>
      </c>
      <c r="K1029" s="13" t="s">
        <v>1714</v>
      </c>
      <c r="L1029" s="39" t="s">
        <v>7699</v>
      </c>
      <c r="M1029" s="108" t="s">
        <v>7698</v>
      </c>
      <c r="N1029" s="13" t="s">
        <v>3789</v>
      </c>
      <c r="O1029" s="13" t="s">
        <v>2085</v>
      </c>
      <c r="P1029" s="13" t="s">
        <v>68</v>
      </c>
      <c r="Q1029" s="39" t="s">
        <v>7700</v>
      </c>
      <c r="R1029" s="25" t="s">
        <v>7701</v>
      </c>
      <c r="S1029" s="30"/>
      <c r="T1029" s="18">
        <v>55</v>
      </c>
      <c r="U1029" s="18">
        <v>50</v>
      </c>
      <c r="V1029" s="13" t="s">
        <v>6790</v>
      </c>
      <c r="X1029" s="132">
        <v>1020</v>
      </c>
      <c r="Y1029" s="6"/>
    </row>
    <row r="1030" spans="1:25" ht="15" customHeight="1" x14ac:dyDescent="0.25">
      <c r="A1030" s="12" t="s">
        <v>6849</v>
      </c>
      <c r="B1030" s="24" t="s">
        <v>4977</v>
      </c>
      <c r="C1030" s="14">
        <v>46885</v>
      </c>
      <c r="D1030" s="13" t="s">
        <v>33</v>
      </c>
      <c r="E1030" s="6" t="s">
        <v>6791</v>
      </c>
      <c r="F1030" s="6" t="s">
        <v>9169</v>
      </c>
      <c r="G1030" s="6" t="s">
        <v>6792</v>
      </c>
      <c r="H1030" s="6" t="s">
        <v>6792</v>
      </c>
      <c r="I1030" s="13" t="s">
        <v>25</v>
      </c>
      <c r="J1030" s="13">
        <v>3</v>
      </c>
      <c r="K1030" s="13" t="s">
        <v>1714</v>
      </c>
      <c r="L1030" s="6" t="s">
        <v>11492</v>
      </c>
      <c r="M1030" s="108" t="s">
        <v>2129</v>
      </c>
      <c r="N1030" s="13" t="s">
        <v>2161</v>
      </c>
      <c r="O1030" s="13" t="s">
        <v>1889</v>
      </c>
      <c r="P1030" s="13" t="s">
        <v>68</v>
      </c>
      <c r="Q1030" s="6" t="s">
        <v>6795</v>
      </c>
      <c r="R1030" s="69" t="s">
        <v>11493</v>
      </c>
      <c r="S1030" s="17"/>
      <c r="T1030" s="18">
        <v>47</v>
      </c>
      <c r="U1030" s="18">
        <v>19</v>
      </c>
      <c r="V1030" s="13" t="s">
        <v>6796</v>
      </c>
      <c r="X1030" s="132">
        <v>1021</v>
      </c>
      <c r="Y1030" s="6"/>
    </row>
    <row r="1031" spans="1:25" ht="15" customHeight="1" x14ac:dyDescent="0.2">
      <c r="A1031" s="20" t="s">
        <v>6850</v>
      </c>
      <c r="B1031" s="22" t="s">
        <v>2608</v>
      </c>
      <c r="C1031" s="14">
        <v>46069</v>
      </c>
      <c r="D1031" s="13" t="s">
        <v>1533</v>
      </c>
      <c r="E1031" s="6" t="s">
        <v>6797</v>
      </c>
      <c r="F1031" s="15" t="s">
        <v>6798</v>
      </c>
      <c r="G1031" s="6" t="s">
        <v>6799</v>
      </c>
      <c r="H1031" s="6" t="s">
        <v>6799</v>
      </c>
      <c r="I1031" s="13" t="s">
        <v>13</v>
      </c>
      <c r="J1031" s="13">
        <v>8</v>
      </c>
      <c r="K1031" s="13" t="s">
        <v>1714</v>
      </c>
      <c r="L1031" s="6" t="s">
        <v>6800</v>
      </c>
      <c r="M1031" s="108" t="s">
        <v>6801</v>
      </c>
      <c r="N1031" s="13" t="s">
        <v>6802</v>
      </c>
      <c r="O1031" s="13" t="s">
        <v>11948</v>
      </c>
      <c r="P1031" s="13" t="s">
        <v>68</v>
      </c>
      <c r="Q1031" s="6" t="s">
        <v>6803</v>
      </c>
      <c r="R1031" s="17" t="s">
        <v>6804</v>
      </c>
      <c r="S1031" s="17" t="s">
        <v>6805</v>
      </c>
      <c r="T1031" s="18">
        <v>80</v>
      </c>
      <c r="U1031" s="18">
        <v>65</v>
      </c>
      <c r="V1031" s="13" t="s">
        <v>6806</v>
      </c>
      <c r="X1031" s="132">
        <v>1022</v>
      </c>
      <c r="Y1031" s="6"/>
    </row>
    <row r="1032" spans="1:25" ht="15" customHeight="1" x14ac:dyDescent="0.2">
      <c r="A1032" s="12" t="s">
        <v>6851</v>
      </c>
      <c r="B1032" s="92" t="s">
        <v>4978</v>
      </c>
      <c r="C1032" s="74">
        <v>46799</v>
      </c>
      <c r="D1032" s="13" t="s">
        <v>33</v>
      </c>
      <c r="E1032" s="6" t="s">
        <v>6832</v>
      </c>
      <c r="F1032" s="15" t="s">
        <v>6833</v>
      </c>
      <c r="G1032" s="6" t="s">
        <v>6834</v>
      </c>
      <c r="H1032" s="6" t="s">
        <v>6834</v>
      </c>
      <c r="I1032" s="13" t="s">
        <v>25</v>
      </c>
      <c r="J1032" s="13">
        <v>3</v>
      </c>
      <c r="K1032" s="13" t="s">
        <v>1714</v>
      </c>
      <c r="L1032" s="6" t="s">
        <v>6835</v>
      </c>
      <c r="M1032" s="108" t="s">
        <v>6836</v>
      </c>
      <c r="N1032" s="13" t="s">
        <v>4657</v>
      </c>
      <c r="O1032" s="13" t="s">
        <v>15</v>
      </c>
      <c r="P1032" s="13" t="s">
        <v>16</v>
      </c>
      <c r="Q1032" s="6" t="s">
        <v>6837</v>
      </c>
      <c r="R1032" s="17" t="s">
        <v>6838</v>
      </c>
      <c r="S1032" s="17" t="s">
        <v>6839</v>
      </c>
      <c r="T1032" s="18">
        <v>23</v>
      </c>
      <c r="U1032" s="18">
        <v>21</v>
      </c>
      <c r="V1032" s="13" t="s">
        <v>6840</v>
      </c>
      <c r="X1032" s="132">
        <v>1023</v>
      </c>
      <c r="Y1032" s="6"/>
    </row>
    <row r="1033" spans="1:25" ht="15" customHeight="1" x14ac:dyDescent="0.2">
      <c r="A1033" s="12" t="s">
        <v>6864</v>
      </c>
      <c r="B1033" s="92" t="s">
        <v>4978</v>
      </c>
      <c r="C1033" s="74">
        <v>46826</v>
      </c>
      <c r="D1033" s="13" t="s">
        <v>33</v>
      </c>
      <c r="E1033" s="6" t="s">
        <v>6865</v>
      </c>
      <c r="F1033" s="15" t="s">
        <v>6866</v>
      </c>
      <c r="G1033" s="6" t="s">
        <v>6867</v>
      </c>
      <c r="H1033" s="6" t="s">
        <v>6867</v>
      </c>
      <c r="I1033" s="13" t="s">
        <v>25</v>
      </c>
      <c r="J1033" s="13">
        <v>3</v>
      </c>
      <c r="K1033" s="13" t="s">
        <v>1714</v>
      </c>
      <c r="L1033" s="6" t="s">
        <v>6868</v>
      </c>
      <c r="M1033" s="108" t="s">
        <v>6869</v>
      </c>
      <c r="N1033" s="13" t="s">
        <v>6870</v>
      </c>
      <c r="O1033" s="13" t="s">
        <v>15</v>
      </c>
      <c r="P1033" s="13" t="s">
        <v>16</v>
      </c>
      <c r="Q1033" s="6" t="s">
        <v>6871</v>
      </c>
      <c r="R1033" s="17" t="s">
        <v>6872</v>
      </c>
      <c r="S1033" s="17"/>
      <c r="T1033" s="18">
        <v>14</v>
      </c>
      <c r="U1033" s="18">
        <v>5</v>
      </c>
      <c r="V1033" s="13" t="s">
        <v>6873</v>
      </c>
      <c r="X1033" s="132">
        <v>1024</v>
      </c>
      <c r="Y1033" s="6"/>
    </row>
    <row r="1034" spans="1:25" ht="15" customHeight="1" x14ac:dyDescent="0.2">
      <c r="A1034" s="12" t="s">
        <v>6874</v>
      </c>
      <c r="B1034" s="92" t="s">
        <v>4978</v>
      </c>
      <c r="C1034" s="74">
        <v>46826</v>
      </c>
      <c r="D1034" s="13" t="s">
        <v>33</v>
      </c>
      <c r="E1034" s="6" t="s">
        <v>6875</v>
      </c>
      <c r="F1034" s="6" t="s">
        <v>9168</v>
      </c>
      <c r="G1034" s="6" t="s">
        <v>6876</v>
      </c>
      <c r="H1034" s="6" t="s">
        <v>6876</v>
      </c>
      <c r="I1034" s="13" t="s">
        <v>25</v>
      </c>
      <c r="J1034" s="13">
        <v>3</v>
      </c>
      <c r="K1034" s="13" t="s">
        <v>1714</v>
      </c>
      <c r="L1034" s="6" t="s">
        <v>6877</v>
      </c>
      <c r="M1034" s="108" t="s">
        <v>6878</v>
      </c>
      <c r="N1034" s="13" t="s">
        <v>6879</v>
      </c>
      <c r="O1034" s="13" t="s">
        <v>11949</v>
      </c>
      <c r="P1034" s="13" t="s">
        <v>68</v>
      </c>
      <c r="Q1034" s="6" t="s">
        <v>6880</v>
      </c>
      <c r="R1034" s="17" t="s">
        <v>6881</v>
      </c>
      <c r="S1034" s="17"/>
      <c r="T1034" s="18">
        <v>12</v>
      </c>
      <c r="U1034" s="18">
        <v>7</v>
      </c>
      <c r="V1034" s="13" t="s">
        <v>6882</v>
      </c>
      <c r="X1034" s="132">
        <v>1025</v>
      </c>
      <c r="Y1034" s="6"/>
    </row>
    <row r="1035" spans="1:25" ht="15" customHeight="1" x14ac:dyDescent="0.2">
      <c r="A1035" s="12" t="s">
        <v>6883</v>
      </c>
      <c r="B1035" s="92" t="s">
        <v>4978</v>
      </c>
      <c r="C1035" s="74">
        <v>46826</v>
      </c>
      <c r="D1035" s="13" t="s">
        <v>33</v>
      </c>
      <c r="E1035" s="6" t="s">
        <v>6892</v>
      </c>
      <c r="F1035" s="6" t="s">
        <v>9167</v>
      </c>
      <c r="G1035" s="6" t="s">
        <v>6893</v>
      </c>
      <c r="H1035" s="6" t="s">
        <v>6893</v>
      </c>
      <c r="I1035" s="13" t="s">
        <v>25</v>
      </c>
      <c r="J1035" s="13">
        <v>3</v>
      </c>
      <c r="K1035" s="13" t="s">
        <v>1714</v>
      </c>
      <c r="L1035" s="6" t="s">
        <v>6894</v>
      </c>
      <c r="M1035" s="108" t="s">
        <v>6895</v>
      </c>
      <c r="N1035" s="13" t="s">
        <v>2483</v>
      </c>
      <c r="O1035" s="13" t="s">
        <v>172</v>
      </c>
      <c r="P1035" s="13" t="s">
        <v>9</v>
      </c>
      <c r="Q1035" s="6" t="s">
        <v>6896</v>
      </c>
      <c r="R1035" s="17" t="s">
        <v>6897</v>
      </c>
      <c r="S1035" s="30"/>
      <c r="T1035" s="18">
        <v>21</v>
      </c>
      <c r="U1035" s="18">
        <v>13</v>
      </c>
      <c r="V1035" s="13" t="s">
        <v>6898</v>
      </c>
      <c r="X1035" s="132">
        <v>1026</v>
      </c>
      <c r="Y1035" s="6"/>
    </row>
    <row r="1036" spans="1:25" ht="15" customHeight="1" x14ac:dyDescent="0.2">
      <c r="A1036" s="12" t="s">
        <v>6899</v>
      </c>
      <c r="B1036" s="92" t="s">
        <v>4978</v>
      </c>
      <c r="C1036" s="74">
        <v>46826</v>
      </c>
      <c r="D1036" s="13" t="s">
        <v>33</v>
      </c>
      <c r="E1036" s="6" t="s">
        <v>6901</v>
      </c>
      <c r="F1036" s="15" t="s">
        <v>6902</v>
      </c>
      <c r="G1036" s="6" t="s">
        <v>6903</v>
      </c>
      <c r="H1036" s="6" t="s">
        <v>6903</v>
      </c>
      <c r="I1036" s="13" t="s">
        <v>25</v>
      </c>
      <c r="J1036" s="13">
        <v>3</v>
      </c>
      <c r="K1036" s="13" t="s">
        <v>1714</v>
      </c>
      <c r="L1036" s="6" t="s">
        <v>6904</v>
      </c>
      <c r="M1036" s="108" t="s">
        <v>6905</v>
      </c>
      <c r="N1036" s="13" t="s">
        <v>6906</v>
      </c>
      <c r="O1036" s="13" t="s">
        <v>128</v>
      </c>
      <c r="P1036" s="13" t="s">
        <v>16</v>
      </c>
      <c r="Q1036" s="6" t="s">
        <v>6913</v>
      </c>
      <c r="R1036" s="17" t="s">
        <v>6911</v>
      </c>
      <c r="S1036" s="30"/>
      <c r="T1036" s="18">
        <v>30</v>
      </c>
      <c r="U1036" s="18">
        <v>29</v>
      </c>
      <c r="V1036" s="13" t="s">
        <v>6912</v>
      </c>
      <c r="X1036" s="132">
        <v>1027</v>
      </c>
      <c r="Y1036" s="6"/>
    </row>
    <row r="1037" spans="1:25" ht="15" customHeight="1" x14ac:dyDescent="0.2">
      <c r="A1037" s="12" t="s">
        <v>6900</v>
      </c>
      <c r="B1037" s="92" t="s">
        <v>4978</v>
      </c>
      <c r="C1037" s="74">
        <v>46826</v>
      </c>
      <c r="D1037" s="13" t="s">
        <v>33</v>
      </c>
      <c r="E1037" s="6" t="s">
        <v>6901</v>
      </c>
      <c r="F1037" s="15" t="s">
        <v>6902</v>
      </c>
      <c r="G1037" s="6" t="s">
        <v>6903</v>
      </c>
      <c r="H1037" s="6" t="s">
        <v>6907</v>
      </c>
      <c r="I1037" s="13" t="s">
        <v>25</v>
      </c>
      <c r="J1037" s="13">
        <v>3</v>
      </c>
      <c r="K1037" s="13" t="s">
        <v>1714</v>
      </c>
      <c r="L1037" s="6" t="s">
        <v>6908</v>
      </c>
      <c r="M1037" s="108" t="s">
        <v>6909</v>
      </c>
      <c r="N1037" s="13" t="s">
        <v>2450</v>
      </c>
      <c r="O1037" s="13" t="s">
        <v>128</v>
      </c>
      <c r="P1037" s="13" t="s">
        <v>16</v>
      </c>
      <c r="Q1037" s="6" t="s">
        <v>6910</v>
      </c>
      <c r="R1037" s="17" t="s">
        <v>6911</v>
      </c>
      <c r="S1037" s="30"/>
      <c r="T1037" s="18">
        <v>20</v>
      </c>
      <c r="U1037" s="18">
        <v>16</v>
      </c>
      <c r="V1037" s="13" t="s">
        <v>6912</v>
      </c>
      <c r="X1037" s="132">
        <v>1028</v>
      </c>
      <c r="Y1037" s="6"/>
    </row>
    <row r="1038" spans="1:25" ht="15" customHeight="1" x14ac:dyDescent="0.2">
      <c r="A1038" s="12" t="s">
        <v>6914</v>
      </c>
      <c r="B1038" s="92" t="s">
        <v>4978</v>
      </c>
      <c r="C1038" s="74">
        <v>46826</v>
      </c>
      <c r="D1038" s="13" t="s">
        <v>33</v>
      </c>
      <c r="E1038" s="6" t="s">
        <v>6915</v>
      </c>
      <c r="F1038" s="6" t="s">
        <v>9166</v>
      </c>
      <c r="G1038" s="6" t="s">
        <v>6916</v>
      </c>
      <c r="H1038" s="6" t="s">
        <v>6916</v>
      </c>
      <c r="I1038" s="13" t="s">
        <v>25</v>
      </c>
      <c r="J1038" s="13">
        <v>3</v>
      </c>
      <c r="K1038" s="13" t="s">
        <v>1714</v>
      </c>
      <c r="L1038" s="6" t="s">
        <v>6917</v>
      </c>
      <c r="M1038" s="108" t="s">
        <v>6918</v>
      </c>
      <c r="N1038" s="13" t="s">
        <v>3797</v>
      </c>
      <c r="O1038" s="13" t="s">
        <v>61</v>
      </c>
      <c r="P1038" s="13" t="s">
        <v>9</v>
      </c>
      <c r="Q1038" s="6" t="s">
        <v>6919</v>
      </c>
      <c r="R1038" s="17" t="s">
        <v>6920</v>
      </c>
      <c r="S1038" s="30"/>
      <c r="T1038" s="18">
        <v>32</v>
      </c>
      <c r="U1038" s="18">
        <v>15</v>
      </c>
      <c r="V1038" s="13" t="s">
        <v>6921</v>
      </c>
      <c r="X1038" s="132">
        <v>1029</v>
      </c>
      <c r="Y1038" s="6"/>
    </row>
    <row r="1039" spans="1:25" ht="15" customHeight="1" x14ac:dyDescent="0.2">
      <c r="A1039" s="12" t="s">
        <v>6922</v>
      </c>
      <c r="B1039" s="22" t="s">
        <v>2608</v>
      </c>
      <c r="C1039" s="14">
        <v>46095</v>
      </c>
      <c r="D1039" s="13" t="s">
        <v>1533</v>
      </c>
      <c r="E1039" s="6" t="s">
        <v>6923</v>
      </c>
      <c r="F1039" s="15" t="s">
        <v>6924</v>
      </c>
      <c r="G1039" s="6" t="s">
        <v>6925</v>
      </c>
      <c r="H1039" s="6" t="s">
        <v>6925</v>
      </c>
      <c r="I1039" s="13" t="s">
        <v>39</v>
      </c>
      <c r="J1039" s="13">
        <v>12</v>
      </c>
      <c r="K1039" s="13" t="s">
        <v>7032</v>
      </c>
      <c r="L1039" s="39" t="s">
        <v>7702</v>
      </c>
      <c r="M1039" s="114" t="s">
        <v>7703</v>
      </c>
      <c r="N1039" s="135" t="s">
        <v>7704</v>
      </c>
      <c r="O1039" s="13" t="s">
        <v>11949</v>
      </c>
      <c r="P1039" s="13" t="s">
        <v>68</v>
      </c>
      <c r="Q1039" s="6" t="s">
        <v>6929</v>
      </c>
      <c r="R1039" s="17" t="s">
        <v>6926</v>
      </c>
      <c r="S1039" s="17" t="s">
        <v>6927</v>
      </c>
      <c r="T1039" s="18">
        <v>120</v>
      </c>
      <c r="U1039" s="18">
        <v>120</v>
      </c>
      <c r="V1039" s="13" t="s">
        <v>6928</v>
      </c>
      <c r="X1039" s="132">
        <v>1030</v>
      </c>
      <c r="Y1039" s="6"/>
    </row>
    <row r="1040" spans="1:25" ht="15" customHeight="1" x14ac:dyDescent="0.2">
      <c r="A1040" s="12" t="s">
        <v>6930</v>
      </c>
      <c r="B1040" s="92" t="s">
        <v>4978</v>
      </c>
      <c r="C1040" s="74">
        <v>46826</v>
      </c>
      <c r="D1040" s="13" t="s">
        <v>1533</v>
      </c>
      <c r="E1040" s="6" t="s">
        <v>6997</v>
      </c>
      <c r="G1040" s="6" t="s">
        <v>6885</v>
      </c>
      <c r="H1040" s="6" t="s">
        <v>6884</v>
      </c>
      <c r="I1040" s="13" t="s">
        <v>25</v>
      </c>
      <c r="J1040" s="13">
        <v>6</v>
      </c>
      <c r="K1040" s="13" t="s">
        <v>1714</v>
      </c>
      <c r="L1040" s="6" t="s">
        <v>6886</v>
      </c>
      <c r="M1040" s="108" t="s">
        <v>6887</v>
      </c>
      <c r="N1040" s="13" t="s">
        <v>6888</v>
      </c>
      <c r="O1040" s="13" t="s">
        <v>2146</v>
      </c>
      <c r="P1040" s="13" t="s">
        <v>68</v>
      </c>
      <c r="Q1040" s="6" t="s">
        <v>6889</v>
      </c>
      <c r="R1040" s="17" t="s">
        <v>6890</v>
      </c>
      <c r="S1040" s="30"/>
      <c r="T1040" s="18">
        <v>68</v>
      </c>
      <c r="U1040" s="18">
        <v>9</v>
      </c>
      <c r="V1040" s="13" t="s">
        <v>6891</v>
      </c>
      <c r="X1040" s="132">
        <v>1031</v>
      </c>
      <c r="Y1040" s="6"/>
    </row>
    <row r="1041" spans="1:25" ht="15" customHeight="1" x14ac:dyDescent="0.2">
      <c r="A1041" s="12" t="s">
        <v>6955</v>
      </c>
      <c r="B1041" s="22" t="s">
        <v>2608</v>
      </c>
      <c r="C1041" s="14">
        <v>46095</v>
      </c>
      <c r="D1041" s="13" t="s">
        <v>1533</v>
      </c>
      <c r="E1041" s="6" t="s">
        <v>6956</v>
      </c>
      <c r="F1041" s="15" t="s">
        <v>6961</v>
      </c>
      <c r="G1041" s="6" t="s">
        <v>6957</v>
      </c>
      <c r="H1041" s="6" t="s">
        <v>6957</v>
      </c>
      <c r="I1041" s="13" t="s">
        <v>39</v>
      </c>
      <c r="J1041" s="13">
        <v>12</v>
      </c>
      <c r="K1041" s="13" t="s">
        <v>1714</v>
      </c>
      <c r="L1041" s="39" t="s">
        <v>7705</v>
      </c>
      <c r="M1041" s="108" t="s">
        <v>7706</v>
      </c>
      <c r="N1041" s="13" t="s">
        <v>7707</v>
      </c>
      <c r="O1041" s="13" t="s">
        <v>36</v>
      </c>
      <c r="P1041" s="13" t="s">
        <v>4</v>
      </c>
      <c r="Q1041" s="6" t="s">
        <v>6958</v>
      </c>
      <c r="R1041" s="17" t="s">
        <v>7033</v>
      </c>
      <c r="S1041" s="17" t="s">
        <v>6959</v>
      </c>
      <c r="T1041" s="18">
        <v>200</v>
      </c>
      <c r="U1041" s="18">
        <v>180</v>
      </c>
      <c r="V1041" s="13" t="s">
        <v>6960</v>
      </c>
      <c r="X1041" s="132">
        <v>1032</v>
      </c>
      <c r="Y1041" s="6"/>
    </row>
    <row r="1042" spans="1:25" ht="15" customHeight="1" x14ac:dyDescent="0.2">
      <c r="A1042" s="12" t="s">
        <v>6962</v>
      </c>
      <c r="B1042" s="22" t="s">
        <v>2608</v>
      </c>
      <c r="C1042" s="14">
        <v>46095</v>
      </c>
      <c r="D1042" s="13" t="s">
        <v>1533</v>
      </c>
      <c r="E1042" s="6" t="s">
        <v>6990</v>
      </c>
      <c r="F1042" s="15" t="s">
        <v>6996</v>
      </c>
      <c r="G1042" s="6" t="s">
        <v>6991</v>
      </c>
      <c r="H1042" s="6" t="s">
        <v>6991</v>
      </c>
      <c r="I1042" s="13" t="s">
        <v>39</v>
      </c>
      <c r="J1042" s="13">
        <v>12</v>
      </c>
      <c r="K1042" s="13" t="s">
        <v>1714</v>
      </c>
      <c r="L1042" s="6" t="s">
        <v>7708</v>
      </c>
      <c r="M1042" s="108" t="s">
        <v>7709</v>
      </c>
      <c r="N1042" s="136" t="s">
        <v>7710</v>
      </c>
      <c r="O1042" s="13" t="s">
        <v>8</v>
      </c>
      <c r="P1042" s="13" t="s">
        <v>9</v>
      </c>
      <c r="Q1042" s="6" t="s">
        <v>6992</v>
      </c>
      <c r="R1042" s="17" t="s">
        <v>6993</v>
      </c>
      <c r="S1042" s="17" t="s">
        <v>6994</v>
      </c>
      <c r="T1042" s="18">
        <v>1000</v>
      </c>
      <c r="U1042" s="18">
        <v>600</v>
      </c>
      <c r="V1042" s="13" t="s">
        <v>6995</v>
      </c>
      <c r="X1042" s="132">
        <v>1033</v>
      </c>
      <c r="Y1042" s="6"/>
    </row>
    <row r="1043" spans="1:25" ht="15" customHeight="1" x14ac:dyDescent="0.2">
      <c r="A1043" s="12" t="s">
        <v>6978</v>
      </c>
      <c r="B1043" s="92" t="s">
        <v>4978</v>
      </c>
      <c r="C1043" s="74">
        <v>46826</v>
      </c>
      <c r="D1043" s="13" t="s">
        <v>33</v>
      </c>
      <c r="E1043" s="6" t="s">
        <v>6963</v>
      </c>
      <c r="F1043" s="15" t="s">
        <v>6964</v>
      </c>
      <c r="G1043" s="6" t="s">
        <v>6965</v>
      </c>
      <c r="H1043" s="6" t="s">
        <v>6965</v>
      </c>
      <c r="I1043" s="13" t="s">
        <v>25</v>
      </c>
      <c r="J1043" s="13">
        <v>3</v>
      </c>
      <c r="K1043" s="13" t="s">
        <v>1714</v>
      </c>
      <c r="L1043" s="6" t="s">
        <v>6966</v>
      </c>
      <c r="M1043" s="108" t="s">
        <v>6918</v>
      </c>
      <c r="N1043" s="13" t="s">
        <v>6967</v>
      </c>
      <c r="O1043" s="13" t="s">
        <v>61</v>
      </c>
      <c r="P1043" s="13" t="s">
        <v>9</v>
      </c>
      <c r="Q1043" s="6" t="s">
        <v>6968</v>
      </c>
      <c r="R1043" s="30" t="s">
        <v>6969</v>
      </c>
      <c r="S1043" s="30"/>
      <c r="T1043" s="18">
        <v>35</v>
      </c>
      <c r="U1043" s="18">
        <v>25</v>
      </c>
      <c r="V1043" s="13" t="s">
        <v>6970</v>
      </c>
      <c r="X1043" s="132">
        <v>1034</v>
      </c>
      <c r="Y1043" s="6"/>
    </row>
    <row r="1044" spans="1:25" ht="15" customHeight="1" x14ac:dyDescent="0.2">
      <c r="A1044" s="12" t="s">
        <v>6989</v>
      </c>
      <c r="B1044" s="92" t="s">
        <v>4978</v>
      </c>
      <c r="C1044" s="74">
        <v>46826</v>
      </c>
      <c r="D1044" s="13" t="s">
        <v>33</v>
      </c>
      <c r="E1044" s="6" t="s">
        <v>6979</v>
      </c>
      <c r="F1044" s="15" t="s">
        <v>6980</v>
      </c>
      <c r="G1044" s="6" t="s">
        <v>6981</v>
      </c>
      <c r="H1044" s="6" t="s">
        <v>6981</v>
      </c>
      <c r="I1044" s="13" t="s">
        <v>25</v>
      </c>
      <c r="J1044" s="13">
        <v>3</v>
      </c>
      <c r="K1044" s="13" t="s">
        <v>1714</v>
      </c>
      <c r="L1044" s="6" t="s">
        <v>6982</v>
      </c>
      <c r="M1044" s="108" t="s">
        <v>6983</v>
      </c>
      <c r="N1044" s="13" t="s">
        <v>6984</v>
      </c>
      <c r="O1044" s="13" t="s">
        <v>27</v>
      </c>
      <c r="P1044" s="13" t="s">
        <v>9</v>
      </c>
      <c r="Q1044" s="6" t="s">
        <v>6985</v>
      </c>
      <c r="R1044" s="17" t="s">
        <v>6986</v>
      </c>
      <c r="S1044" s="30"/>
      <c r="T1044" s="18">
        <v>28</v>
      </c>
      <c r="U1044" s="18">
        <v>28</v>
      </c>
      <c r="V1044" s="13" t="s">
        <v>6987</v>
      </c>
      <c r="X1044" s="132">
        <v>1035</v>
      </c>
      <c r="Y1044" s="6"/>
    </row>
    <row r="1045" spans="1:25" ht="15" customHeight="1" x14ac:dyDescent="0.2">
      <c r="A1045" s="12" t="s">
        <v>7008</v>
      </c>
      <c r="B1045" s="22" t="s">
        <v>2608</v>
      </c>
      <c r="C1045" s="14">
        <v>46095</v>
      </c>
      <c r="D1045" s="13" t="s">
        <v>1533</v>
      </c>
      <c r="E1045" s="6" t="s">
        <v>7009</v>
      </c>
      <c r="F1045" s="15" t="s">
        <v>7010</v>
      </c>
      <c r="G1045" s="6" t="s">
        <v>7011</v>
      </c>
      <c r="H1045" s="6" t="s">
        <v>7011</v>
      </c>
      <c r="I1045" s="13" t="s">
        <v>39</v>
      </c>
      <c r="J1045" s="13">
        <v>12</v>
      </c>
      <c r="K1045" s="13" t="s">
        <v>1714</v>
      </c>
      <c r="L1045" s="39" t="s">
        <v>7711</v>
      </c>
      <c r="M1045" s="108" t="s">
        <v>7712</v>
      </c>
      <c r="N1045" s="13" t="s">
        <v>5932</v>
      </c>
      <c r="O1045" s="13" t="s">
        <v>445</v>
      </c>
      <c r="P1045" s="13" t="s">
        <v>16</v>
      </c>
      <c r="Q1045" s="6" t="s">
        <v>7012</v>
      </c>
      <c r="R1045" s="17" t="s">
        <v>7013</v>
      </c>
      <c r="S1045" s="17" t="s">
        <v>7014</v>
      </c>
      <c r="T1045" s="18">
        <v>250</v>
      </c>
      <c r="U1045" s="18">
        <v>250</v>
      </c>
      <c r="V1045" s="13" t="s">
        <v>7090</v>
      </c>
      <c r="X1045" s="132">
        <v>1036</v>
      </c>
      <c r="Y1045" s="6"/>
    </row>
    <row r="1046" spans="1:25" ht="15" customHeight="1" x14ac:dyDescent="0.2">
      <c r="A1046" s="12" t="s">
        <v>7015</v>
      </c>
      <c r="B1046" s="22" t="s">
        <v>2608</v>
      </c>
      <c r="C1046" s="14">
        <v>46095</v>
      </c>
      <c r="D1046" s="13" t="s">
        <v>1533</v>
      </c>
      <c r="E1046" s="6" t="s">
        <v>7016</v>
      </c>
      <c r="F1046" s="15" t="s">
        <v>7025</v>
      </c>
      <c r="G1046" s="6" t="s">
        <v>7017</v>
      </c>
      <c r="H1046" s="6" t="s">
        <v>7017</v>
      </c>
      <c r="I1046" s="13" t="s">
        <v>39</v>
      </c>
      <c r="J1046" s="13">
        <v>12</v>
      </c>
      <c r="K1046" s="13" t="s">
        <v>1714</v>
      </c>
      <c r="L1046" s="39" t="s">
        <v>7713</v>
      </c>
      <c r="M1046" s="108" t="s">
        <v>7718</v>
      </c>
      <c r="N1046" s="13" t="s">
        <v>3096</v>
      </c>
      <c r="O1046" s="13" t="s">
        <v>128</v>
      </c>
      <c r="P1046" s="13" t="s">
        <v>16</v>
      </c>
      <c r="Q1046" s="6" t="s">
        <v>7018</v>
      </c>
      <c r="R1046" s="17" t="s">
        <v>7019</v>
      </c>
      <c r="S1046" s="30"/>
      <c r="T1046" s="18">
        <v>450</v>
      </c>
      <c r="U1046" s="18">
        <v>200</v>
      </c>
      <c r="V1046" s="13" t="s">
        <v>7089</v>
      </c>
      <c r="X1046" s="132">
        <v>1037</v>
      </c>
      <c r="Y1046" s="6"/>
    </row>
    <row r="1047" spans="1:25" ht="15" customHeight="1" x14ac:dyDescent="0.2">
      <c r="A1047" s="12" t="s">
        <v>7026</v>
      </c>
      <c r="B1047" s="22" t="s">
        <v>2608</v>
      </c>
      <c r="C1047" s="14">
        <v>46095</v>
      </c>
      <c r="D1047" s="13" t="s">
        <v>1533</v>
      </c>
      <c r="E1047" s="6" t="s">
        <v>10352</v>
      </c>
      <c r="F1047" s="15" t="s">
        <v>7027</v>
      </c>
      <c r="G1047" s="6" t="s">
        <v>7028</v>
      </c>
      <c r="H1047" s="6" t="s">
        <v>7028</v>
      </c>
      <c r="I1047" s="13" t="s">
        <v>39</v>
      </c>
      <c r="J1047" s="13">
        <v>12</v>
      </c>
      <c r="K1047" s="13" t="s">
        <v>7032</v>
      </c>
      <c r="L1047" s="13" t="s">
        <v>7714</v>
      </c>
      <c r="M1047" s="108" t="s">
        <v>7715</v>
      </c>
      <c r="N1047" s="13" t="s">
        <v>36</v>
      </c>
      <c r="O1047" s="13" t="s">
        <v>36</v>
      </c>
      <c r="P1047" s="13" t="s">
        <v>4</v>
      </c>
      <c r="Q1047" s="6" t="s">
        <v>7029</v>
      </c>
      <c r="R1047" s="17" t="s">
        <v>7030</v>
      </c>
      <c r="S1047" s="17" t="s">
        <v>7031</v>
      </c>
      <c r="T1047" s="18">
        <v>65</v>
      </c>
      <c r="U1047" s="18">
        <v>52</v>
      </c>
      <c r="V1047" s="13" t="s">
        <v>7088</v>
      </c>
      <c r="X1047" s="132">
        <v>1038</v>
      </c>
      <c r="Y1047" s="6"/>
    </row>
    <row r="1048" spans="1:25" ht="15" customHeight="1" x14ac:dyDescent="0.25">
      <c r="A1048" s="12" t="s">
        <v>10356</v>
      </c>
      <c r="B1048" s="79" t="s">
        <v>4977</v>
      </c>
      <c r="C1048" s="80">
        <v>46584</v>
      </c>
      <c r="D1048" s="79" t="s">
        <v>1533</v>
      </c>
      <c r="E1048" s="81" t="s">
        <v>10352</v>
      </c>
      <c r="F1048" s="82" t="s">
        <v>10353</v>
      </c>
      <c r="G1048" s="81" t="s">
        <v>7028</v>
      </c>
      <c r="H1048" s="81" t="s">
        <v>7028</v>
      </c>
      <c r="I1048" s="79" t="s">
        <v>39</v>
      </c>
      <c r="J1048" s="79">
        <v>12</v>
      </c>
      <c r="K1048" s="79" t="s">
        <v>7032</v>
      </c>
      <c r="L1048" s="79" t="s">
        <v>10354</v>
      </c>
      <c r="M1048" s="109" t="s">
        <v>10355</v>
      </c>
      <c r="N1048" s="79" t="s">
        <v>36</v>
      </c>
      <c r="O1048" s="13" t="s">
        <v>36</v>
      </c>
      <c r="P1048" s="13" t="s">
        <v>4</v>
      </c>
      <c r="Q1048" s="81" t="s">
        <v>7029</v>
      </c>
      <c r="R1048" s="69" t="s">
        <v>7030</v>
      </c>
      <c r="S1048" s="69" t="s">
        <v>7031</v>
      </c>
      <c r="T1048" s="85">
        <v>70</v>
      </c>
      <c r="U1048" s="85">
        <v>64</v>
      </c>
      <c r="V1048" s="79" t="s">
        <v>7088</v>
      </c>
      <c r="W1048" s="81"/>
      <c r="X1048" s="132">
        <v>1039</v>
      </c>
      <c r="Y1048" s="6"/>
    </row>
    <row r="1049" spans="1:25" ht="15" customHeight="1" x14ac:dyDescent="0.2">
      <c r="A1049" s="12" t="s">
        <v>7041</v>
      </c>
      <c r="B1049" s="92" t="s">
        <v>4978</v>
      </c>
      <c r="C1049" s="74">
        <v>46848</v>
      </c>
      <c r="D1049" s="13" t="s">
        <v>33</v>
      </c>
      <c r="E1049" s="6" t="s">
        <v>7079</v>
      </c>
      <c r="F1049" s="15" t="s">
        <v>7080</v>
      </c>
      <c r="G1049" s="6" t="s">
        <v>7081</v>
      </c>
      <c r="H1049" s="6" t="s">
        <v>7081</v>
      </c>
      <c r="I1049" s="13" t="s">
        <v>25</v>
      </c>
      <c r="J1049" s="13">
        <v>3</v>
      </c>
      <c r="K1049" s="13" t="s">
        <v>1714</v>
      </c>
      <c r="L1049" s="6" t="s">
        <v>7082</v>
      </c>
      <c r="M1049" s="108" t="s">
        <v>7083</v>
      </c>
      <c r="N1049" s="13" t="s">
        <v>5745</v>
      </c>
      <c r="O1049" s="13" t="s">
        <v>1847</v>
      </c>
      <c r="P1049" s="13" t="s">
        <v>68</v>
      </c>
      <c r="Q1049" s="6" t="s">
        <v>7084</v>
      </c>
      <c r="R1049" s="17" t="s">
        <v>7085</v>
      </c>
      <c r="S1049" s="17" t="s">
        <v>7086</v>
      </c>
      <c r="T1049" s="18">
        <v>13</v>
      </c>
      <c r="U1049" s="18">
        <v>11</v>
      </c>
      <c r="V1049" s="13" t="s">
        <v>7087</v>
      </c>
      <c r="X1049" s="132">
        <v>1040</v>
      </c>
      <c r="Y1049" s="6"/>
    </row>
    <row r="1050" spans="1:25" ht="15" customHeight="1" x14ac:dyDescent="0.2">
      <c r="A1050" s="12" t="s">
        <v>7042</v>
      </c>
      <c r="B1050" s="92" t="s">
        <v>4978</v>
      </c>
      <c r="C1050" s="74">
        <v>46848</v>
      </c>
      <c r="D1050" s="13" t="s">
        <v>33</v>
      </c>
      <c r="E1050" s="6" t="s">
        <v>7091</v>
      </c>
      <c r="F1050" s="6" t="s">
        <v>9164</v>
      </c>
      <c r="G1050" s="6" t="s">
        <v>7092</v>
      </c>
      <c r="H1050" s="6" t="s">
        <v>7092</v>
      </c>
      <c r="I1050" s="13" t="s">
        <v>25</v>
      </c>
      <c r="J1050" s="13">
        <v>3</v>
      </c>
      <c r="K1050" s="13" t="s">
        <v>1714</v>
      </c>
      <c r="L1050" s="6" t="s">
        <v>7093</v>
      </c>
      <c r="M1050" s="108" t="s">
        <v>2506</v>
      </c>
      <c r="N1050" s="13" t="s">
        <v>2507</v>
      </c>
      <c r="O1050" s="13" t="s">
        <v>61</v>
      </c>
      <c r="P1050" s="13" t="s">
        <v>9</v>
      </c>
      <c r="Q1050" s="6" t="s">
        <v>7094</v>
      </c>
      <c r="R1050" s="17" t="s">
        <v>7095</v>
      </c>
      <c r="S1050" s="30"/>
      <c r="T1050" s="18">
        <v>35</v>
      </c>
      <c r="U1050" s="18">
        <v>22</v>
      </c>
      <c r="V1050" s="13" t="s">
        <v>7096</v>
      </c>
      <c r="X1050" s="132">
        <v>1041</v>
      </c>
      <c r="Y1050" s="6"/>
    </row>
    <row r="1051" spans="1:25" ht="15" customHeight="1" x14ac:dyDescent="0.2">
      <c r="A1051" s="12" t="s">
        <v>7043</v>
      </c>
      <c r="B1051" s="92" t="s">
        <v>4978</v>
      </c>
      <c r="C1051" s="74">
        <v>46848</v>
      </c>
      <c r="D1051" s="13" t="s">
        <v>33</v>
      </c>
      <c r="E1051" s="6" t="s">
        <v>7097</v>
      </c>
      <c r="F1051" s="6" t="s">
        <v>9165</v>
      </c>
      <c r="G1051" s="6" t="s">
        <v>7098</v>
      </c>
      <c r="H1051" s="6" t="s">
        <v>7098</v>
      </c>
      <c r="I1051" s="13" t="s">
        <v>25</v>
      </c>
      <c r="J1051" s="13">
        <v>3</v>
      </c>
      <c r="K1051" s="13" t="s">
        <v>1714</v>
      </c>
      <c r="L1051" s="6" t="s">
        <v>7099</v>
      </c>
      <c r="M1051" s="108" t="s">
        <v>7100</v>
      </c>
      <c r="N1051" s="13" t="s">
        <v>2630</v>
      </c>
      <c r="O1051" s="13" t="s">
        <v>61</v>
      </c>
      <c r="P1051" s="13" t="s">
        <v>9</v>
      </c>
      <c r="Q1051" s="6" t="s">
        <v>7101</v>
      </c>
      <c r="R1051" s="17" t="s">
        <v>7102</v>
      </c>
      <c r="S1051" s="30"/>
      <c r="T1051" s="18">
        <v>19</v>
      </c>
      <c r="U1051" s="18">
        <v>18</v>
      </c>
      <c r="V1051" s="13" t="s">
        <v>7103</v>
      </c>
      <c r="X1051" s="132">
        <v>1042</v>
      </c>
      <c r="Y1051" s="6"/>
    </row>
    <row r="1052" spans="1:25" ht="15" customHeight="1" x14ac:dyDescent="0.25">
      <c r="A1052" s="12" t="s">
        <v>8722</v>
      </c>
      <c r="B1052" s="92" t="s">
        <v>4978</v>
      </c>
      <c r="C1052" s="74">
        <v>47090</v>
      </c>
      <c r="D1052" s="13" t="s">
        <v>33</v>
      </c>
      <c r="E1052" s="6" t="s">
        <v>7110</v>
      </c>
      <c r="F1052" s="15" t="s">
        <v>8723</v>
      </c>
      <c r="G1052" s="6" t="s">
        <v>7113</v>
      </c>
      <c r="H1052" s="6" t="s">
        <v>7113</v>
      </c>
      <c r="I1052" s="13" t="s">
        <v>25</v>
      </c>
      <c r="J1052" s="13">
        <v>3</v>
      </c>
      <c r="K1052" s="13" t="s">
        <v>1714</v>
      </c>
      <c r="L1052" s="6" t="s">
        <v>8724</v>
      </c>
      <c r="M1052" s="108" t="s">
        <v>7115</v>
      </c>
      <c r="N1052" s="13" t="s">
        <v>97</v>
      </c>
      <c r="O1052" s="13" t="s">
        <v>97</v>
      </c>
      <c r="P1052" s="13" t="s">
        <v>4</v>
      </c>
      <c r="Q1052" s="6" t="s">
        <v>8725</v>
      </c>
      <c r="R1052" s="69" t="s">
        <v>7117</v>
      </c>
      <c r="S1052" s="69" t="s">
        <v>7118</v>
      </c>
      <c r="T1052" s="18">
        <v>20</v>
      </c>
      <c r="U1052" s="18">
        <v>20</v>
      </c>
      <c r="V1052" s="13" t="s">
        <v>8726</v>
      </c>
      <c r="X1052" s="132">
        <v>1043</v>
      </c>
      <c r="Y1052" s="6"/>
    </row>
    <row r="1053" spans="1:25" ht="15" customHeight="1" x14ac:dyDescent="0.2">
      <c r="A1053" s="12" t="s">
        <v>7109</v>
      </c>
      <c r="B1053" s="92" t="s">
        <v>4978</v>
      </c>
      <c r="C1053" s="74">
        <v>46848</v>
      </c>
      <c r="D1053" s="13" t="s">
        <v>33</v>
      </c>
      <c r="E1053" s="6" t="s">
        <v>7110</v>
      </c>
      <c r="F1053" s="15" t="s">
        <v>7111</v>
      </c>
      <c r="G1053" s="6" t="s">
        <v>7113</v>
      </c>
      <c r="H1053" s="6" t="s">
        <v>7112</v>
      </c>
      <c r="I1053" s="13" t="s">
        <v>25</v>
      </c>
      <c r="J1053" s="13">
        <v>3</v>
      </c>
      <c r="K1053" s="13" t="s">
        <v>1714</v>
      </c>
      <c r="L1053" s="6" t="s">
        <v>7114</v>
      </c>
      <c r="M1053" s="108" t="s">
        <v>7115</v>
      </c>
      <c r="N1053" s="13" t="s">
        <v>97</v>
      </c>
      <c r="O1053" s="13" t="s">
        <v>97</v>
      </c>
      <c r="P1053" s="13" t="s">
        <v>4</v>
      </c>
      <c r="Q1053" s="6" t="s">
        <v>7116</v>
      </c>
      <c r="R1053" s="17" t="s">
        <v>7117</v>
      </c>
      <c r="S1053" s="17" t="s">
        <v>7118</v>
      </c>
      <c r="T1053" s="18">
        <v>29</v>
      </c>
      <c r="U1053" s="18">
        <v>24</v>
      </c>
      <c r="V1053" s="13" t="s">
        <v>7119</v>
      </c>
      <c r="X1053" s="132">
        <v>1044</v>
      </c>
      <c r="Y1053" s="6"/>
    </row>
    <row r="1054" spans="1:25" ht="15" customHeight="1" x14ac:dyDescent="0.2">
      <c r="A1054" s="12" t="s">
        <v>7127</v>
      </c>
      <c r="B1054" s="92" t="s">
        <v>4978</v>
      </c>
      <c r="C1054" s="74">
        <v>46848</v>
      </c>
      <c r="D1054" s="13" t="s">
        <v>33</v>
      </c>
      <c r="E1054" s="6" t="s">
        <v>7136</v>
      </c>
      <c r="F1054" s="15" t="s">
        <v>7132</v>
      </c>
      <c r="G1054" s="6" t="s">
        <v>7128</v>
      </c>
      <c r="H1054" s="6" t="s">
        <v>7128</v>
      </c>
      <c r="I1054" s="13" t="s">
        <v>25</v>
      </c>
      <c r="J1054" s="13">
        <v>3</v>
      </c>
      <c r="K1054" s="13" t="s">
        <v>1714</v>
      </c>
      <c r="L1054" s="6" t="s">
        <v>7129</v>
      </c>
      <c r="M1054" s="108" t="s">
        <v>7130</v>
      </c>
      <c r="N1054" s="13" t="s">
        <v>7131</v>
      </c>
      <c r="O1054" s="13" t="s">
        <v>1055</v>
      </c>
      <c r="P1054" s="13" t="s">
        <v>16</v>
      </c>
      <c r="Q1054" s="6" t="s">
        <v>7133</v>
      </c>
      <c r="R1054" s="17" t="s">
        <v>7134</v>
      </c>
      <c r="S1054" s="17" t="s">
        <v>6691</v>
      </c>
      <c r="T1054" s="18">
        <v>16</v>
      </c>
      <c r="U1054" s="18">
        <v>12</v>
      </c>
      <c r="V1054" s="13" t="s">
        <v>7135</v>
      </c>
      <c r="X1054" s="132">
        <v>1045</v>
      </c>
      <c r="Y1054" s="6"/>
    </row>
    <row r="1055" spans="1:25" ht="15" customHeight="1" x14ac:dyDescent="0.2">
      <c r="A1055" s="12" t="s">
        <v>7141</v>
      </c>
      <c r="B1055" s="22" t="s">
        <v>2608</v>
      </c>
      <c r="C1055" s="14">
        <v>46117</v>
      </c>
      <c r="D1055" s="13" t="s">
        <v>1533</v>
      </c>
      <c r="E1055" s="6" t="s">
        <v>7137</v>
      </c>
      <c r="F1055" s="15" t="s">
        <v>7138</v>
      </c>
      <c r="G1055" s="6" t="s">
        <v>7140</v>
      </c>
      <c r="H1055" s="6" t="s">
        <v>7140</v>
      </c>
      <c r="I1055" s="13" t="s">
        <v>39</v>
      </c>
      <c r="J1055" s="13">
        <v>12</v>
      </c>
      <c r="K1055" s="13" t="s">
        <v>7139</v>
      </c>
      <c r="L1055" s="13" t="s">
        <v>7716</v>
      </c>
      <c r="M1055" s="108" t="s">
        <v>7717</v>
      </c>
      <c r="N1055" s="13" t="s">
        <v>3096</v>
      </c>
      <c r="O1055" s="13" t="s">
        <v>128</v>
      </c>
      <c r="P1055" s="13" t="s">
        <v>16</v>
      </c>
      <c r="Q1055" s="6" t="s">
        <v>7142</v>
      </c>
      <c r="R1055" s="17" t="s">
        <v>7143</v>
      </c>
      <c r="S1055" s="30"/>
      <c r="T1055" s="18">
        <v>80</v>
      </c>
      <c r="U1055" s="18">
        <v>50</v>
      </c>
      <c r="V1055" s="13" t="s">
        <v>7144</v>
      </c>
      <c r="X1055" s="132">
        <v>1046</v>
      </c>
      <c r="Y1055" s="6"/>
    </row>
    <row r="1056" spans="1:25" ht="15" customHeight="1" x14ac:dyDescent="0.25">
      <c r="A1056" s="19" t="s">
        <v>10218</v>
      </c>
      <c r="B1056" s="13" t="s">
        <v>4977</v>
      </c>
      <c r="C1056" s="14">
        <v>46568</v>
      </c>
      <c r="D1056" s="13" t="s">
        <v>1533</v>
      </c>
      <c r="E1056" s="6" t="s">
        <v>7137</v>
      </c>
      <c r="F1056" s="15" t="s">
        <v>10219</v>
      </c>
      <c r="G1056" s="6" t="s">
        <v>10220</v>
      </c>
      <c r="H1056" s="6" t="s">
        <v>10220</v>
      </c>
      <c r="I1056" s="13" t="s">
        <v>39</v>
      </c>
      <c r="J1056" s="13">
        <v>12</v>
      </c>
      <c r="K1056" s="13" t="s">
        <v>7032</v>
      </c>
      <c r="L1056" s="13" t="s">
        <v>10221</v>
      </c>
      <c r="M1056" s="108" t="s">
        <v>10222</v>
      </c>
      <c r="N1056" s="13" t="s">
        <v>10223</v>
      </c>
      <c r="O1056" s="13" t="s">
        <v>128</v>
      </c>
      <c r="P1056" s="13" t="s">
        <v>16</v>
      </c>
      <c r="Q1056" s="6" t="s">
        <v>7142</v>
      </c>
      <c r="R1056" s="69" t="s">
        <v>10224</v>
      </c>
      <c r="S1056" s="30"/>
      <c r="T1056" s="18">
        <v>40</v>
      </c>
      <c r="U1056" s="18">
        <v>40</v>
      </c>
      <c r="V1056" s="13" t="s">
        <v>7144</v>
      </c>
      <c r="X1056" s="132">
        <v>1047</v>
      </c>
      <c r="Y1056" s="6"/>
    </row>
    <row r="1057" spans="1:25" ht="15" customHeight="1" x14ac:dyDescent="0.2">
      <c r="A1057" s="12" t="s">
        <v>7150</v>
      </c>
      <c r="B1057" s="13" t="s">
        <v>4978</v>
      </c>
      <c r="C1057" s="14">
        <v>47679</v>
      </c>
      <c r="D1057" s="13" t="s">
        <v>33</v>
      </c>
      <c r="E1057" s="6" t="s">
        <v>7148</v>
      </c>
      <c r="F1057" s="15" t="s">
        <v>7149</v>
      </c>
      <c r="G1057" s="6" t="s">
        <v>7152</v>
      </c>
      <c r="H1057" s="6" t="s">
        <v>7152</v>
      </c>
      <c r="I1057" s="13" t="s">
        <v>25</v>
      </c>
      <c r="J1057" s="13">
        <v>3</v>
      </c>
      <c r="K1057" s="13" t="s">
        <v>1714</v>
      </c>
      <c r="L1057" s="6" t="s">
        <v>7153</v>
      </c>
      <c r="M1057" s="108" t="s">
        <v>7154</v>
      </c>
      <c r="N1057" s="13" t="s">
        <v>7155</v>
      </c>
      <c r="O1057" s="13" t="s">
        <v>165</v>
      </c>
      <c r="P1057" s="13" t="s">
        <v>9</v>
      </c>
      <c r="Q1057" s="6" t="s">
        <v>7156</v>
      </c>
      <c r="R1057" s="17" t="s">
        <v>7157</v>
      </c>
      <c r="S1057" s="30"/>
      <c r="T1057" s="18">
        <v>11</v>
      </c>
      <c r="U1057" s="18">
        <v>11</v>
      </c>
      <c r="V1057" s="13" t="s">
        <v>7151</v>
      </c>
      <c r="X1057" s="132">
        <v>1048</v>
      </c>
      <c r="Y1057" s="6"/>
    </row>
    <row r="1058" spans="1:25" ht="12.75" customHeight="1" x14ac:dyDescent="0.2">
      <c r="A1058" s="12" t="s">
        <v>7158</v>
      </c>
      <c r="B1058" s="92" t="s">
        <v>4978</v>
      </c>
      <c r="C1058" s="74">
        <v>46889</v>
      </c>
      <c r="D1058" s="13" t="s">
        <v>33</v>
      </c>
      <c r="E1058" s="6" t="s">
        <v>7159</v>
      </c>
      <c r="F1058" s="15" t="s">
        <v>7160</v>
      </c>
      <c r="G1058" s="6" t="s">
        <v>7161</v>
      </c>
      <c r="H1058" s="6" t="s">
        <v>7161</v>
      </c>
      <c r="I1058" s="13" t="s">
        <v>25</v>
      </c>
      <c r="J1058" s="13">
        <v>3</v>
      </c>
      <c r="K1058" s="13" t="s">
        <v>1714</v>
      </c>
      <c r="L1058" s="6" t="s">
        <v>7162</v>
      </c>
      <c r="M1058" s="108" t="s">
        <v>7163</v>
      </c>
      <c r="N1058" s="13" t="s">
        <v>2161</v>
      </c>
      <c r="O1058" s="13" t="s">
        <v>1889</v>
      </c>
      <c r="P1058" s="13" t="s">
        <v>68</v>
      </c>
      <c r="Q1058" s="6" t="s">
        <v>7164</v>
      </c>
      <c r="R1058" s="17" t="s">
        <v>7165</v>
      </c>
      <c r="S1058" s="17" t="s">
        <v>7166</v>
      </c>
      <c r="T1058" s="18">
        <v>32</v>
      </c>
      <c r="U1058" s="18">
        <v>10</v>
      </c>
      <c r="V1058" s="13" t="s">
        <v>7167</v>
      </c>
      <c r="X1058" s="132">
        <v>1049</v>
      </c>
      <c r="Y1058" s="6"/>
    </row>
    <row r="1059" spans="1:25" ht="12.75" customHeight="1" x14ac:dyDescent="0.2">
      <c r="A1059" s="12" t="s">
        <v>7169</v>
      </c>
      <c r="B1059" s="92" t="s">
        <v>4978</v>
      </c>
      <c r="C1059" s="74">
        <v>46889</v>
      </c>
      <c r="D1059" s="13" t="s">
        <v>33</v>
      </c>
      <c r="E1059" s="6" t="s">
        <v>7359</v>
      </c>
      <c r="F1059" s="15" t="s">
        <v>7168</v>
      </c>
      <c r="G1059" s="6" t="s">
        <v>7170</v>
      </c>
      <c r="H1059" s="6" t="s">
        <v>7170</v>
      </c>
      <c r="I1059" s="13" t="s">
        <v>25</v>
      </c>
      <c r="J1059" s="13">
        <v>3</v>
      </c>
      <c r="K1059" s="13" t="s">
        <v>1714</v>
      </c>
      <c r="L1059" s="6" t="s">
        <v>7171</v>
      </c>
      <c r="M1059" s="108" t="s">
        <v>2834</v>
      </c>
      <c r="N1059" s="13" t="s">
        <v>2470</v>
      </c>
      <c r="O1059" s="13" t="s">
        <v>136</v>
      </c>
      <c r="P1059" s="13" t="s">
        <v>4</v>
      </c>
      <c r="Q1059" s="6" t="s">
        <v>7172</v>
      </c>
      <c r="R1059" s="17" t="s">
        <v>7360</v>
      </c>
      <c r="S1059" s="17" t="s">
        <v>7173</v>
      </c>
      <c r="T1059" s="18">
        <v>28</v>
      </c>
      <c r="U1059" s="18">
        <v>23</v>
      </c>
      <c r="V1059" s="13" t="s">
        <v>7174</v>
      </c>
      <c r="X1059" s="132">
        <v>1050</v>
      </c>
      <c r="Y1059" s="6"/>
    </row>
    <row r="1060" spans="1:25" ht="12.75" customHeight="1" x14ac:dyDescent="0.2">
      <c r="A1060" s="12" t="s">
        <v>7203</v>
      </c>
      <c r="B1060" s="13" t="s">
        <v>4977</v>
      </c>
      <c r="C1060" s="14">
        <v>46158</v>
      </c>
      <c r="D1060" s="13" t="s">
        <v>1533</v>
      </c>
      <c r="E1060" s="6" t="s">
        <v>7206</v>
      </c>
      <c r="F1060" s="15" t="s">
        <v>7211</v>
      </c>
      <c r="G1060" s="6" t="s">
        <v>7207</v>
      </c>
      <c r="H1060" s="6" t="s">
        <v>7207</v>
      </c>
      <c r="I1060" s="13" t="s">
        <v>39</v>
      </c>
      <c r="J1060" s="13">
        <v>12</v>
      </c>
      <c r="K1060" s="13" t="s">
        <v>7032</v>
      </c>
      <c r="L1060" s="6" t="s">
        <v>7719</v>
      </c>
      <c r="M1060" s="108" t="s">
        <v>7723</v>
      </c>
      <c r="N1060" s="13" t="s">
        <v>7720</v>
      </c>
      <c r="O1060" s="13" t="s">
        <v>11949</v>
      </c>
      <c r="P1060" s="13" t="s">
        <v>68</v>
      </c>
      <c r="Q1060" s="6" t="s">
        <v>7208</v>
      </c>
      <c r="R1060" s="17" t="s">
        <v>7209</v>
      </c>
      <c r="S1060" s="30"/>
      <c r="T1060" s="18">
        <v>100</v>
      </c>
      <c r="U1060" s="18">
        <v>60</v>
      </c>
      <c r="V1060" s="13" t="s">
        <v>7210</v>
      </c>
      <c r="X1060" s="132">
        <v>1051</v>
      </c>
      <c r="Y1060" s="6"/>
    </row>
    <row r="1061" spans="1:25" ht="12.75" customHeight="1" x14ac:dyDescent="0.2">
      <c r="A1061" s="12" t="s">
        <v>7204</v>
      </c>
      <c r="B1061" s="13" t="s">
        <v>4977</v>
      </c>
      <c r="C1061" s="14">
        <v>46158</v>
      </c>
      <c r="D1061" s="13" t="s">
        <v>1533</v>
      </c>
      <c r="E1061" s="6" t="s">
        <v>7216</v>
      </c>
      <c r="F1061" s="15" t="s">
        <v>7533</v>
      </c>
      <c r="G1061" s="6" t="s">
        <v>7212</v>
      </c>
      <c r="H1061" s="6" t="s">
        <v>7212</v>
      </c>
      <c r="I1061" s="13" t="s">
        <v>39</v>
      </c>
      <c r="J1061" s="13">
        <v>12</v>
      </c>
      <c r="K1061" s="13" t="s">
        <v>7032</v>
      </c>
      <c r="L1061" s="6" t="s">
        <v>7721</v>
      </c>
      <c r="M1061" s="108"/>
      <c r="N1061" s="13" t="s">
        <v>7722</v>
      </c>
      <c r="O1061" s="13" t="s">
        <v>293</v>
      </c>
      <c r="P1061" s="13" t="s">
        <v>16</v>
      </c>
      <c r="Q1061" s="6" t="s">
        <v>7213</v>
      </c>
      <c r="R1061" s="17" t="s">
        <v>7214</v>
      </c>
      <c r="S1061" s="30"/>
      <c r="T1061" s="18">
        <v>250</v>
      </c>
      <c r="U1061" s="18">
        <v>250</v>
      </c>
      <c r="V1061" s="13" t="s">
        <v>7215</v>
      </c>
      <c r="X1061" s="132">
        <v>1052</v>
      </c>
      <c r="Y1061" s="6"/>
    </row>
    <row r="1062" spans="1:25" ht="12.75" customHeight="1" x14ac:dyDescent="0.2">
      <c r="A1062" s="12" t="s">
        <v>7205</v>
      </c>
      <c r="B1062" s="13" t="s">
        <v>4977</v>
      </c>
      <c r="C1062" s="14">
        <v>46158</v>
      </c>
      <c r="D1062" s="13" t="s">
        <v>1533</v>
      </c>
      <c r="E1062" s="31" t="s">
        <v>7217</v>
      </c>
      <c r="F1062" s="15" t="s">
        <v>7223</v>
      </c>
      <c r="G1062" s="6" t="s">
        <v>7218</v>
      </c>
      <c r="H1062" s="6" t="s">
        <v>7218</v>
      </c>
      <c r="I1062" s="13" t="s">
        <v>39</v>
      </c>
      <c r="J1062" s="13">
        <v>12</v>
      </c>
      <c r="K1062" s="13" t="s">
        <v>7032</v>
      </c>
      <c r="L1062" s="39" t="s">
        <v>7724</v>
      </c>
      <c r="M1062" s="108" t="s">
        <v>7726</v>
      </c>
      <c r="N1062" s="13" t="s">
        <v>7725</v>
      </c>
      <c r="O1062" s="13" t="s">
        <v>165</v>
      </c>
      <c r="P1062" s="13" t="s">
        <v>9</v>
      </c>
      <c r="Q1062" s="6" t="s">
        <v>7219</v>
      </c>
      <c r="R1062" s="17" t="s">
        <v>7220</v>
      </c>
      <c r="S1062" s="17" t="s">
        <v>7221</v>
      </c>
      <c r="T1062" s="18">
        <v>50</v>
      </c>
      <c r="U1062" s="18">
        <v>50</v>
      </c>
      <c r="V1062" s="13" t="s">
        <v>7222</v>
      </c>
      <c r="X1062" s="132">
        <v>1053</v>
      </c>
      <c r="Y1062" s="6"/>
    </row>
    <row r="1063" spans="1:25" ht="12.75" x14ac:dyDescent="0.2">
      <c r="A1063" s="12" t="s">
        <v>7224</v>
      </c>
      <c r="B1063" s="92" t="s">
        <v>4978</v>
      </c>
      <c r="C1063" s="74">
        <v>46889</v>
      </c>
      <c r="D1063" s="13" t="s">
        <v>33</v>
      </c>
      <c r="E1063" s="6" t="s">
        <v>7247</v>
      </c>
      <c r="F1063" s="15" t="s">
        <v>7248</v>
      </c>
      <c r="G1063" s="6" t="s">
        <v>7249</v>
      </c>
      <c r="H1063" s="6" t="s">
        <v>7249</v>
      </c>
      <c r="I1063" s="13" t="s">
        <v>25</v>
      </c>
      <c r="J1063" s="13">
        <v>3</v>
      </c>
      <c r="K1063" s="13" t="s">
        <v>1714</v>
      </c>
      <c r="L1063" s="6" t="s">
        <v>7250</v>
      </c>
      <c r="M1063" s="108" t="s">
        <v>7251</v>
      </c>
      <c r="N1063" s="13" t="s">
        <v>6514</v>
      </c>
      <c r="O1063" s="13" t="s">
        <v>445</v>
      </c>
      <c r="P1063" s="13" t="s">
        <v>16</v>
      </c>
      <c r="Q1063" s="6" t="s">
        <v>7252</v>
      </c>
      <c r="R1063" s="17" t="s">
        <v>3297</v>
      </c>
      <c r="S1063" s="30"/>
      <c r="T1063" s="18">
        <v>21</v>
      </c>
      <c r="U1063" s="18">
        <v>19</v>
      </c>
      <c r="V1063" s="13" t="s">
        <v>7253</v>
      </c>
      <c r="X1063" s="132">
        <v>1054</v>
      </c>
      <c r="Y1063" s="6"/>
    </row>
    <row r="1064" spans="1:25" ht="12.75" customHeight="1" x14ac:dyDescent="0.2">
      <c r="A1064" s="12" t="s">
        <v>7302</v>
      </c>
      <c r="B1064" s="13" t="s">
        <v>4977</v>
      </c>
      <c r="C1064" s="14">
        <v>46158</v>
      </c>
      <c r="D1064" s="13" t="s">
        <v>1533</v>
      </c>
      <c r="E1064" s="6" t="s">
        <v>7313</v>
      </c>
      <c r="F1064" s="15" t="s">
        <v>7320</v>
      </c>
      <c r="G1064" s="6" t="s">
        <v>7314</v>
      </c>
      <c r="H1064" s="6" t="s">
        <v>7314</v>
      </c>
      <c r="I1064" s="13" t="s">
        <v>39</v>
      </c>
      <c r="J1064" s="13">
        <v>12</v>
      </c>
      <c r="K1064" s="13" t="s">
        <v>7032</v>
      </c>
      <c r="L1064" s="39" t="s">
        <v>7727</v>
      </c>
      <c r="M1064" s="108" t="s">
        <v>7728</v>
      </c>
      <c r="N1064" s="13" t="s">
        <v>7729</v>
      </c>
      <c r="O1064" s="13" t="s">
        <v>925</v>
      </c>
      <c r="P1064" s="13" t="s">
        <v>16</v>
      </c>
      <c r="Q1064" s="6" t="s">
        <v>7315</v>
      </c>
      <c r="R1064" s="17" t="s">
        <v>7316</v>
      </c>
      <c r="S1064" s="30"/>
      <c r="T1064" s="18">
        <v>40</v>
      </c>
      <c r="U1064" s="18">
        <v>40</v>
      </c>
      <c r="V1064" s="13" t="s">
        <v>7317</v>
      </c>
      <c r="X1064" s="132">
        <v>1055</v>
      </c>
      <c r="Y1064" s="6"/>
    </row>
    <row r="1065" spans="1:25" ht="15" customHeight="1" x14ac:dyDescent="0.25">
      <c r="A1065" s="12" t="s">
        <v>7303</v>
      </c>
      <c r="B1065" s="13" t="s">
        <v>4977</v>
      </c>
      <c r="C1065" s="14">
        <v>46885</v>
      </c>
      <c r="D1065" s="13" t="s">
        <v>1533</v>
      </c>
      <c r="E1065" s="6" t="s">
        <v>7318</v>
      </c>
      <c r="F1065" s="15" t="s">
        <v>7319</v>
      </c>
      <c r="G1065" s="6" t="s">
        <v>7321</v>
      </c>
      <c r="H1065" s="6" t="s">
        <v>7321</v>
      </c>
      <c r="I1065" s="13" t="s">
        <v>39</v>
      </c>
      <c r="J1065" s="13">
        <v>12</v>
      </c>
      <c r="K1065" s="13" t="s">
        <v>1714</v>
      </c>
      <c r="L1065" s="13" t="s">
        <v>7730</v>
      </c>
      <c r="M1065" s="108" t="s">
        <v>7731</v>
      </c>
      <c r="N1065" s="134" t="s">
        <v>2187</v>
      </c>
      <c r="O1065" s="13" t="s">
        <v>53</v>
      </c>
      <c r="P1065" s="13" t="s">
        <v>54</v>
      </c>
      <c r="Q1065" s="6" t="s">
        <v>11647</v>
      </c>
      <c r="R1065" s="69" t="s">
        <v>11648</v>
      </c>
      <c r="S1065" s="69" t="s">
        <v>11649</v>
      </c>
      <c r="T1065" s="18">
        <v>50</v>
      </c>
      <c r="U1065" s="18">
        <v>50</v>
      </c>
      <c r="V1065" s="13" t="s">
        <v>7322</v>
      </c>
      <c r="X1065" s="132">
        <v>1056</v>
      </c>
      <c r="Y1065" s="6"/>
    </row>
    <row r="1066" spans="1:25" ht="12.75" customHeight="1" x14ac:dyDescent="0.2">
      <c r="A1066" s="12" t="s">
        <v>7304</v>
      </c>
      <c r="B1066" s="13" t="s">
        <v>4977</v>
      </c>
      <c r="C1066" s="14">
        <v>46158</v>
      </c>
      <c r="D1066" s="13" t="s">
        <v>1533</v>
      </c>
      <c r="E1066" s="6" t="s">
        <v>7323</v>
      </c>
      <c r="F1066" s="15" t="s">
        <v>7325</v>
      </c>
      <c r="G1066" s="6" t="s">
        <v>7324</v>
      </c>
      <c r="H1066" s="6" t="s">
        <v>7324</v>
      </c>
      <c r="I1066" s="13" t="s">
        <v>39</v>
      </c>
      <c r="J1066" s="13">
        <v>12</v>
      </c>
      <c r="K1066" s="13" t="s">
        <v>1714</v>
      </c>
      <c r="L1066" s="39" t="s">
        <v>7732</v>
      </c>
      <c r="M1066" s="108" t="s">
        <v>7733</v>
      </c>
      <c r="N1066" s="13" t="s">
        <v>4879</v>
      </c>
      <c r="O1066" s="13" t="s">
        <v>53</v>
      </c>
      <c r="P1066" s="13" t="s">
        <v>54</v>
      </c>
      <c r="Q1066" s="6" t="s">
        <v>7326</v>
      </c>
      <c r="R1066" s="17" t="s">
        <v>7327</v>
      </c>
      <c r="S1066" s="17" t="s">
        <v>7328</v>
      </c>
      <c r="T1066" s="18">
        <v>10</v>
      </c>
      <c r="U1066" s="18">
        <v>10</v>
      </c>
      <c r="V1066" s="13" t="s">
        <v>7329</v>
      </c>
      <c r="X1066" s="132">
        <v>1057</v>
      </c>
      <c r="Y1066" s="6"/>
    </row>
    <row r="1067" spans="1:25" ht="12.75" customHeight="1" x14ac:dyDescent="0.2">
      <c r="A1067" s="12" t="s">
        <v>7305</v>
      </c>
      <c r="B1067" s="13" t="s">
        <v>4977</v>
      </c>
      <c r="C1067" s="14">
        <v>46158</v>
      </c>
      <c r="D1067" s="13" t="s">
        <v>1533</v>
      </c>
      <c r="E1067" s="6" t="s">
        <v>7331</v>
      </c>
      <c r="F1067" s="15" t="s">
        <v>7332</v>
      </c>
      <c r="G1067" s="6" t="s">
        <v>7330</v>
      </c>
      <c r="H1067" s="6" t="s">
        <v>7330</v>
      </c>
      <c r="I1067" s="13" t="s">
        <v>39</v>
      </c>
      <c r="J1067" s="13">
        <v>12</v>
      </c>
      <c r="K1067" s="13" t="s">
        <v>1714</v>
      </c>
      <c r="L1067" s="39" t="s">
        <v>7734</v>
      </c>
      <c r="M1067" s="118" t="s">
        <v>7735</v>
      </c>
      <c r="N1067" s="134" t="s">
        <v>2711</v>
      </c>
      <c r="O1067" s="13" t="s">
        <v>128</v>
      </c>
      <c r="P1067" s="13" t="s">
        <v>16</v>
      </c>
      <c r="Q1067" s="6" t="s">
        <v>7333</v>
      </c>
      <c r="R1067" s="17" t="s">
        <v>7334</v>
      </c>
      <c r="S1067" s="17" t="s">
        <v>7335</v>
      </c>
      <c r="T1067" s="18">
        <v>80</v>
      </c>
      <c r="U1067" s="18">
        <v>80</v>
      </c>
      <c r="V1067" s="13" t="s">
        <v>7336</v>
      </c>
      <c r="X1067" s="132">
        <v>1058</v>
      </c>
      <c r="Y1067" s="6"/>
    </row>
    <row r="1068" spans="1:25" ht="12.75" x14ac:dyDescent="0.2">
      <c r="A1068" s="12" t="s">
        <v>7306</v>
      </c>
      <c r="B1068" s="92" t="s">
        <v>4978</v>
      </c>
      <c r="C1068" s="74">
        <v>46889</v>
      </c>
      <c r="D1068" s="13" t="s">
        <v>33</v>
      </c>
      <c r="E1068" s="6" t="s">
        <v>7337</v>
      </c>
      <c r="F1068" s="15" t="s">
        <v>7338</v>
      </c>
      <c r="G1068" s="6" t="s">
        <v>7339</v>
      </c>
      <c r="H1068" s="6" t="s">
        <v>7339</v>
      </c>
      <c r="I1068" s="13" t="s">
        <v>25</v>
      </c>
      <c r="J1068" s="13">
        <v>3</v>
      </c>
      <c r="K1068" s="13" t="s">
        <v>1714</v>
      </c>
      <c r="L1068" s="6" t="s">
        <v>7340</v>
      </c>
      <c r="M1068" s="108" t="s">
        <v>7341</v>
      </c>
      <c r="N1068" s="13" t="s">
        <v>48</v>
      </c>
      <c r="O1068" s="13" t="s">
        <v>48</v>
      </c>
      <c r="P1068" s="13" t="s">
        <v>16</v>
      </c>
      <c r="Q1068" s="6" t="s">
        <v>7342</v>
      </c>
      <c r="R1068" s="17" t="s">
        <v>7343</v>
      </c>
      <c r="S1068" s="30"/>
      <c r="T1068" s="18">
        <v>16</v>
      </c>
      <c r="U1068" s="18">
        <v>10</v>
      </c>
      <c r="V1068" s="13" t="s">
        <v>7344</v>
      </c>
      <c r="X1068" s="132">
        <v>1059</v>
      </c>
      <c r="Y1068" s="6"/>
    </row>
    <row r="1069" spans="1:25" x14ac:dyDescent="0.25">
      <c r="A1069" s="12" t="s">
        <v>7307</v>
      </c>
      <c r="B1069" s="13" t="s">
        <v>4978</v>
      </c>
      <c r="C1069" s="14">
        <v>47642</v>
      </c>
      <c r="D1069" s="13" t="s">
        <v>33</v>
      </c>
      <c r="E1069" s="6" t="s">
        <v>3870</v>
      </c>
      <c r="F1069" s="15" t="s">
        <v>7347</v>
      </c>
      <c r="G1069" s="6" t="s">
        <v>7345</v>
      </c>
      <c r="H1069" s="6" t="s">
        <v>7345</v>
      </c>
      <c r="I1069" s="13" t="s">
        <v>25</v>
      </c>
      <c r="J1069" s="13">
        <v>3</v>
      </c>
      <c r="K1069" s="13" t="s">
        <v>1714</v>
      </c>
      <c r="L1069" s="6" t="s">
        <v>3483</v>
      </c>
      <c r="M1069" s="108" t="s">
        <v>7346</v>
      </c>
      <c r="N1069" s="13" t="s">
        <v>3485</v>
      </c>
      <c r="O1069" s="13" t="s">
        <v>128</v>
      </c>
      <c r="P1069" s="13" t="s">
        <v>16</v>
      </c>
      <c r="Q1069" s="6" t="s">
        <v>7348</v>
      </c>
      <c r="R1069" s="69" t="s">
        <v>12028</v>
      </c>
      <c r="S1069" s="30"/>
      <c r="T1069" s="18">
        <v>18</v>
      </c>
      <c r="U1069" s="18">
        <v>18</v>
      </c>
      <c r="V1069" s="13" t="s">
        <v>7349</v>
      </c>
      <c r="X1069" s="132">
        <v>1060</v>
      </c>
      <c r="Y1069" s="6"/>
    </row>
    <row r="1070" spans="1:25" ht="12.75" customHeight="1" x14ac:dyDescent="0.2">
      <c r="A1070" s="12" t="s">
        <v>7308</v>
      </c>
      <c r="B1070" s="92" t="s">
        <v>4978</v>
      </c>
      <c r="C1070" s="74">
        <v>46889</v>
      </c>
      <c r="D1070" s="13" t="s">
        <v>33</v>
      </c>
      <c r="E1070" s="6" t="s">
        <v>7361</v>
      </c>
      <c r="F1070" s="6" t="s">
        <v>9163</v>
      </c>
      <c r="G1070" s="6" t="s">
        <v>7362</v>
      </c>
      <c r="H1070" s="6" t="s">
        <v>7362</v>
      </c>
      <c r="I1070" s="13" t="s">
        <v>25</v>
      </c>
      <c r="J1070" s="13">
        <v>3</v>
      </c>
      <c r="K1070" s="13" t="s">
        <v>1714</v>
      </c>
      <c r="L1070" s="6" t="s">
        <v>7363</v>
      </c>
      <c r="M1070" s="108" t="s">
        <v>7364</v>
      </c>
      <c r="N1070" s="13" t="s">
        <v>7365</v>
      </c>
      <c r="O1070" s="13" t="s">
        <v>136</v>
      </c>
      <c r="P1070" s="13" t="s">
        <v>4</v>
      </c>
      <c r="Q1070" s="6" t="s">
        <v>7366</v>
      </c>
      <c r="R1070" s="17" t="s">
        <v>7367</v>
      </c>
      <c r="S1070" s="30"/>
      <c r="T1070" s="18">
        <v>23</v>
      </c>
      <c r="U1070" s="18">
        <v>18</v>
      </c>
      <c r="V1070" s="13" t="s">
        <v>7368</v>
      </c>
      <c r="X1070" s="132">
        <v>1061</v>
      </c>
      <c r="Y1070" s="6"/>
    </row>
    <row r="1071" spans="1:25" ht="12.75" customHeight="1" x14ac:dyDescent="0.2">
      <c r="A1071" s="12" t="s">
        <v>7309</v>
      </c>
      <c r="B1071" s="92" t="s">
        <v>4978</v>
      </c>
      <c r="C1071" s="74">
        <v>46889</v>
      </c>
      <c r="D1071" s="13" t="s">
        <v>1533</v>
      </c>
      <c r="E1071" s="6" t="s">
        <v>7369</v>
      </c>
      <c r="F1071" s="6" t="s">
        <v>7369</v>
      </c>
      <c r="G1071" s="6" t="s">
        <v>7370</v>
      </c>
      <c r="H1071" s="6" t="s">
        <v>7370</v>
      </c>
      <c r="I1071" s="13" t="s">
        <v>25</v>
      </c>
      <c r="J1071" s="13">
        <v>3</v>
      </c>
      <c r="K1071" s="13" t="s">
        <v>1714</v>
      </c>
      <c r="L1071" s="6" t="s">
        <v>7371</v>
      </c>
      <c r="M1071" s="108" t="s">
        <v>7372</v>
      </c>
      <c r="N1071" s="13" t="s">
        <v>3972</v>
      </c>
      <c r="O1071" s="13" t="s">
        <v>97</v>
      </c>
      <c r="P1071" s="13" t="s">
        <v>4</v>
      </c>
      <c r="Q1071" s="6" t="s">
        <v>3557</v>
      </c>
      <c r="R1071" s="17" t="s">
        <v>7373</v>
      </c>
      <c r="S1071" s="17" t="s">
        <v>7374</v>
      </c>
      <c r="T1071" s="18">
        <v>29</v>
      </c>
      <c r="U1071" s="18">
        <v>9</v>
      </c>
      <c r="V1071" s="13" t="s">
        <v>7375</v>
      </c>
      <c r="X1071" s="132">
        <v>1062</v>
      </c>
      <c r="Y1071" s="6"/>
    </row>
    <row r="1072" spans="1:25" ht="12.75" customHeight="1" x14ac:dyDescent="0.2">
      <c r="A1072" s="12" t="s">
        <v>7310</v>
      </c>
      <c r="B1072" s="92" t="s">
        <v>4978</v>
      </c>
      <c r="C1072" s="74">
        <v>46917</v>
      </c>
      <c r="D1072" s="13" t="s">
        <v>33</v>
      </c>
      <c r="E1072" s="6" t="s">
        <v>7378</v>
      </c>
      <c r="F1072" s="6" t="s">
        <v>9162</v>
      </c>
      <c r="G1072" s="6" t="s">
        <v>7377</v>
      </c>
      <c r="H1072" s="6" t="s">
        <v>7377</v>
      </c>
      <c r="I1072" s="13" t="s">
        <v>25</v>
      </c>
      <c r="J1072" s="13">
        <v>3</v>
      </c>
      <c r="K1072" s="13" t="s">
        <v>1714</v>
      </c>
      <c r="L1072" s="6" t="s">
        <v>7379</v>
      </c>
      <c r="M1072" s="108" t="s">
        <v>2444</v>
      </c>
      <c r="N1072" s="13" t="s">
        <v>7380</v>
      </c>
      <c r="O1072" s="13" t="s">
        <v>8</v>
      </c>
      <c r="P1072" s="13" t="s">
        <v>9</v>
      </c>
      <c r="Q1072" s="6" t="s">
        <v>7381</v>
      </c>
      <c r="R1072" s="17" t="s">
        <v>7382</v>
      </c>
      <c r="S1072" s="17" t="s">
        <v>2447</v>
      </c>
      <c r="T1072" s="18">
        <v>20</v>
      </c>
      <c r="U1072" s="18">
        <v>10</v>
      </c>
      <c r="V1072" s="13" t="s">
        <v>7383</v>
      </c>
      <c r="X1072" s="132">
        <v>1063</v>
      </c>
      <c r="Y1072" s="6"/>
    </row>
    <row r="1073" spans="1:25" ht="12.75" customHeight="1" x14ac:dyDescent="0.2">
      <c r="A1073" s="12" t="s">
        <v>7311</v>
      </c>
      <c r="B1073" s="92" t="s">
        <v>4978</v>
      </c>
      <c r="C1073" s="74">
        <v>46917</v>
      </c>
      <c r="D1073" s="13" t="s">
        <v>33</v>
      </c>
      <c r="E1073" s="6" t="s">
        <v>7385</v>
      </c>
      <c r="F1073" s="15" t="s">
        <v>7384</v>
      </c>
      <c r="G1073" s="6" t="s">
        <v>7386</v>
      </c>
      <c r="H1073" s="6" t="s">
        <v>7386</v>
      </c>
      <c r="I1073" s="13" t="s">
        <v>25</v>
      </c>
      <c r="J1073" s="13">
        <v>3</v>
      </c>
      <c r="K1073" s="13" t="s">
        <v>1714</v>
      </c>
      <c r="L1073" s="6" t="s">
        <v>7388</v>
      </c>
      <c r="M1073" s="108" t="s">
        <v>7387</v>
      </c>
      <c r="N1073" s="13" t="s">
        <v>5148</v>
      </c>
      <c r="O1073" s="13" t="s">
        <v>204</v>
      </c>
      <c r="P1073" s="13" t="s">
        <v>9</v>
      </c>
      <c r="Q1073" s="6" t="s">
        <v>7389</v>
      </c>
      <c r="R1073" s="17" t="s">
        <v>7390</v>
      </c>
      <c r="S1073" s="17" t="s">
        <v>7545</v>
      </c>
      <c r="T1073" s="18">
        <v>45</v>
      </c>
      <c r="U1073" s="18">
        <v>37</v>
      </c>
      <c r="V1073" s="13" t="s">
        <v>7391</v>
      </c>
      <c r="X1073" s="132">
        <v>1064</v>
      </c>
      <c r="Y1073" s="6"/>
    </row>
    <row r="1074" spans="1:25" ht="12.75" customHeight="1" x14ac:dyDescent="0.2">
      <c r="A1074" s="12" t="s">
        <v>7312</v>
      </c>
      <c r="B1074" s="13" t="s">
        <v>4977</v>
      </c>
      <c r="C1074" s="14">
        <v>46186</v>
      </c>
      <c r="D1074" s="13" t="s">
        <v>1533</v>
      </c>
      <c r="E1074" s="6" t="s">
        <v>7400</v>
      </c>
      <c r="F1074" s="15" t="s">
        <v>7537</v>
      </c>
      <c r="G1074" s="6" t="s">
        <v>7453</v>
      </c>
      <c r="H1074" s="6" t="s">
        <v>7453</v>
      </c>
      <c r="I1074" s="13" t="s">
        <v>13</v>
      </c>
      <c r="J1074" s="13">
        <v>8</v>
      </c>
      <c r="K1074" s="13" t="s">
        <v>1714</v>
      </c>
      <c r="L1074" s="6" t="s">
        <v>7457</v>
      </c>
      <c r="M1074" s="108" t="s">
        <v>7459</v>
      </c>
      <c r="N1074" s="13" t="s">
        <v>7458</v>
      </c>
      <c r="O1074" s="13" t="s">
        <v>240</v>
      </c>
      <c r="P1074" s="13" t="s">
        <v>16</v>
      </c>
      <c r="Q1074" s="6" t="s">
        <v>7454</v>
      </c>
      <c r="R1074" s="17" t="s">
        <v>7455</v>
      </c>
      <c r="S1074" s="30"/>
      <c r="T1074" s="18">
        <v>20</v>
      </c>
      <c r="U1074" s="18">
        <v>19</v>
      </c>
      <c r="V1074" s="13" t="s">
        <v>7456</v>
      </c>
      <c r="X1074" s="132">
        <v>1065</v>
      </c>
      <c r="Y1074" s="6"/>
    </row>
    <row r="1075" spans="1:25" ht="12.75" customHeight="1" x14ac:dyDescent="0.2">
      <c r="A1075" s="12" t="s">
        <v>7403</v>
      </c>
      <c r="B1075" s="92" t="s">
        <v>4978</v>
      </c>
      <c r="C1075" s="74">
        <v>46917</v>
      </c>
      <c r="D1075" s="13" t="s">
        <v>33</v>
      </c>
      <c r="E1075" s="6" t="s">
        <v>7402</v>
      </c>
      <c r="F1075" s="6" t="s">
        <v>7538</v>
      </c>
      <c r="G1075" s="6" t="s">
        <v>7401</v>
      </c>
      <c r="H1075" s="6" t="s">
        <v>7401</v>
      </c>
      <c r="I1075" s="13" t="s">
        <v>25</v>
      </c>
      <c r="J1075" s="13">
        <v>3</v>
      </c>
      <c r="K1075" s="13" t="s">
        <v>1714</v>
      </c>
      <c r="L1075" s="6" t="s">
        <v>7460</v>
      </c>
      <c r="M1075" s="108" t="s">
        <v>7461</v>
      </c>
      <c r="N1075" s="13" t="s">
        <v>4205</v>
      </c>
      <c r="O1075" s="13" t="s">
        <v>1847</v>
      </c>
      <c r="P1075" s="13" t="s">
        <v>68</v>
      </c>
      <c r="Q1075" s="6" t="s">
        <v>7462</v>
      </c>
      <c r="R1075" s="17" t="s">
        <v>7463</v>
      </c>
      <c r="S1075" s="30"/>
      <c r="T1075" s="18">
        <v>18</v>
      </c>
      <c r="U1075" s="18">
        <v>16</v>
      </c>
      <c r="V1075" s="13" t="s">
        <v>7464</v>
      </c>
      <c r="X1075" s="132">
        <v>1066</v>
      </c>
      <c r="Y1075" s="6"/>
    </row>
    <row r="1076" spans="1:25" ht="12.75" x14ac:dyDescent="0.2">
      <c r="A1076" s="12" t="s">
        <v>7404</v>
      </c>
      <c r="B1076" s="92" t="s">
        <v>4978</v>
      </c>
      <c r="C1076" s="74">
        <v>46917</v>
      </c>
      <c r="D1076" s="13" t="s">
        <v>33</v>
      </c>
      <c r="E1076" s="6" t="s">
        <v>7405</v>
      </c>
      <c r="F1076" s="6" t="s">
        <v>7539</v>
      </c>
      <c r="G1076" s="6" t="s">
        <v>7465</v>
      </c>
      <c r="H1076" s="6" t="s">
        <v>7465</v>
      </c>
      <c r="I1076" s="13" t="s">
        <v>25</v>
      </c>
      <c r="J1076" s="13">
        <v>3</v>
      </c>
      <c r="K1076" s="13" t="s">
        <v>1714</v>
      </c>
      <c r="L1076" s="6" t="s">
        <v>7466</v>
      </c>
      <c r="M1076" s="108" t="s">
        <v>7467</v>
      </c>
      <c r="N1076" s="13" t="s">
        <v>3797</v>
      </c>
      <c r="O1076" s="13" t="s">
        <v>36</v>
      </c>
      <c r="P1076" s="13" t="s">
        <v>4</v>
      </c>
      <c r="Q1076" s="6" t="s">
        <v>7468</v>
      </c>
      <c r="R1076" s="17" t="s">
        <v>7469</v>
      </c>
      <c r="S1076" s="17" t="s">
        <v>7470</v>
      </c>
      <c r="T1076" s="18">
        <v>20</v>
      </c>
      <c r="U1076" s="18">
        <v>17</v>
      </c>
      <c r="V1076" s="13" t="s">
        <v>7471</v>
      </c>
      <c r="X1076" s="132">
        <v>1067</v>
      </c>
      <c r="Y1076" s="6"/>
    </row>
    <row r="1077" spans="1:25" ht="12.75" customHeight="1" x14ac:dyDescent="0.2">
      <c r="A1077" s="12" t="s">
        <v>7407</v>
      </c>
      <c r="B1077" s="13" t="s">
        <v>4977</v>
      </c>
      <c r="C1077" s="14">
        <v>46186</v>
      </c>
      <c r="D1077" s="13" t="s">
        <v>1533</v>
      </c>
      <c r="E1077" s="6" t="s">
        <v>7406</v>
      </c>
      <c r="F1077" s="15" t="s">
        <v>7472</v>
      </c>
      <c r="G1077" s="6" t="s">
        <v>7473</v>
      </c>
      <c r="H1077" s="6" t="s">
        <v>7473</v>
      </c>
      <c r="I1077" s="13" t="s">
        <v>39</v>
      </c>
      <c r="J1077" s="13">
        <v>12</v>
      </c>
      <c r="K1077" s="13" t="s">
        <v>1714</v>
      </c>
      <c r="L1077" s="6" t="s">
        <v>7540</v>
      </c>
      <c r="M1077" s="108" t="s">
        <v>7541</v>
      </c>
      <c r="N1077" s="13" t="s">
        <v>3853</v>
      </c>
      <c r="O1077" s="13" t="s">
        <v>36</v>
      </c>
      <c r="P1077" s="13" t="s">
        <v>4</v>
      </c>
      <c r="Q1077" s="6" t="s">
        <v>7474</v>
      </c>
      <c r="R1077" s="17" t="s">
        <v>7475</v>
      </c>
      <c r="S1077" s="17" t="s">
        <v>7476</v>
      </c>
      <c r="T1077" s="18">
        <v>150</v>
      </c>
      <c r="U1077" s="18">
        <v>150</v>
      </c>
      <c r="V1077" s="13" t="s">
        <v>7477</v>
      </c>
      <c r="X1077" s="132">
        <v>1068</v>
      </c>
      <c r="Y1077" s="6"/>
    </row>
    <row r="1078" spans="1:25" ht="12.75" customHeight="1" x14ac:dyDescent="0.2">
      <c r="A1078" s="12" t="s">
        <v>7486</v>
      </c>
      <c r="B1078" s="92" t="s">
        <v>4978</v>
      </c>
      <c r="C1078" s="74">
        <v>46917</v>
      </c>
      <c r="D1078" s="13" t="s">
        <v>33</v>
      </c>
      <c r="E1078" s="6" t="s">
        <v>7490</v>
      </c>
      <c r="F1078" s="15" t="s">
        <v>7544</v>
      </c>
      <c r="G1078" s="6" t="s">
        <v>7491</v>
      </c>
      <c r="H1078" s="6" t="s">
        <v>7491</v>
      </c>
      <c r="I1078" s="13" t="s">
        <v>25</v>
      </c>
      <c r="J1078" s="13">
        <v>3</v>
      </c>
      <c r="K1078" s="13" t="s">
        <v>1714</v>
      </c>
      <c r="L1078" s="6" t="s">
        <v>7492</v>
      </c>
      <c r="M1078" s="108" t="s">
        <v>7493</v>
      </c>
      <c r="N1078" s="13" t="s">
        <v>7494</v>
      </c>
      <c r="O1078" s="13" t="s">
        <v>11948</v>
      </c>
      <c r="P1078" s="13" t="s">
        <v>68</v>
      </c>
      <c r="Q1078" s="6" t="s">
        <v>7495</v>
      </c>
      <c r="R1078" s="17" t="s">
        <v>7496</v>
      </c>
      <c r="S1078" s="30"/>
      <c r="T1078" s="18">
        <v>8</v>
      </c>
      <c r="U1078" s="18">
        <v>9</v>
      </c>
      <c r="V1078" s="13" t="s">
        <v>7497</v>
      </c>
      <c r="X1078" s="132">
        <v>1069</v>
      </c>
      <c r="Y1078" s="6"/>
    </row>
    <row r="1079" spans="1:25" ht="12.75" customHeight="1" x14ac:dyDescent="0.2">
      <c r="A1079" s="12" t="s">
        <v>7498</v>
      </c>
      <c r="B1079" s="92" t="s">
        <v>4978</v>
      </c>
      <c r="C1079" s="74">
        <v>46917</v>
      </c>
      <c r="D1079" s="13" t="s">
        <v>33</v>
      </c>
      <c r="E1079" s="6" t="s">
        <v>7499</v>
      </c>
      <c r="F1079" s="15" t="s">
        <v>7500</v>
      </c>
      <c r="G1079" s="6" t="s">
        <v>7501</v>
      </c>
      <c r="H1079" s="6" t="s">
        <v>7501</v>
      </c>
      <c r="I1079" s="13" t="s">
        <v>25</v>
      </c>
      <c r="J1079" s="13">
        <v>3</v>
      </c>
      <c r="K1079" s="13" t="s">
        <v>1714</v>
      </c>
      <c r="L1079" s="6" t="s">
        <v>7502</v>
      </c>
      <c r="M1079" s="108" t="s">
        <v>7503</v>
      </c>
      <c r="N1079" s="13" t="s">
        <v>6425</v>
      </c>
      <c r="O1079" s="13" t="s">
        <v>743</v>
      </c>
      <c r="P1079" s="13" t="s">
        <v>16</v>
      </c>
      <c r="Q1079" s="6" t="s">
        <v>7504</v>
      </c>
      <c r="R1079" s="30" t="s">
        <v>7505</v>
      </c>
      <c r="S1079" s="30"/>
      <c r="T1079" s="18">
        <v>16</v>
      </c>
      <c r="U1079" s="18">
        <v>12</v>
      </c>
      <c r="V1079" s="13" t="s">
        <v>7506</v>
      </c>
      <c r="X1079" s="132">
        <v>1070</v>
      </c>
      <c r="Y1079" s="6"/>
    </row>
    <row r="1080" spans="1:25" ht="12.75" customHeight="1" x14ac:dyDescent="0.2">
      <c r="A1080" s="12" t="s">
        <v>7507</v>
      </c>
      <c r="B1080" s="92" t="s">
        <v>4978</v>
      </c>
      <c r="C1080" s="74">
        <v>46917</v>
      </c>
      <c r="D1080" s="13" t="s">
        <v>33</v>
      </c>
      <c r="E1080" s="6" t="s">
        <v>7508</v>
      </c>
      <c r="F1080" s="15" t="s">
        <v>7509</v>
      </c>
      <c r="G1080" s="6" t="s">
        <v>7510</v>
      </c>
      <c r="H1080" s="6" t="s">
        <v>7510</v>
      </c>
      <c r="I1080" s="13" t="s">
        <v>25</v>
      </c>
      <c r="J1080" s="13">
        <v>3</v>
      </c>
      <c r="K1080" s="13" t="s">
        <v>1714</v>
      </c>
      <c r="L1080" s="6" t="s">
        <v>7511</v>
      </c>
      <c r="M1080" s="108" t="s">
        <v>7512</v>
      </c>
      <c r="N1080" s="13" t="s">
        <v>4205</v>
      </c>
      <c r="O1080" s="13" t="s">
        <v>1847</v>
      </c>
      <c r="P1080" s="13" t="s">
        <v>68</v>
      </c>
      <c r="Q1080" s="6" t="s">
        <v>7513</v>
      </c>
      <c r="R1080" s="17" t="s">
        <v>7514</v>
      </c>
      <c r="S1080" s="30"/>
      <c r="T1080" s="18">
        <v>42</v>
      </c>
      <c r="U1080" s="18">
        <v>36</v>
      </c>
      <c r="V1080" s="13" t="s">
        <v>7515</v>
      </c>
      <c r="X1080" s="132">
        <v>1071</v>
      </c>
      <c r="Y1080" s="6"/>
    </row>
    <row r="1081" spans="1:25" ht="12.75" customHeight="1" x14ac:dyDescent="0.2">
      <c r="A1081" s="12" t="s">
        <v>7516</v>
      </c>
      <c r="B1081" s="13" t="s">
        <v>4978</v>
      </c>
      <c r="C1081" s="14">
        <v>47679</v>
      </c>
      <c r="D1081" s="13" t="s">
        <v>33</v>
      </c>
      <c r="E1081" s="6" t="s">
        <v>12123</v>
      </c>
      <c r="F1081" s="15" t="s">
        <v>7518</v>
      </c>
      <c r="G1081" s="6" t="s">
        <v>7519</v>
      </c>
      <c r="H1081" s="6" t="s">
        <v>7519</v>
      </c>
      <c r="I1081" s="13" t="s">
        <v>25</v>
      </c>
      <c r="J1081" s="13">
        <v>3</v>
      </c>
      <c r="K1081" s="13" t="s">
        <v>1714</v>
      </c>
      <c r="L1081" s="6" t="s">
        <v>7520</v>
      </c>
      <c r="M1081" s="108" t="s">
        <v>7521</v>
      </c>
      <c r="N1081" s="13" t="s">
        <v>2634</v>
      </c>
      <c r="O1081" s="13" t="s">
        <v>61</v>
      </c>
      <c r="P1081" s="13" t="s">
        <v>9</v>
      </c>
      <c r="Q1081" s="6" t="s">
        <v>7522</v>
      </c>
      <c r="R1081" s="17" t="s">
        <v>7523</v>
      </c>
      <c r="S1081" s="17" t="s">
        <v>2853</v>
      </c>
      <c r="T1081" s="18">
        <v>28</v>
      </c>
      <c r="U1081" s="18">
        <v>27</v>
      </c>
      <c r="V1081" s="13" t="s">
        <v>7524</v>
      </c>
      <c r="X1081" s="132">
        <v>1072</v>
      </c>
      <c r="Y1081" s="6"/>
    </row>
    <row r="1082" spans="1:25" ht="12.75" customHeight="1" x14ac:dyDescent="0.2">
      <c r="A1082" s="12" t="s">
        <v>7517</v>
      </c>
      <c r="B1082" s="92" t="s">
        <v>4978</v>
      </c>
      <c r="C1082" s="74">
        <v>46917</v>
      </c>
      <c r="D1082" s="13" t="s">
        <v>33</v>
      </c>
      <c r="E1082" s="6" t="s">
        <v>7525</v>
      </c>
      <c r="F1082" s="15" t="s">
        <v>7526</v>
      </c>
      <c r="G1082" s="6" t="s">
        <v>7527</v>
      </c>
      <c r="H1082" s="6" t="s">
        <v>7527</v>
      </c>
      <c r="I1082" s="13" t="s">
        <v>25</v>
      </c>
      <c r="J1082" s="13">
        <v>3</v>
      </c>
      <c r="K1082" s="13" t="s">
        <v>1714</v>
      </c>
      <c r="L1082" s="6" t="s">
        <v>7528</v>
      </c>
      <c r="M1082" s="108" t="s">
        <v>7529</v>
      </c>
      <c r="N1082" s="13" t="s">
        <v>7530</v>
      </c>
      <c r="O1082" s="13" t="s">
        <v>2146</v>
      </c>
      <c r="P1082" s="13" t="s">
        <v>68</v>
      </c>
      <c r="Q1082" s="6" t="s">
        <v>7581</v>
      </c>
      <c r="R1082" s="17" t="s">
        <v>7531</v>
      </c>
      <c r="S1082" s="30"/>
      <c r="T1082" s="18">
        <v>24</v>
      </c>
      <c r="U1082" s="18">
        <v>20</v>
      </c>
      <c r="V1082" s="13" t="s">
        <v>7532</v>
      </c>
      <c r="X1082" s="132">
        <v>1073</v>
      </c>
      <c r="Y1082" s="6"/>
    </row>
    <row r="1083" spans="1:25" ht="12.75" customHeight="1" x14ac:dyDescent="0.2">
      <c r="A1083" s="12" t="s">
        <v>8377</v>
      </c>
      <c r="B1083" s="13" t="s">
        <v>4977</v>
      </c>
      <c r="C1083" s="14">
        <v>46201</v>
      </c>
      <c r="D1083" s="13" t="s">
        <v>1533</v>
      </c>
      <c r="E1083" s="16" t="s">
        <v>7575</v>
      </c>
      <c r="F1083" s="26" t="s">
        <v>7576</v>
      </c>
      <c r="G1083" s="66" t="s">
        <v>7586</v>
      </c>
      <c r="H1083" s="6" t="s">
        <v>7577</v>
      </c>
      <c r="I1083" s="13" t="s">
        <v>39</v>
      </c>
      <c r="J1083" s="13">
        <v>12</v>
      </c>
      <c r="K1083" s="13" t="s">
        <v>6574</v>
      </c>
      <c r="L1083" s="6" t="s">
        <v>7578</v>
      </c>
      <c r="M1083" s="108" t="s">
        <v>7579</v>
      </c>
      <c r="N1083" s="13" t="s">
        <v>7580</v>
      </c>
      <c r="O1083" s="13" t="s">
        <v>2146</v>
      </c>
      <c r="P1083" s="13" t="s">
        <v>68</v>
      </c>
      <c r="Q1083" s="6" t="s">
        <v>7582</v>
      </c>
      <c r="R1083" s="25" t="s">
        <v>7583</v>
      </c>
      <c r="S1083" s="25" t="s">
        <v>7584</v>
      </c>
      <c r="T1083" s="18">
        <v>360</v>
      </c>
      <c r="U1083" s="18">
        <v>360</v>
      </c>
      <c r="V1083" s="13" t="s">
        <v>7585</v>
      </c>
      <c r="X1083" s="132">
        <v>1074</v>
      </c>
      <c r="Y1083" s="6"/>
    </row>
    <row r="1084" spans="1:25" ht="12.75" customHeight="1" x14ac:dyDescent="0.2">
      <c r="A1084" s="12" t="s">
        <v>8378</v>
      </c>
      <c r="B1084" s="92" t="s">
        <v>4978</v>
      </c>
      <c r="C1084" s="74">
        <v>46932</v>
      </c>
      <c r="D1084" s="13" t="s">
        <v>1533</v>
      </c>
      <c r="E1084" s="6" t="s">
        <v>7591</v>
      </c>
      <c r="F1084" s="15" t="s">
        <v>7592</v>
      </c>
      <c r="G1084" s="6" t="s">
        <v>7593</v>
      </c>
      <c r="H1084" s="6" t="s">
        <v>7593</v>
      </c>
      <c r="I1084" s="13" t="s">
        <v>13</v>
      </c>
      <c r="J1084" s="13">
        <v>8</v>
      </c>
      <c r="K1084" s="13" t="s">
        <v>1714</v>
      </c>
      <c r="L1084" s="6" t="s">
        <v>7594</v>
      </c>
      <c r="M1084" s="108" t="s">
        <v>7595</v>
      </c>
      <c r="N1084" s="13" t="s">
        <v>7596</v>
      </c>
      <c r="O1084" s="13" t="s">
        <v>165</v>
      </c>
      <c r="P1084" s="13" t="s">
        <v>9</v>
      </c>
      <c r="Q1084" s="6" t="s">
        <v>7597</v>
      </c>
      <c r="R1084" s="25" t="s">
        <v>7598</v>
      </c>
      <c r="S1084" s="30"/>
      <c r="T1084" s="18">
        <v>30</v>
      </c>
      <c r="U1084" s="18">
        <v>19</v>
      </c>
      <c r="V1084" s="13" t="s">
        <v>7599</v>
      </c>
      <c r="X1084" s="132">
        <v>1075</v>
      </c>
      <c r="Y1084" s="6"/>
    </row>
    <row r="1085" spans="1:25" ht="12.75" customHeight="1" x14ac:dyDescent="0.2">
      <c r="A1085" s="12" t="s">
        <v>8379</v>
      </c>
      <c r="B1085" s="92" t="s">
        <v>4978</v>
      </c>
      <c r="C1085" s="74">
        <v>46932</v>
      </c>
      <c r="D1085" s="13" t="s">
        <v>33</v>
      </c>
      <c r="E1085" s="6" t="s">
        <v>4493</v>
      </c>
      <c r="F1085" s="15" t="s">
        <v>7600</v>
      </c>
      <c r="G1085" s="6" t="s">
        <v>4492</v>
      </c>
      <c r="H1085" s="6" t="s">
        <v>4492</v>
      </c>
      <c r="I1085" s="13" t="s">
        <v>25</v>
      </c>
      <c r="J1085" s="13">
        <v>3</v>
      </c>
      <c r="K1085" s="13" t="s">
        <v>1714</v>
      </c>
      <c r="L1085" s="6" t="s">
        <v>7601</v>
      </c>
      <c r="M1085" s="108" t="s">
        <v>7602</v>
      </c>
      <c r="N1085" s="13" t="s">
        <v>4496</v>
      </c>
      <c r="O1085" s="13" t="s">
        <v>204</v>
      </c>
      <c r="P1085" s="13" t="s">
        <v>9</v>
      </c>
      <c r="Q1085" s="6" t="s">
        <v>7603</v>
      </c>
      <c r="R1085" s="25" t="s">
        <v>7604</v>
      </c>
      <c r="S1085" s="30"/>
      <c r="T1085" s="18">
        <v>24</v>
      </c>
      <c r="U1085" s="18">
        <v>22</v>
      </c>
      <c r="V1085" s="13" t="s">
        <v>7608</v>
      </c>
      <c r="X1085" s="132">
        <v>1076</v>
      </c>
      <c r="Y1085" s="6"/>
    </row>
    <row r="1086" spans="1:25" ht="12.75" customHeight="1" x14ac:dyDescent="0.2">
      <c r="A1086" s="12" t="s">
        <v>8381</v>
      </c>
      <c r="B1086" s="92" t="s">
        <v>4978</v>
      </c>
      <c r="C1086" s="74">
        <v>46980</v>
      </c>
      <c r="D1086" s="13" t="s">
        <v>33</v>
      </c>
      <c r="E1086" s="6" t="s">
        <v>7610</v>
      </c>
      <c r="F1086" s="15" t="s">
        <v>7611</v>
      </c>
      <c r="G1086" s="6" t="s">
        <v>7612</v>
      </c>
      <c r="H1086" s="6" t="s">
        <v>7612</v>
      </c>
      <c r="I1086" s="13" t="s">
        <v>25</v>
      </c>
      <c r="J1086" s="13">
        <v>3</v>
      </c>
      <c r="K1086" s="13" t="s">
        <v>1714</v>
      </c>
      <c r="L1086" s="6" t="s">
        <v>7613</v>
      </c>
      <c r="M1086" s="108" t="s">
        <v>7817</v>
      </c>
      <c r="N1086" s="13" t="s">
        <v>2470</v>
      </c>
      <c r="O1086" s="13" t="s">
        <v>136</v>
      </c>
      <c r="P1086" s="13" t="s">
        <v>4</v>
      </c>
      <c r="Q1086" s="6" t="s">
        <v>7616</v>
      </c>
      <c r="R1086" s="25" t="s">
        <v>7615</v>
      </c>
      <c r="S1086" s="25" t="s">
        <v>7614</v>
      </c>
      <c r="T1086" s="18">
        <v>17</v>
      </c>
      <c r="U1086" s="18">
        <v>15</v>
      </c>
      <c r="V1086" s="13" t="s">
        <v>7609</v>
      </c>
      <c r="X1086" s="132">
        <v>1077</v>
      </c>
      <c r="Y1086" s="6"/>
    </row>
    <row r="1087" spans="1:25" ht="12.75" customHeight="1" x14ac:dyDescent="0.2">
      <c r="A1087" s="12" t="s">
        <v>8380</v>
      </c>
      <c r="B1087" s="92" t="s">
        <v>4978</v>
      </c>
      <c r="C1087" s="74">
        <v>46980</v>
      </c>
      <c r="D1087" s="13" t="s">
        <v>33</v>
      </c>
      <c r="E1087" s="6" t="s">
        <v>7769</v>
      </c>
      <c r="F1087" s="15" t="s">
        <v>7770</v>
      </c>
      <c r="G1087" s="6" t="s">
        <v>7771</v>
      </c>
      <c r="H1087" s="6" t="s">
        <v>7771</v>
      </c>
      <c r="I1087" s="13" t="s">
        <v>25</v>
      </c>
      <c r="J1087" s="13">
        <v>3</v>
      </c>
      <c r="K1087" s="13" t="s">
        <v>1714</v>
      </c>
      <c r="L1087" s="6" t="s">
        <v>7772</v>
      </c>
      <c r="M1087" s="108" t="s">
        <v>7818</v>
      </c>
      <c r="N1087" s="13" t="s">
        <v>7773</v>
      </c>
      <c r="O1087" s="13" t="s">
        <v>97</v>
      </c>
      <c r="P1087" s="13" t="s">
        <v>4</v>
      </c>
      <c r="Q1087" s="6" t="s">
        <v>7774</v>
      </c>
      <c r="R1087" s="25" t="s">
        <v>7775</v>
      </c>
      <c r="S1087" s="25" t="s">
        <v>7776</v>
      </c>
      <c r="T1087" s="18">
        <v>35</v>
      </c>
      <c r="U1087" s="18">
        <v>20</v>
      </c>
      <c r="V1087" s="13" t="s">
        <v>7777</v>
      </c>
      <c r="X1087" s="132">
        <v>1078</v>
      </c>
      <c r="Y1087" s="6"/>
    </row>
    <row r="1088" spans="1:25" ht="12.75" customHeight="1" x14ac:dyDescent="0.2">
      <c r="A1088" s="12" t="s">
        <v>8382</v>
      </c>
      <c r="B1088" s="13" t="s">
        <v>4978</v>
      </c>
      <c r="C1088" s="14">
        <v>46980</v>
      </c>
      <c r="D1088" s="13" t="s">
        <v>1533</v>
      </c>
      <c r="E1088" s="6" t="s">
        <v>7778</v>
      </c>
      <c r="F1088" s="15" t="s">
        <v>7779</v>
      </c>
      <c r="G1088" s="6" t="s">
        <v>7780</v>
      </c>
      <c r="H1088" s="6" t="s">
        <v>7780</v>
      </c>
      <c r="I1088" s="13" t="s">
        <v>7931</v>
      </c>
      <c r="J1088" s="13">
        <v>9</v>
      </c>
      <c r="K1088" s="13" t="s">
        <v>6603</v>
      </c>
      <c r="L1088" s="6" t="s">
        <v>7983</v>
      </c>
      <c r="M1088" s="108" t="s">
        <v>7819</v>
      </c>
      <c r="N1088" s="13" t="s">
        <v>27</v>
      </c>
      <c r="O1088" s="13" t="s">
        <v>27</v>
      </c>
      <c r="P1088" s="13" t="s">
        <v>9</v>
      </c>
      <c r="Q1088" s="6" t="s">
        <v>7781</v>
      </c>
      <c r="R1088" s="25" t="s">
        <v>7782</v>
      </c>
      <c r="S1088" s="30"/>
      <c r="T1088" s="18">
        <v>30</v>
      </c>
      <c r="U1088" s="18">
        <v>30</v>
      </c>
      <c r="V1088" s="13" t="s">
        <v>7783</v>
      </c>
      <c r="X1088" s="132">
        <v>1079</v>
      </c>
      <c r="Y1088" s="6"/>
    </row>
    <row r="1089" spans="1:25" ht="12.75" customHeight="1" x14ac:dyDescent="0.2">
      <c r="A1089" s="12" t="s">
        <v>8383</v>
      </c>
      <c r="B1089" s="92" t="s">
        <v>4978</v>
      </c>
      <c r="C1089" s="74">
        <v>46980</v>
      </c>
      <c r="D1089" s="13" t="s">
        <v>33</v>
      </c>
      <c r="E1089" s="6" t="s">
        <v>7784</v>
      </c>
      <c r="F1089" s="15" t="s">
        <v>7785</v>
      </c>
      <c r="G1089" s="6" t="s">
        <v>7786</v>
      </c>
      <c r="H1089" s="6" t="s">
        <v>7786</v>
      </c>
      <c r="I1089" s="13" t="s">
        <v>25</v>
      </c>
      <c r="J1089" s="13">
        <v>3</v>
      </c>
      <c r="K1089" s="13" t="s">
        <v>1714</v>
      </c>
      <c r="L1089" s="6" t="s">
        <v>7787</v>
      </c>
      <c r="M1089" s="108" t="s">
        <v>7820</v>
      </c>
      <c r="N1089" s="13" t="s">
        <v>2391</v>
      </c>
      <c r="O1089" s="13" t="s">
        <v>2146</v>
      </c>
      <c r="P1089" s="13" t="s">
        <v>68</v>
      </c>
      <c r="Q1089" s="6" t="s">
        <v>7788</v>
      </c>
      <c r="R1089" s="25" t="s">
        <v>7789</v>
      </c>
      <c r="S1089" s="25" t="s">
        <v>7790</v>
      </c>
      <c r="T1089" s="18">
        <v>70</v>
      </c>
      <c r="U1089" s="18">
        <v>62</v>
      </c>
      <c r="V1089" s="13" t="s">
        <v>7791</v>
      </c>
      <c r="X1089" s="132">
        <v>1080</v>
      </c>
      <c r="Y1089" s="6"/>
    </row>
    <row r="1090" spans="1:25" ht="12.75" customHeight="1" x14ac:dyDescent="0.2">
      <c r="A1090" s="12" t="s">
        <v>8384</v>
      </c>
      <c r="B1090" s="92" t="s">
        <v>4978</v>
      </c>
      <c r="C1090" s="74">
        <v>46980</v>
      </c>
      <c r="D1090" s="13" t="s">
        <v>33</v>
      </c>
      <c r="E1090" s="6" t="s">
        <v>7792</v>
      </c>
      <c r="F1090" s="15" t="s">
        <v>7793</v>
      </c>
      <c r="G1090" s="6" t="s">
        <v>7794</v>
      </c>
      <c r="H1090" s="6" t="s">
        <v>7794</v>
      </c>
      <c r="I1090" s="13" t="s">
        <v>25</v>
      </c>
      <c r="J1090" s="13">
        <v>3</v>
      </c>
      <c r="K1090" s="13" t="s">
        <v>1714</v>
      </c>
      <c r="L1090" s="6" t="s">
        <v>7795</v>
      </c>
      <c r="M1090" s="108" t="s">
        <v>7821</v>
      </c>
      <c r="N1090" s="13" t="s">
        <v>7796</v>
      </c>
      <c r="O1090" s="13" t="s">
        <v>1055</v>
      </c>
      <c r="P1090" s="13" t="s">
        <v>16</v>
      </c>
      <c r="Q1090" s="6" t="s">
        <v>7797</v>
      </c>
      <c r="R1090" s="25" t="s">
        <v>638</v>
      </c>
      <c r="S1090" s="25" t="s">
        <v>4414</v>
      </c>
      <c r="T1090" s="18">
        <v>14</v>
      </c>
      <c r="U1090" s="18">
        <v>14</v>
      </c>
      <c r="V1090" s="13" t="s">
        <v>7798</v>
      </c>
      <c r="X1090" s="132">
        <v>1081</v>
      </c>
      <c r="Y1090" s="6"/>
    </row>
    <row r="1091" spans="1:25" ht="12.75" customHeight="1" x14ac:dyDescent="0.2">
      <c r="A1091" s="12" t="s">
        <v>8385</v>
      </c>
      <c r="B1091" s="92" t="s">
        <v>4978</v>
      </c>
      <c r="C1091" s="74">
        <v>46980</v>
      </c>
      <c r="D1091" s="13" t="s">
        <v>33</v>
      </c>
      <c r="E1091" s="6" t="s">
        <v>7799</v>
      </c>
      <c r="F1091" s="15" t="s">
        <v>7800</v>
      </c>
      <c r="G1091" s="6" t="s">
        <v>7801</v>
      </c>
      <c r="H1091" s="6" t="s">
        <v>7801</v>
      </c>
      <c r="I1091" s="13" t="s">
        <v>25</v>
      </c>
      <c r="J1091" s="13">
        <v>3</v>
      </c>
      <c r="K1091" s="13" t="s">
        <v>1714</v>
      </c>
      <c r="L1091" s="6" t="s">
        <v>7802</v>
      </c>
      <c r="M1091" s="108" t="s">
        <v>7822</v>
      </c>
      <c r="N1091" s="13" t="s">
        <v>7803</v>
      </c>
      <c r="O1091" s="13" t="s">
        <v>61</v>
      </c>
      <c r="P1091" s="13" t="s">
        <v>9</v>
      </c>
      <c r="Q1091" s="6" t="s">
        <v>7804</v>
      </c>
      <c r="R1091" s="25" t="s">
        <v>4740</v>
      </c>
      <c r="S1091" s="25" t="s">
        <v>4741</v>
      </c>
      <c r="T1091" s="18">
        <v>28</v>
      </c>
      <c r="U1091" s="18">
        <v>26</v>
      </c>
      <c r="V1091" s="13" t="s">
        <v>7805</v>
      </c>
      <c r="X1091" s="132">
        <v>1082</v>
      </c>
      <c r="Y1091" s="6"/>
    </row>
    <row r="1092" spans="1:25" ht="12.75" customHeight="1" x14ac:dyDescent="0.2">
      <c r="A1092" s="12" t="s">
        <v>8386</v>
      </c>
      <c r="B1092" s="13" t="s">
        <v>4977</v>
      </c>
      <c r="C1092" s="14">
        <v>46249</v>
      </c>
      <c r="D1092" s="13" t="s">
        <v>1533</v>
      </c>
      <c r="E1092" s="6" t="s">
        <v>7806</v>
      </c>
      <c r="F1092" s="15" t="s">
        <v>7807</v>
      </c>
      <c r="G1092" s="6" t="s">
        <v>7808</v>
      </c>
      <c r="H1092" s="6" t="s">
        <v>7808</v>
      </c>
      <c r="I1092" s="13" t="s">
        <v>39</v>
      </c>
      <c r="J1092" s="13">
        <v>12</v>
      </c>
      <c r="K1092" s="13" t="s">
        <v>7032</v>
      </c>
      <c r="L1092" s="6" t="s">
        <v>7809</v>
      </c>
      <c r="M1092" s="108" t="s">
        <v>7823</v>
      </c>
      <c r="N1092" s="13" t="s">
        <v>7651</v>
      </c>
      <c r="O1092" s="13" t="s">
        <v>53</v>
      </c>
      <c r="P1092" s="13" t="s">
        <v>54</v>
      </c>
      <c r="Q1092" s="6" t="s">
        <v>7810</v>
      </c>
      <c r="R1092" s="25" t="s">
        <v>7811</v>
      </c>
      <c r="S1092" s="25" t="s">
        <v>7812</v>
      </c>
      <c r="T1092" s="18">
        <v>212</v>
      </c>
      <c r="U1092" s="18">
        <v>162</v>
      </c>
      <c r="V1092" s="13" t="s">
        <v>7813</v>
      </c>
      <c r="X1092" s="132">
        <v>1083</v>
      </c>
      <c r="Y1092" s="6"/>
    </row>
    <row r="1093" spans="1:25" ht="12.75" customHeight="1" x14ac:dyDescent="0.2">
      <c r="A1093" s="12" t="s">
        <v>8387</v>
      </c>
      <c r="B1093" s="92" t="s">
        <v>4978</v>
      </c>
      <c r="C1093" s="74">
        <v>46980</v>
      </c>
      <c r="D1093" s="13" t="s">
        <v>1533</v>
      </c>
      <c r="E1093" s="6" t="s">
        <v>7814</v>
      </c>
      <c r="F1093" s="15" t="s">
        <v>9161</v>
      </c>
      <c r="G1093" s="6" t="s">
        <v>7815</v>
      </c>
      <c r="H1093" s="6" t="s">
        <v>7815</v>
      </c>
      <c r="I1093" s="13" t="s">
        <v>13</v>
      </c>
      <c r="J1093" s="13">
        <v>7</v>
      </c>
      <c r="K1093" s="13" t="s">
        <v>6603</v>
      </c>
      <c r="L1093" s="6" t="s">
        <v>7816</v>
      </c>
      <c r="M1093" s="108" t="s">
        <v>7984</v>
      </c>
      <c r="N1093" s="13" t="s">
        <v>7824</v>
      </c>
      <c r="O1093" s="13" t="s">
        <v>165</v>
      </c>
      <c r="P1093" s="13" t="s">
        <v>9</v>
      </c>
      <c r="Q1093" s="6" t="s">
        <v>7825</v>
      </c>
      <c r="R1093" s="25" t="s">
        <v>7826</v>
      </c>
      <c r="S1093" s="25" t="s">
        <v>7827</v>
      </c>
      <c r="T1093" s="18">
        <v>130</v>
      </c>
      <c r="U1093" s="18">
        <v>25</v>
      </c>
      <c r="V1093" s="13" t="s">
        <v>7828</v>
      </c>
      <c r="X1093" s="132">
        <v>1084</v>
      </c>
      <c r="Y1093" s="6"/>
    </row>
    <row r="1094" spans="1:25" ht="15" customHeight="1" x14ac:dyDescent="0.25">
      <c r="A1094" s="12" t="s">
        <v>9429</v>
      </c>
      <c r="B1094" s="92" t="s">
        <v>4978</v>
      </c>
      <c r="C1094" s="74">
        <v>47176</v>
      </c>
      <c r="D1094" s="13" t="s">
        <v>1533</v>
      </c>
      <c r="E1094" s="6" t="s">
        <v>7814</v>
      </c>
      <c r="F1094" s="15" t="s">
        <v>9430</v>
      </c>
      <c r="G1094" s="6" t="s">
        <v>7815</v>
      </c>
      <c r="H1094" s="6" t="s">
        <v>7815</v>
      </c>
      <c r="I1094" s="13" t="s">
        <v>105</v>
      </c>
      <c r="J1094" s="13">
        <v>10</v>
      </c>
      <c r="K1094" s="13" t="s">
        <v>6603</v>
      </c>
      <c r="L1094" s="6" t="s">
        <v>9431</v>
      </c>
      <c r="M1094" s="108" t="s">
        <v>9432</v>
      </c>
      <c r="N1094" s="13" t="s">
        <v>9433</v>
      </c>
      <c r="O1094" s="13" t="s">
        <v>21</v>
      </c>
      <c r="P1094" s="13" t="s">
        <v>9</v>
      </c>
      <c r="Q1094" s="6" t="s">
        <v>9434</v>
      </c>
      <c r="R1094" s="69" t="s">
        <v>7826</v>
      </c>
      <c r="S1094" s="69" t="s">
        <v>7827</v>
      </c>
      <c r="T1094" s="18">
        <v>100</v>
      </c>
      <c r="U1094" s="18">
        <v>100</v>
      </c>
      <c r="V1094" s="13" t="s">
        <v>9435</v>
      </c>
      <c r="X1094" s="132">
        <v>1085</v>
      </c>
      <c r="Y1094" s="6"/>
    </row>
    <row r="1095" spans="1:25" ht="12.75" customHeight="1" x14ac:dyDescent="0.2">
      <c r="A1095" s="12" t="s">
        <v>12273</v>
      </c>
      <c r="B1095" s="13" t="s">
        <v>4977</v>
      </c>
      <c r="C1095" s="14">
        <v>46949</v>
      </c>
      <c r="D1095" s="13"/>
      <c r="E1095" s="6" t="s">
        <v>7833</v>
      </c>
      <c r="F1095" s="15" t="s">
        <v>7829</v>
      </c>
      <c r="G1095" s="6" t="s">
        <v>7830</v>
      </c>
      <c r="H1095" s="6" t="s">
        <v>7830</v>
      </c>
      <c r="I1095" s="13" t="s">
        <v>39</v>
      </c>
      <c r="J1095" s="13">
        <v>12</v>
      </c>
      <c r="K1095" s="13" t="s">
        <v>7032</v>
      </c>
      <c r="L1095" s="6" t="s">
        <v>7831</v>
      </c>
      <c r="M1095" s="108" t="s">
        <v>7832</v>
      </c>
      <c r="N1095" s="13" t="s">
        <v>6296</v>
      </c>
      <c r="O1095" s="13" t="s">
        <v>53</v>
      </c>
      <c r="P1095" s="13" t="s">
        <v>54</v>
      </c>
      <c r="Q1095" s="6" t="s">
        <v>12272</v>
      </c>
      <c r="R1095" s="25" t="s">
        <v>7834</v>
      </c>
      <c r="S1095" s="30"/>
      <c r="T1095" s="18">
        <v>244</v>
      </c>
      <c r="U1095" s="18">
        <v>244</v>
      </c>
      <c r="V1095" s="13" t="s">
        <v>7835</v>
      </c>
      <c r="X1095" s="132">
        <v>1086</v>
      </c>
      <c r="Y1095" s="6"/>
    </row>
    <row r="1096" spans="1:25" ht="12.75" customHeight="1" x14ac:dyDescent="0.25">
      <c r="A1096" s="12" t="s">
        <v>12274</v>
      </c>
      <c r="B1096" s="13" t="s">
        <v>4977</v>
      </c>
      <c r="C1096" s="14">
        <v>46949</v>
      </c>
      <c r="D1096" s="13"/>
      <c r="E1096" s="6" t="s">
        <v>7833</v>
      </c>
      <c r="F1096" s="15" t="s">
        <v>12275</v>
      </c>
      <c r="G1096" s="6" t="s">
        <v>7830</v>
      </c>
      <c r="H1096" s="6" t="s">
        <v>7830</v>
      </c>
      <c r="I1096" s="13" t="s">
        <v>39</v>
      </c>
      <c r="J1096" s="13">
        <v>12</v>
      </c>
      <c r="K1096" s="13" t="s">
        <v>7032</v>
      </c>
      <c r="L1096" s="6" t="s">
        <v>2874</v>
      </c>
      <c r="M1096" s="108"/>
      <c r="N1096" s="13" t="s">
        <v>36</v>
      </c>
      <c r="O1096" s="13" t="s">
        <v>36</v>
      </c>
      <c r="P1096" s="13" t="s">
        <v>54</v>
      </c>
      <c r="Q1096" s="6" t="s">
        <v>5572</v>
      </c>
      <c r="R1096" s="69" t="s">
        <v>7834</v>
      </c>
      <c r="S1096" s="30"/>
      <c r="T1096" s="18">
        <v>250</v>
      </c>
      <c r="U1096" s="18">
        <v>250</v>
      </c>
      <c r="V1096" s="13" t="s">
        <v>7835</v>
      </c>
      <c r="X1096" s="132"/>
      <c r="Y1096" s="6"/>
    </row>
    <row r="1097" spans="1:25" ht="12.75" customHeight="1" x14ac:dyDescent="0.2">
      <c r="A1097" s="12" t="s">
        <v>8388</v>
      </c>
      <c r="B1097" s="92" t="s">
        <v>4978</v>
      </c>
      <c r="C1097" s="74">
        <v>46980</v>
      </c>
      <c r="D1097" s="13" t="s">
        <v>33</v>
      </c>
      <c r="E1097" s="6" t="s">
        <v>7836</v>
      </c>
      <c r="F1097" s="15" t="s">
        <v>7837</v>
      </c>
      <c r="G1097" s="6" t="s">
        <v>7838</v>
      </c>
      <c r="H1097" s="6" t="s">
        <v>7838</v>
      </c>
      <c r="I1097" s="13" t="s">
        <v>25</v>
      </c>
      <c r="J1097" s="13">
        <v>3</v>
      </c>
      <c r="K1097" s="13" t="s">
        <v>1714</v>
      </c>
      <c r="L1097" s="6" t="s">
        <v>2430</v>
      </c>
      <c r="M1097" s="108" t="s">
        <v>2432</v>
      </c>
      <c r="N1097" s="13" t="s">
        <v>2431</v>
      </c>
      <c r="O1097" s="13" t="s">
        <v>61</v>
      </c>
      <c r="P1097" s="13" t="s">
        <v>9</v>
      </c>
      <c r="Q1097" s="6" t="s">
        <v>7839</v>
      </c>
      <c r="R1097" s="25" t="s">
        <v>7840</v>
      </c>
      <c r="S1097" s="30"/>
      <c r="T1097" s="18">
        <v>24</v>
      </c>
      <c r="U1097" s="18">
        <v>23</v>
      </c>
      <c r="V1097" s="13" t="s">
        <v>7841</v>
      </c>
      <c r="X1097" s="132">
        <v>1087</v>
      </c>
      <c r="Y1097" s="6"/>
    </row>
    <row r="1098" spans="1:25" ht="12.75" customHeight="1" x14ac:dyDescent="0.2">
      <c r="A1098" s="12" t="s">
        <v>8431</v>
      </c>
      <c r="B1098" s="92" t="s">
        <v>4978</v>
      </c>
      <c r="C1098" s="74">
        <v>46980</v>
      </c>
      <c r="D1098" s="13" t="s">
        <v>33</v>
      </c>
      <c r="E1098" s="6" t="s">
        <v>1381</v>
      </c>
      <c r="F1098" s="15" t="s">
        <v>7842</v>
      </c>
      <c r="G1098" s="6" t="s">
        <v>7843</v>
      </c>
      <c r="H1098" s="6" t="s">
        <v>7843</v>
      </c>
      <c r="I1098" s="13" t="s">
        <v>25</v>
      </c>
      <c r="J1098" s="13">
        <v>3</v>
      </c>
      <c r="K1098" s="13" t="s">
        <v>1714</v>
      </c>
      <c r="L1098" s="6" t="s">
        <v>7844</v>
      </c>
      <c r="M1098" s="108" t="s">
        <v>4738</v>
      </c>
      <c r="N1098" s="13" t="s">
        <v>7803</v>
      </c>
      <c r="O1098" s="13" t="s">
        <v>61</v>
      </c>
      <c r="P1098" s="13" t="s">
        <v>9</v>
      </c>
      <c r="Q1098" s="6" t="s">
        <v>7845</v>
      </c>
      <c r="R1098" s="25" t="s">
        <v>7846</v>
      </c>
      <c r="S1098" s="30"/>
      <c r="T1098" s="18">
        <v>18</v>
      </c>
      <c r="U1098" s="18">
        <v>13</v>
      </c>
      <c r="V1098" s="13" t="s">
        <v>7847</v>
      </c>
      <c r="X1098" s="132">
        <v>1088</v>
      </c>
      <c r="Y1098" s="6"/>
    </row>
    <row r="1099" spans="1:25" ht="12.75" customHeight="1" x14ac:dyDescent="0.2">
      <c r="A1099" s="12" t="s">
        <v>8430</v>
      </c>
      <c r="B1099" s="13" t="s">
        <v>4977</v>
      </c>
      <c r="C1099" s="14">
        <v>46249</v>
      </c>
      <c r="D1099" s="13" t="s">
        <v>1533</v>
      </c>
      <c r="E1099" s="6" t="s">
        <v>7874</v>
      </c>
      <c r="F1099" s="15" t="s">
        <v>7889</v>
      </c>
      <c r="G1099" s="6" t="s">
        <v>7875</v>
      </c>
      <c r="H1099" s="6" t="s">
        <v>7875</v>
      </c>
      <c r="I1099" s="13" t="s">
        <v>39</v>
      </c>
      <c r="J1099" s="13">
        <v>12</v>
      </c>
      <c r="K1099" s="13" t="s">
        <v>7032</v>
      </c>
      <c r="L1099" s="6" t="s">
        <v>7876</v>
      </c>
      <c r="M1099" s="108" t="s">
        <v>7877</v>
      </c>
      <c r="N1099" s="13" t="s">
        <v>4114</v>
      </c>
      <c r="O1099" s="13" t="s">
        <v>1847</v>
      </c>
      <c r="P1099" s="13" t="s">
        <v>68</v>
      </c>
      <c r="Q1099" s="6" t="s">
        <v>7878</v>
      </c>
      <c r="R1099" s="25" t="s">
        <v>7879</v>
      </c>
      <c r="S1099" s="25" t="s">
        <v>7880</v>
      </c>
      <c r="T1099" s="18">
        <v>100</v>
      </c>
      <c r="U1099" s="18">
        <v>80</v>
      </c>
      <c r="V1099" s="26" t="s">
        <v>7881</v>
      </c>
      <c r="X1099" s="132">
        <v>1089</v>
      </c>
      <c r="Y1099" s="6"/>
    </row>
    <row r="1100" spans="1:25" ht="12.75" customHeight="1" x14ac:dyDescent="0.2">
      <c r="A1100" s="12" t="s">
        <v>8429</v>
      </c>
      <c r="B1100" s="92" t="s">
        <v>4978</v>
      </c>
      <c r="C1100" s="74">
        <v>46980</v>
      </c>
      <c r="D1100" s="13" t="s">
        <v>33</v>
      </c>
      <c r="E1100" s="6" t="s">
        <v>7882</v>
      </c>
      <c r="F1100" s="15" t="s">
        <v>7883</v>
      </c>
      <c r="G1100" s="6" t="s">
        <v>7884</v>
      </c>
      <c r="H1100" s="6" t="s">
        <v>7884</v>
      </c>
      <c r="I1100" s="13" t="s">
        <v>25</v>
      </c>
      <c r="J1100" s="13">
        <v>3</v>
      </c>
      <c r="K1100" s="13" t="s">
        <v>1714</v>
      </c>
      <c r="L1100" s="6" t="s">
        <v>7885</v>
      </c>
      <c r="M1100" s="108" t="s">
        <v>7886</v>
      </c>
      <c r="N1100" s="13" t="s">
        <v>704</v>
      </c>
      <c r="O1100" s="13" t="s">
        <v>704</v>
      </c>
      <c r="P1100" s="13" t="s">
        <v>16</v>
      </c>
      <c r="Q1100" s="6" t="s">
        <v>7887</v>
      </c>
      <c r="R1100" s="25" t="s">
        <v>894</v>
      </c>
      <c r="S1100" s="30"/>
      <c r="T1100" s="18">
        <v>14</v>
      </c>
      <c r="U1100" s="18">
        <v>8</v>
      </c>
      <c r="V1100" s="26" t="s">
        <v>7888</v>
      </c>
      <c r="X1100" s="132">
        <v>1090</v>
      </c>
      <c r="Y1100" s="6"/>
    </row>
    <row r="1101" spans="1:25" ht="12.75" customHeight="1" x14ac:dyDescent="0.2">
      <c r="A1101" s="12" t="s">
        <v>8428</v>
      </c>
      <c r="B1101" s="92" t="s">
        <v>4978</v>
      </c>
      <c r="C1101" s="74">
        <v>46980</v>
      </c>
      <c r="D1101" s="13" t="s">
        <v>1533</v>
      </c>
      <c r="E1101" s="6" t="s">
        <v>7890</v>
      </c>
      <c r="F1101" s="6" t="s">
        <v>7890</v>
      </c>
      <c r="G1101" s="6" t="s">
        <v>7891</v>
      </c>
      <c r="H1101" s="6" t="s">
        <v>7891</v>
      </c>
      <c r="I1101" s="13" t="s">
        <v>25</v>
      </c>
      <c r="J1101" s="13">
        <v>6</v>
      </c>
      <c r="K1101" s="13" t="s">
        <v>1714</v>
      </c>
      <c r="L1101" s="6" t="s">
        <v>7892</v>
      </c>
      <c r="M1101" s="108" t="s">
        <v>7893</v>
      </c>
      <c r="N1101" s="13" t="s">
        <v>704</v>
      </c>
      <c r="O1101" s="13" t="s">
        <v>704</v>
      </c>
      <c r="P1101" s="13" t="s">
        <v>16</v>
      </c>
      <c r="Q1101" s="6" t="s">
        <v>7894</v>
      </c>
      <c r="R1101" s="25" t="s">
        <v>7895</v>
      </c>
      <c r="S1101" s="30"/>
      <c r="T1101" s="18">
        <v>23</v>
      </c>
      <c r="U1101" s="18">
        <v>19</v>
      </c>
      <c r="V1101" s="26" t="s">
        <v>7896</v>
      </c>
      <c r="X1101" s="132">
        <v>1091</v>
      </c>
      <c r="Y1101" s="6"/>
    </row>
    <row r="1102" spans="1:25" ht="12.75" customHeight="1" x14ac:dyDescent="0.2">
      <c r="A1102" s="12" t="s">
        <v>8427</v>
      </c>
      <c r="B1102" s="92" t="s">
        <v>4978</v>
      </c>
      <c r="C1102" s="74">
        <v>46980</v>
      </c>
      <c r="D1102" s="13" t="s">
        <v>33</v>
      </c>
      <c r="E1102" s="6" t="s">
        <v>7897</v>
      </c>
      <c r="F1102" s="6" t="s">
        <v>7898</v>
      </c>
      <c r="G1102" s="6" t="s">
        <v>7899</v>
      </c>
      <c r="H1102" s="6" t="s">
        <v>7899</v>
      </c>
      <c r="I1102" s="13" t="s">
        <v>25</v>
      </c>
      <c r="J1102" s="13">
        <v>3</v>
      </c>
      <c r="K1102" s="13" t="s">
        <v>1714</v>
      </c>
      <c r="L1102" s="6" t="s">
        <v>7900</v>
      </c>
      <c r="M1102" s="108" t="s">
        <v>7901</v>
      </c>
      <c r="N1102" s="13" t="s">
        <v>4671</v>
      </c>
      <c r="O1102" s="13" t="s">
        <v>11948</v>
      </c>
      <c r="P1102" s="13" t="s">
        <v>68</v>
      </c>
      <c r="Q1102" s="6" t="s">
        <v>7909</v>
      </c>
      <c r="R1102" s="25" t="s">
        <v>7902</v>
      </c>
      <c r="S1102" s="30"/>
      <c r="T1102" s="18">
        <v>19</v>
      </c>
      <c r="U1102" s="18">
        <v>18</v>
      </c>
      <c r="V1102" s="26" t="s">
        <v>7903</v>
      </c>
      <c r="X1102" s="132">
        <v>1092</v>
      </c>
      <c r="Y1102" s="6"/>
    </row>
    <row r="1103" spans="1:25" ht="12.75" customHeight="1" x14ac:dyDescent="0.2">
      <c r="A1103" s="12" t="s">
        <v>8426</v>
      </c>
      <c r="B1103" s="92" t="s">
        <v>4978</v>
      </c>
      <c r="C1103" s="74">
        <v>46980</v>
      </c>
      <c r="D1103" s="13" t="s">
        <v>33</v>
      </c>
      <c r="E1103" s="6" t="s">
        <v>7904</v>
      </c>
      <c r="F1103" s="15" t="s">
        <v>7905</v>
      </c>
      <c r="G1103" s="6" t="s">
        <v>7906</v>
      </c>
      <c r="H1103" s="6" t="s">
        <v>7906</v>
      </c>
      <c r="I1103" s="13" t="s">
        <v>25</v>
      </c>
      <c r="J1103" s="13">
        <v>3</v>
      </c>
      <c r="K1103" s="13" t="s">
        <v>1714</v>
      </c>
      <c r="L1103" s="6" t="s">
        <v>7907</v>
      </c>
      <c r="M1103" s="108" t="s">
        <v>7908</v>
      </c>
      <c r="N1103" s="13" t="s">
        <v>3443</v>
      </c>
      <c r="O1103" s="13" t="s">
        <v>2146</v>
      </c>
      <c r="P1103" s="13" t="s">
        <v>68</v>
      </c>
      <c r="Q1103" s="6" t="s">
        <v>7910</v>
      </c>
      <c r="R1103" s="25" t="s">
        <v>7911</v>
      </c>
      <c r="S1103" s="30"/>
      <c r="T1103" s="18">
        <v>12</v>
      </c>
      <c r="U1103" s="18">
        <v>8</v>
      </c>
      <c r="V1103" s="26" t="s">
        <v>7912</v>
      </c>
      <c r="X1103" s="132">
        <v>1093</v>
      </c>
      <c r="Y1103" s="6"/>
    </row>
    <row r="1104" spans="1:25" ht="12.75" customHeight="1" x14ac:dyDescent="0.2">
      <c r="A1104" s="12" t="s">
        <v>8425</v>
      </c>
      <c r="B1104" s="92" t="s">
        <v>4978</v>
      </c>
      <c r="C1104" s="74">
        <v>46980</v>
      </c>
      <c r="D1104" s="13" t="s">
        <v>33</v>
      </c>
      <c r="E1104" s="6" t="s">
        <v>7920</v>
      </c>
      <c r="F1104" s="15" t="s">
        <v>7913</v>
      </c>
      <c r="G1104" s="6" t="s">
        <v>7914</v>
      </c>
      <c r="H1104" s="6" t="s">
        <v>7914</v>
      </c>
      <c r="I1104" s="13" t="s">
        <v>25</v>
      </c>
      <c r="J1104" s="13">
        <v>3</v>
      </c>
      <c r="K1104" s="13" t="s">
        <v>1714</v>
      </c>
      <c r="L1104" s="6" t="s">
        <v>7915</v>
      </c>
      <c r="M1104" s="108" t="s">
        <v>7916</v>
      </c>
      <c r="N1104" s="13" t="s">
        <v>3191</v>
      </c>
      <c r="O1104" s="13" t="s">
        <v>445</v>
      </c>
      <c r="P1104" s="13" t="s">
        <v>16</v>
      </c>
      <c r="Q1104" s="6" t="s">
        <v>7917</v>
      </c>
      <c r="R1104" s="25" t="s">
        <v>7918</v>
      </c>
      <c r="S1104" s="30"/>
      <c r="T1104" s="18">
        <v>24</v>
      </c>
      <c r="U1104" s="18">
        <v>20</v>
      </c>
      <c r="V1104" s="13" t="s">
        <v>7919</v>
      </c>
      <c r="X1104" s="132">
        <v>1094</v>
      </c>
      <c r="Y1104" s="6"/>
    </row>
    <row r="1105" spans="1:25" ht="12.75" customHeight="1" x14ac:dyDescent="0.2">
      <c r="A1105" s="12" t="s">
        <v>8424</v>
      </c>
      <c r="B1105" s="13" t="s">
        <v>4977</v>
      </c>
      <c r="C1105" s="14">
        <v>46249</v>
      </c>
      <c r="D1105" s="13" t="s">
        <v>1533</v>
      </c>
      <c r="E1105" s="6" t="s">
        <v>7921</v>
      </c>
      <c r="F1105" s="15" t="s">
        <v>7922</v>
      </c>
      <c r="G1105" s="6" t="s">
        <v>7923</v>
      </c>
      <c r="H1105" s="6" t="s">
        <v>7923</v>
      </c>
      <c r="I1105" s="13" t="s">
        <v>39</v>
      </c>
      <c r="J1105" s="13">
        <v>12</v>
      </c>
      <c r="K1105" s="13" t="s">
        <v>1714</v>
      </c>
      <c r="L1105" s="6" t="s">
        <v>7924</v>
      </c>
      <c r="M1105" s="108" t="s">
        <v>7925</v>
      </c>
      <c r="N1105" s="13" t="s">
        <v>2116</v>
      </c>
      <c r="O1105" s="13" t="s">
        <v>53</v>
      </c>
      <c r="P1105" s="13" t="s">
        <v>54</v>
      </c>
      <c r="Q1105" s="6" t="s">
        <v>7926</v>
      </c>
      <c r="R1105" s="25" t="s">
        <v>7927</v>
      </c>
      <c r="S1105" s="30"/>
      <c r="T1105" s="18">
        <v>40</v>
      </c>
      <c r="U1105" s="18">
        <v>25</v>
      </c>
      <c r="V1105" s="13" t="s">
        <v>7928</v>
      </c>
      <c r="X1105" s="132">
        <v>1095</v>
      </c>
      <c r="Y1105" s="6"/>
    </row>
    <row r="1106" spans="1:25" ht="12.75" customHeight="1" x14ac:dyDescent="0.2">
      <c r="A1106" s="12" t="s">
        <v>8423</v>
      </c>
      <c r="B1106" s="92" t="s">
        <v>4978</v>
      </c>
      <c r="C1106" s="74">
        <v>46980</v>
      </c>
      <c r="D1106" s="13" t="s">
        <v>33</v>
      </c>
      <c r="E1106" s="6" t="s">
        <v>7961</v>
      </c>
      <c r="F1106" s="15" t="s">
        <v>7960</v>
      </c>
      <c r="G1106" s="6" t="s">
        <v>7962</v>
      </c>
      <c r="H1106" s="6" t="s">
        <v>7962</v>
      </c>
      <c r="I1106" s="13" t="s">
        <v>25</v>
      </c>
      <c r="J1106" s="13">
        <v>3</v>
      </c>
      <c r="K1106" s="13" t="s">
        <v>1714</v>
      </c>
      <c r="L1106" s="6" t="s">
        <v>7963</v>
      </c>
      <c r="M1106" s="108" t="s">
        <v>7964</v>
      </c>
      <c r="N1106" s="13" t="s">
        <v>2470</v>
      </c>
      <c r="O1106" s="13" t="s">
        <v>136</v>
      </c>
      <c r="P1106" s="13" t="s">
        <v>4</v>
      </c>
      <c r="Q1106" s="6" t="s">
        <v>7965</v>
      </c>
      <c r="R1106" s="25" t="s">
        <v>7966</v>
      </c>
      <c r="T1106" s="13">
        <v>12</v>
      </c>
      <c r="U1106" s="13">
        <v>12</v>
      </c>
      <c r="V1106" s="13" t="s">
        <v>7967</v>
      </c>
      <c r="X1106" s="132">
        <v>1096</v>
      </c>
      <c r="Y1106" s="6"/>
    </row>
    <row r="1107" spans="1:25" ht="12.75" customHeight="1" x14ac:dyDescent="0.2">
      <c r="A1107" s="12" t="s">
        <v>8422</v>
      </c>
      <c r="B1107" s="92" t="s">
        <v>4978</v>
      </c>
      <c r="C1107" s="74">
        <v>46980</v>
      </c>
      <c r="D1107" s="13" t="s">
        <v>33</v>
      </c>
      <c r="E1107" s="6" t="s">
        <v>7968</v>
      </c>
      <c r="F1107" s="15" t="s">
        <v>7969</v>
      </c>
      <c r="G1107" s="6" t="s">
        <v>7970</v>
      </c>
      <c r="H1107" s="6" t="s">
        <v>7970</v>
      </c>
      <c r="I1107" s="13" t="s">
        <v>25</v>
      </c>
      <c r="J1107" s="13">
        <v>3</v>
      </c>
      <c r="K1107" s="13" t="s">
        <v>1714</v>
      </c>
      <c r="L1107" s="6" t="s">
        <v>7971</v>
      </c>
      <c r="M1107" s="108" t="s">
        <v>7972</v>
      </c>
      <c r="N1107" s="13" t="s">
        <v>4114</v>
      </c>
      <c r="O1107" s="13" t="s">
        <v>1847</v>
      </c>
      <c r="P1107" s="13" t="s">
        <v>68</v>
      </c>
      <c r="Q1107" s="6" t="s">
        <v>7973</v>
      </c>
      <c r="R1107" s="25" t="s">
        <v>7974</v>
      </c>
      <c r="S1107" s="30"/>
      <c r="T1107" s="18">
        <v>14</v>
      </c>
      <c r="U1107" s="18">
        <v>14</v>
      </c>
      <c r="V1107" s="13" t="s">
        <v>7975</v>
      </c>
      <c r="X1107" s="132">
        <v>1097</v>
      </c>
      <c r="Y1107" s="6"/>
    </row>
    <row r="1108" spans="1:25" ht="12.75" customHeight="1" x14ac:dyDescent="0.2">
      <c r="A1108" s="12" t="s">
        <v>8421</v>
      </c>
      <c r="B1108" s="13" t="s">
        <v>4977</v>
      </c>
      <c r="C1108" s="14">
        <v>46295</v>
      </c>
      <c r="D1108" s="13" t="s">
        <v>33</v>
      </c>
      <c r="E1108" s="6" t="s">
        <v>7997</v>
      </c>
      <c r="F1108" s="15" t="s">
        <v>7998</v>
      </c>
      <c r="G1108" s="6" t="s">
        <v>7999</v>
      </c>
      <c r="H1108" s="6" t="s">
        <v>7999</v>
      </c>
      <c r="I1108" s="13" t="s">
        <v>25</v>
      </c>
      <c r="J1108" s="13">
        <v>3</v>
      </c>
      <c r="K1108" s="13" t="s">
        <v>1714</v>
      </c>
      <c r="L1108" s="6" t="s">
        <v>8000</v>
      </c>
      <c r="M1108" s="108" t="s">
        <v>8001</v>
      </c>
      <c r="N1108" s="13" t="s">
        <v>2161</v>
      </c>
      <c r="O1108" s="13" t="s">
        <v>2146</v>
      </c>
      <c r="P1108" s="13" t="s">
        <v>68</v>
      </c>
      <c r="Q1108" s="6" t="s">
        <v>8002</v>
      </c>
      <c r="R1108" s="25" t="s">
        <v>8003</v>
      </c>
      <c r="S1108" s="30"/>
      <c r="T1108" s="18">
        <v>16</v>
      </c>
      <c r="U1108" s="18">
        <v>12</v>
      </c>
      <c r="V1108" s="13" t="s">
        <v>8004</v>
      </c>
      <c r="X1108" s="132">
        <v>1098</v>
      </c>
      <c r="Y1108" s="6"/>
    </row>
    <row r="1109" spans="1:25" ht="12.75" customHeight="1" x14ac:dyDescent="0.2">
      <c r="A1109" s="12" t="s">
        <v>8420</v>
      </c>
      <c r="B1109" s="92" t="s">
        <v>4978</v>
      </c>
      <c r="C1109" s="74">
        <v>47026</v>
      </c>
      <c r="D1109" s="13" t="s">
        <v>33</v>
      </c>
      <c r="E1109" s="6" t="s">
        <v>8005</v>
      </c>
      <c r="F1109" s="6" t="s">
        <v>8185</v>
      </c>
      <c r="G1109" s="6" t="s">
        <v>8006</v>
      </c>
      <c r="H1109" s="6" t="s">
        <v>8006</v>
      </c>
      <c r="I1109" s="13" t="s">
        <v>25</v>
      </c>
      <c r="J1109" s="13">
        <v>3</v>
      </c>
      <c r="K1109" s="13" t="s">
        <v>1714</v>
      </c>
      <c r="L1109" s="6" t="s">
        <v>8007</v>
      </c>
      <c r="M1109" s="108" t="s">
        <v>8008</v>
      </c>
      <c r="N1109" s="13" t="s">
        <v>6906</v>
      </c>
      <c r="O1109" s="13" t="s">
        <v>128</v>
      </c>
      <c r="P1109" s="13" t="s">
        <v>16</v>
      </c>
      <c r="Q1109" s="6" t="s">
        <v>8009</v>
      </c>
      <c r="R1109" s="25" t="s">
        <v>8010</v>
      </c>
      <c r="S1109" s="30"/>
      <c r="T1109" s="18">
        <v>30</v>
      </c>
      <c r="U1109" s="18">
        <v>25</v>
      </c>
      <c r="V1109" s="13" t="s">
        <v>8011</v>
      </c>
      <c r="X1109" s="132">
        <v>1099</v>
      </c>
      <c r="Y1109" s="6"/>
    </row>
    <row r="1110" spans="1:25" ht="12.75" customHeight="1" x14ac:dyDescent="0.2">
      <c r="A1110" s="12" t="s">
        <v>8419</v>
      </c>
      <c r="B1110" s="92" t="s">
        <v>4978</v>
      </c>
      <c r="C1110" s="74">
        <v>47026</v>
      </c>
      <c r="D1110" s="13" t="s">
        <v>33</v>
      </c>
      <c r="E1110" s="6" t="s">
        <v>8012</v>
      </c>
      <c r="F1110" s="15" t="s">
        <v>8013</v>
      </c>
      <c r="G1110" s="6" t="s">
        <v>8014</v>
      </c>
      <c r="H1110" s="6" t="s">
        <v>8014</v>
      </c>
      <c r="I1110" s="13" t="s">
        <v>25</v>
      </c>
      <c r="J1110" s="13">
        <v>3</v>
      </c>
      <c r="K1110" s="13" t="s">
        <v>1714</v>
      </c>
      <c r="L1110" s="6" t="s">
        <v>8015</v>
      </c>
      <c r="M1110" s="108" t="s">
        <v>8016</v>
      </c>
      <c r="N1110" s="13" t="s">
        <v>293</v>
      </c>
      <c r="O1110" s="13" t="s">
        <v>293</v>
      </c>
      <c r="P1110" s="13" t="s">
        <v>16</v>
      </c>
      <c r="Q1110" s="6" t="s">
        <v>8017</v>
      </c>
      <c r="R1110" s="25" t="s">
        <v>8018</v>
      </c>
      <c r="S1110" s="30"/>
      <c r="T1110" s="18">
        <v>35</v>
      </c>
      <c r="U1110" s="18">
        <v>34</v>
      </c>
      <c r="V1110" s="13" t="s">
        <v>8019</v>
      </c>
      <c r="X1110" s="132">
        <v>1100</v>
      </c>
      <c r="Y1110" s="6"/>
    </row>
    <row r="1111" spans="1:25" ht="12.75" customHeight="1" x14ac:dyDescent="0.2">
      <c r="A1111" s="12" t="s">
        <v>8418</v>
      </c>
      <c r="B1111" s="13" t="s">
        <v>4977</v>
      </c>
      <c r="C1111" s="14">
        <v>46295</v>
      </c>
      <c r="D1111" s="13" t="s">
        <v>33</v>
      </c>
      <c r="E1111" s="6" t="s">
        <v>8027</v>
      </c>
      <c r="F1111" s="15" t="s">
        <v>8028</v>
      </c>
      <c r="G1111" s="6" t="s">
        <v>8029</v>
      </c>
      <c r="H1111" s="6" t="s">
        <v>8029</v>
      </c>
      <c r="I1111" s="13" t="s">
        <v>25</v>
      </c>
      <c r="J1111" s="13">
        <v>3</v>
      </c>
      <c r="K1111" s="13" t="s">
        <v>1714</v>
      </c>
      <c r="L1111" s="6" t="s">
        <v>8030</v>
      </c>
      <c r="M1111" s="108" t="s">
        <v>6580</v>
      </c>
      <c r="N1111" s="13" t="s">
        <v>8031</v>
      </c>
      <c r="O1111" s="13" t="s">
        <v>1847</v>
      </c>
      <c r="P1111" s="13" t="s">
        <v>68</v>
      </c>
      <c r="Q1111" s="6" t="s">
        <v>8032</v>
      </c>
      <c r="R1111" s="25" t="s">
        <v>8033</v>
      </c>
      <c r="S1111" s="30"/>
      <c r="T1111" s="18">
        <v>43</v>
      </c>
      <c r="U1111" s="18">
        <v>27</v>
      </c>
      <c r="V1111" s="13" t="s">
        <v>8034</v>
      </c>
      <c r="X1111" s="132">
        <v>1101</v>
      </c>
      <c r="Y1111" s="6"/>
    </row>
    <row r="1112" spans="1:25" ht="12.75" customHeight="1" x14ac:dyDescent="0.2">
      <c r="A1112" s="12" t="s">
        <v>9750</v>
      </c>
      <c r="B1112" s="92" t="s">
        <v>4978</v>
      </c>
      <c r="C1112" s="74">
        <v>47026</v>
      </c>
      <c r="D1112" s="13" t="s">
        <v>33</v>
      </c>
      <c r="E1112" s="6" t="s">
        <v>8038</v>
      </c>
      <c r="F1112" s="15" t="s">
        <v>8186</v>
      </c>
      <c r="G1112" s="6" t="s">
        <v>8039</v>
      </c>
      <c r="H1112" s="6" t="s">
        <v>8039</v>
      </c>
      <c r="I1112" s="13" t="s">
        <v>25</v>
      </c>
      <c r="J1112" s="13">
        <v>3</v>
      </c>
      <c r="K1112" s="13" t="s">
        <v>1714</v>
      </c>
      <c r="L1112" s="6" t="s">
        <v>8040</v>
      </c>
      <c r="M1112" s="108" t="s">
        <v>8041</v>
      </c>
      <c r="N1112" s="13" t="s">
        <v>8042</v>
      </c>
      <c r="O1112" s="13" t="s">
        <v>1847</v>
      </c>
      <c r="P1112" s="13" t="s">
        <v>68</v>
      </c>
      <c r="Q1112" s="6" t="s">
        <v>8043</v>
      </c>
      <c r="R1112" s="25" t="s">
        <v>8044</v>
      </c>
      <c r="S1112" s="25" t="s">
        <v>8045</v>
      </c>
      <c r="T1112" s="18">
        <v>19</v>
      </c>
      <c r="U1112" s="18">
        <v>14</v>
      </c>
      <c r="V1112" s="13" t="s">
        <v>8046</v>
      </c>
      <c r="X1112" s="132">
        <v>1102</v>
      </c>
      <c r="Y1112" s="6"/>
    </row>
    <row r="1113" spans="1:25" ht="15" customHeight="1" x14ac:dyDescent="0.25">
      <c r="A1113" s="12" t="s">
        <v>9744</v>
      </c>
      <c r="B1113" s="92" t="s">
        <v>4978</v>
      </c>
      <c r="C1113" s="74">
        <v>47223</v>
      </c>
      <c r="D1113" s="13" t="s">
        <v>33</v>
      </c>
      <c r="E1113" s="6" t="s">
        <v>9784</v>
      </c>
      <c r="F1113" s="15" t="s">
        <v>9785</v>
      </c>
      <c r="G1113" s="6" t="s">
        <v>9745</v>
      </c>
      <c r="H1113" s="6" t="s">
        <v>9745</v>
      </c>
      <c r="I1113" s="13" t="s">
        <v>25</v>
      </c>
      <c r="J1113" s="13">
        <v>3</v>
      </c>
      <c r="K1113" s="13" t="s">
        <v>1714</v>
      </c>
      <c r="L1113" s="6" t="s">
        <v>9746</v>
      </c>
      <c r="M1113" s="108" t="s">
        <v>9747</v>
      </c>
      <c r="N1113" s="13" t="s">
        <v>136</v>
      </c>
      <c r="O1113" s="13" t="s">
        <v>136</v>
      </c>
      <c r="P1113" s="13" t="s">
        <v>4</v>
      </c>
      <c r="Q1113" s="6" t="s">
        <v>9748</v>
      </c>
      <c r="R1113" s="69" t="s">
        <v>8044</v>
      </c>
      <c r="S1113" s="69" t="s">
        <v>8045</v>
      </c>
      <c r="T1113" s="18">
        <v>16</v>
      </c>
      <c r="U1113" s="18">
        <v>10</v>
      </c>
      <c r="V1113" s="13" t="s">
        <v>9749</v>
      </c>
      <c r="X1113" s="132">
        <v>1103</v>
      </c>
      <c r="Y1113" s="6"/>
    </row>
    <row r="1114" spans="1:25" ht="12.75" customHeight="1" x14ac:dyDescent="0.2">
      <c r="A1114" s="12" t="s">
        <v>8417</v>
      </c>
      <c r="B1114" s="92" t="s">
        <v>4978</v>
      </c>
      <c r="C1114" s="74">
        <v>47026</v>
      </c>
      <c r="D1114" s="13" t="s">
        <v>33</v>
      </c>
      <c r="E1114" s="6" t="s">
        <v>8051</v>
      </c>
      <c r="F1114" s="6" t="s">
        <v>8050</v>
      </c>
      <c r="G1114" s="6" t="s">
        <v>8052</v>
      </c>
      <c r="H1114" s="6" t="s">
        <v>8052</v>
      </c>
      <c r="I1114" s="13" t="s">
        <v>25</v>
      </c>
      <c r="J1114" s="13">
        <v>3</v>
      </c>
      <c r="K1114" s="13" t="s">
        <v>1714</v>
      </c>
      <c r="L1114" s="6" t="s">
        <v>8053</v>
      </c>
      <c r="M1114" s="108" t="s">
        <v>5865</v>
      </c>
      <c r="N1114" s="13" t="s">
        <v>2667</v>
      </c>
      <c r="O1114" s="13" t="s">
        <v>177</v>
      </c>
      <c r="P1114" s="13" t="s">
        <v>9</v>
      </c>
      <c r="Q1114" s="6" t="s">
        <v>5866</v>
      </c>
      <c r="R1114" s="25" t="s">
        <v>5867</v>
      </c>
      <c r="S1114" s="30"/>
      <c r="T1114" s="18">
        <v>30</v>
      </c>
      <c r="U1114" s="18">
        <v>27</v>
      </c>
      <c r="V1114" s="13" t="s">
        <v>8054</v>
      </c>
      <c r="X1114" s="132">
        <v>1104</v>
      </c>
      <c r="Y1114" s="6"/>
    </row>
    <row r="1115" spans="1:25" ht="12.75" customHeight="1" x14ac:dyDescent="0.2">
      <c r="A1115" s="12" t="s">
        <v>8416</v>
      </c>
      <c r="B1115" s="92" t="s">
        <v>4978</v>
      </c>
      <c r="C1115" s="74">
        <v>47026</v>
      </c>
      <c r="D1115" s="13" t="s">
        <v>1533</v>
      </c>
      <c r="E1115" s="6" t="s">
        <v>8055</v>
      </c>
      <c r="F1115" s="15" t="s">
        <v>8056</v>
      </c>
      <c r="G1115" s="6" t="s">
        <v>8057</v>
      </c>
      <c r="H1115" s="6" t="s">
        <v>8057</v>
      </c>
      <c r="I1115" s="13" t="s">
        <v>13</v>
      </c>
      <c r="J1115" s="13">
        <v>7</v>
      </c>
      <c r="K1115" s="13" t="s">
        <v>6603</v>
      </c>
      <c r="L1115" s="6" t="s">
        <v>8058</v>
      </c>
      <c r="M1115" s="120" t="s">
        <v>8059</v>
      </c>
      <c r="N1115" s="13" t="s">
        <v>293</v>
      </c>
      <c r="O1115" s="13" t="s">
        <v>293</v>
      </c>
      <c r="P1115" s="13" t="s">
        <v>16</v>
      </c>
      <c r="Q1115" s="6" t="s">
        <v>8060</v>
      </c>
      <c r="R1115" s="25" t="s">
        <v>8061</v>
      </c>
      <c r="S1115" s="30"/>
      <c r="T1115" s="18">
        <v>109</v>
      </c>
      <c r="U1115" s="18">
        <v>109</v>
      </c>
      <c r="V1115" s="13" t="s">
        <v>8062</v>
      </c>
      <c r="X1115" s="132">
        <v>1105</v>
      </c>
      <c r="Y1115" s="6"/>
    </row>
    <row r="1116" spans="1:25" ht="12.75" customHeight="1" x14ac:dyDescent="0.2">
      <c r="A1116" s="12" t="s">
        <v>8415</v>
      </c>
      <c r="B1116" s="92" t="s">
        <v>4978</v>
      </c>
      <c r="C1116" s="74">
        <v>47026</v>
      </c>
      <c r="D1116" s="13" t="s">
        <v>33</v>
      </c>
      <c r="E1116" s="6" t="s">
        <v>8063</v>
      </c>
      <c r="F1116" s="6" t="s">
        <v>8187</v>
      </c>
      <c r="G1116" s="6" t="s">
        <v>8064</v>
      </c>
      <c r="H1116" s="6" t="s">
        <v>8064</v>
      </c>
      <c r="I1116" s="13" t="s">
        <v>25</v>
      </c>
      <c r="J1116" s="13">
        <v>3</v>
      </c>
      <c r="K1116" s="13" t="s">
        <v>1714</v>
      </c>
      <c r="L1116" s="6" t="s">
        <v>8065</v>
      </c>
      <c r="M1116" s="108" t="s">
        <v>8066</v>
      </c>
      <c r="N1116" s="13" t="s">
        <v>8</v>
      </c>
      <c r="O1116" s="13" t="s">
        <v>8</v>
      </c>
      <c r="P1116" s="13" t="s">
        <v>9</v>
      </c>
      <c r="Q1116" s="6" t="s">
        <v>8067</v>
      </c>
      <c r="R1116" s="25" t="s">
        <v>8068</v>
      </c>
      <c r="S1116" s="30"/>
      <c r="T1116" s="18">
        <v>14</v>
      </c>
      <c r="U1116" s="18">
        <v>10</v>
      </c>
      <c r="V1116" s="13" t="s">
        <v>8069</v>
      </c>
      <c r="X1116" s="132">
        <v>1106</v>
      </c>
      <c r="Y1116" s="6"/>
    </row>
    <row r="1117" spans="1:25" ht="12.75" customHeight="1" x14ac:dyDescent="0.2">
      <c r="A1117" s="12" t="s">
        <v>8414</v>
      </c>
      <c r="B1117" s="13" t="s">
        <v>4977</v>
      </c>
      <c r="C1117" s="14">
        <v>46295</v>
      </c>
      <c r="D1117" s="13" t="s">
        <v>33</v>
      </c>
      <c r="E1117" s="6" t="s">
        <v>8070</v>
      </c>
      <c r="F1117" s="6" t="s">
        <v>8071</v>
      </c>
      <c r="G1117" s="6" t="s">
        <v>8072</v>
      </c>
      <c r="H1117" s="6" t="s">
        <v>8072</v>
      </c>
      <c r="I1117" s="13" t="s">
        <v>25</v>
      </c>
      <c r="J1117" s="13">
        <v>3</v>
      </c>
      <c r="K1117" s="13" t="s">
        <v>1714</v>
      </c>
      <c r="L1117" s="6" t="s">
        <v>8073</v>
      </c>
      <c r="M1117" s="108" t="s">
        <v>8074</v>
      </c>
      <c r="N1117" s="13" t="s">
        <v>6188</v>
      </c>
      <c r="O1117" s="13" t="s">
        <v>15</v>
      </c>
      <c r="P1117" s="13" t="s">
        <v>16</v>
      </c>
      <c r="Q1117" s="6" t="s">
        <v>8075</v>
      </c>
      <c r="R1117" s="25" t="s">
        <v>8076</v>
      </c>
      <c r="S1117" s="30"/>
      <c r="T1117" s="18">
        <v>26</v>
      </c>
      <c r="U1117" s="18">
        <v>10</v>
      </c>
      <c r="V1117" s="13" t="s">
        <v>8077</v>
      </c>
      <c r="X1117" s="132">
        <v>1107</v>
      </c>
      <c r="Y1117" s="6"/>
    </row>
    <row r="1118" spans="1:25" ht="12.75" customHeight="1" x14ac:dyDescent="0.2">
      <c r="A1118" s="12" t="s">
        <v>8413</v>
      </c>
      <c r="B1118" s="13" t="s">
        <v>4977</v>
      </c>
      <c r="C1118" s="14">
        <v>46295</v>
      </c>
      <c r="D1118" s="13" t="s">
        <v>33</v>
      </c>
      <c r="E1118" s="6" t="s">
        <v>8078</v>
      </c>
      <c r="F1118" s="15" t="s">
        <v>8079</v>
      </c>
      <c r="G1118" s="6" t="s">
        <v>8080</v>
      </c>
      <c r="H1118" s="6" t="s">
        <v>8080</v>
      </c>
      <c r="I1118" s="13" t="s">
        <v>25</v>
      </c>
      <c r="J1118" s="13">
        <v>3</v>
      </c>
      <c r="K1118" s="13" t="s">
        <v>1714</v>
      </c>
      <c r="L1118" s="6" t="s">
        <v>8081</v>
      </c>
      <c r="M1118" s="108" t="s">
        <v>8082</v>
      </c>
      <c r="N1118" s="13" t="s">
        <v>8083</v>
      </c>
      <c r="O1118" s="13" t="s">
        <v>27</v>
      </c>
      <c r="P1118" s="13" t="s">
        <v>9</v>
      </c>
      <c r="Q1118" s="6" t="s">
        <v>8084</v>
      </c>
      <c r="R1118" s="25" t="s">
        <v>8085</v>
      </c>
      <c r="S1118" s="30"/>
      <c r="T1118" s="18">
        <v>25</v>
      </c>
      <c r="U1118" s="18">
        <v>23</v>
      </c>
      <c r="V1118" s="26" t="s">
        <v>8086</v>
      </c>
      <c r="X1118" s="132">
        <v>1108</v>
      </c>
      <c r="Y1118" s="6"/>
    </row>
    <row r="1119" spans="1:25" ht="15" customHeight="1" x14ac:dyDescent="0.25">
      <c r="A1119" s="12" t="s">
        <v>8412</v>
      </c>
      <c r="B1119" s="13" t="s">
        <v>4977</v>
      </c>
      <c r="C1119" s="14">
        <v>46295</v>
      </c>
      <c r="D1119" s="13" t="s">
        <v>1533</v>
      </c>
      <c r="E1119" s="6" t="s">
        <v>8188</v>
      </c>
      <c r="F1119" s="64" t="s">
        <v>8094</v>
      </c>
      <c r="G1119" s="6" t="s">
        <v>8095</v>
      </c>
      <c r="H1119" s="6" t="s">
        <v>8095</v>
      </c>
      <c r="I1119" s="13" t="s">
        <v>39</v>
      </c>
      <c r="J1119" s="13">
        <v>12</v>
      </c>
      <c r="K1119" s="13" t="s">
        <v>7032</v>
      </c>
      <c r="L1119" s="6" t="s">
        <v>8096</v>
      </c>
      <c r="M1119" s="108" t="s">
        <v>8097</v>
      </c>
      <c r="N1119" s="13" t="s">
        <v>925</v>
      </c>
      <c r="O1119" s="13" t="s">
        <v>925</v>
      </c>
      <c r="P1119" s="13" t="s">
        <v>16</v>
      </c>
      <c r="Q1119" s="6" t="s">
        <v>8098</v>
      </c>
      <c r="R1119" s="69" t="s">
        <v>8099</v>
      </c>
      <c r="S1119" s="30"/>
      <c r="T1119" s="18">
        <v>200</v>
      </c>
      <c r="U1119" s="18">
        <v>50</v>
      </c>
      <c r="V1119" s="13" t="s">
        <v>8100</v>
      </c>
      <c r="X1119" s="132">
        <v>1109</v>
      </c>
      <c r="Y1119" s="6"/>
    </row>
    <row r="1120" spans="1:25" ht="15" customHeight="1" x14ac:dyDescent="0.25">
      <c r="A1120" s="12" t="s">
        <v>8411</v>
      </c>
      <c r="B1120" s="92" t="s">
        <v>4978</v>
      </c>
      <c r="C1120" s="74">
        <v>47026</v>
      </c>
      <c r="D1120" s="13" t="s">
        <v>33</v>
      </c>
      <c r="E1120" s="6" t="s">
        <v>8101</v>
      </c>
      <c r="F1120" s="15" t="s">
        <v>8102</v>
      </c>
      <c r="G1120" s="6" t="s">
        <v>8103</v>
      </c>
      <c r="H1120" s="6" t="s">
        <v>8103</v>
      </c>
      <c r="I1120" s="13" t="s">
        <v>25</v>
      </c>
      <c r="J1120" s="13">
        <v>3</v>
      </c>
      <c r="K1120" s="13" t="s">
        <v>1714</v>
      </c>
      <c r="L1120" s="6" t="s">
        <v>8104</v>
      </c>
      <c r="M1120" s="108" t="s">
        <v>8105</v>
      </c>
      <c r="N1120" s="13" t="s">
        <v>15</v>
      </c>
      <c r="O1120" s="13" t="s">
        <v>15</v>
      </c>
      <c r="P1120" s="13" t="s">
        <v>16</v>
      </c>
      <c r="Q1120" s="6" t="s">
        <v>8106</v>
      </c>
      <c r="R1120" s="69" t="s">
        <v>8107</v>
      </c>
      <c r="S1120" s="30"/>
      <c r="T1120" s="18">
        <v>30</v>
      </c>
      <c r="U1120" s="18">
        <v>23</v>
      </c>
      <c r="V1120" s="13" t="s">
        <v>8108</v>
      </c>
      <c r="X1120" s="132">
        <v>1110</v>
      </c>
      <c r="Y1120" s="6"/>
    </row>
    <row r="1121" spans="1:25" ht="15" customHeight="1" x14ac:dyDescent="0.25">
      <c r="A1121" s="12" t="s">
        <v>8410</v>
      </c>
      <c r="B1121" s="13" t="s">
        <v>4977</v>
      </c>
      <c r="C1121" s="14">
        <v>46295</v>
      </c>
      <c r="D1121" s="13" t="s">
        <v>33</v>
      </c>
      <c r="E1121" s="6" t="s">
        <v>8109</v>
      </c>
      <c r="F1121" s="6" t="s">
        <v>8110</v>
      </c>
      <c r="G1121" s="6" t="s">
        <v>8111</v>
      </c>
      <c r="H1121" s="6" t="s">
        <v>8111</v>
      </c>
      <c r="I1121" s="13" t="s">
        <v>25</v>
      </c>
      <c r="J1121" s="13">
        <v>3</v>
      </c>
      <c r="K1121" s="13" t="s">
        <v>1714</v>
      </c>
      <c r="L1121" s="6" t="s">
        <v>8112</v>
      </c>
      <c r="M1121" s="108" t="s">
        <v>8113</v>
      </c>
      <c r="N1121" s="13" t="s">
        <v>2845</v>
      </c>
      <c r="O1121" s="13" t="s">
        <v>1055</v>
      </c>
      <c r="P1121" s="13" t="s">
        <v>16</v>
      </c>
      <c r="Q1121" s="6" t="s">
        <v>3786</v>
      </c>
      <c r="R1121" s="69" t="s">
        <v>8114</v>
      </c>
      <c r="S1121" s="30"/>
      <c r="T1121" s="18">
        <v>29</v>
      </c>
      <c r="U1121" s="18">
        <v>5</v>
      </c>
      <c r="V1121" s="13" t="s">
        <v>8115</v>
      </c>
      <c r="X1121" s="132">
        <v>1111</v>
      </c>
      <c r="Y1121" s="6"/>
    </row>
    <row r="1122" spans="1:25" ht="15" customHeight="1" x14ac:dyDescent="0.25">
      <c r="A1122" s="12" t="s">
        <v>8409</v>
      </c>
      <c r="B1122" s="13" t="s">
        <v>4977</v>
      </c>
      <c r="C1122" s="14">
        <v>46295</v>
      </c>
      <c r="D1122" s="13" t="s">
        <v>33</v>
      </c>
      <c r="E1122" s="6" t="s">
        <v>8117</v>
      </c>
      <c r="F1122" s="15" t="s">
        <v>8118</v>
      </c>
      <c r="G1122" s="6" t="s">
        <v>8119</v>
      </c>
      <c r="H1122" s="6" t="s">
        <v>8119</v>
      </c>
      <c r="I1122" s="13" t="s">
        <v>25</v>
      </c>
      <c r="J1122" s="13">
        <v>3</v>
      </c>
      <c r="K1122" s="13" t="s">
        <v>1714</v>
      </c>
      <c r="L1122" s="6" t="s">
        <v>8120</v>
      </c>
      <c r="M1122" s="108" t="s">
        <v>8121</v>
      </c>
      <c r="N1122" s="13" t="s">
        <v>2536</v>
      </c>
      <c r="O1122" s="13" t="s">
        <v>128</v>
      </c>
      <c r="P1122" s="13" t="s">
        <v>16</v>
      </c>
      <c r="Q1122" s="6" t="s">
        <v>8122</v>
      </c>
      <c r="R1122" s="69" t="s">
        <v>8123</v>
      </c>
      <c r="S1122" s="69" t="s">
        <v>8124</v>
      </c>
      <c r="T1122" s="18">
        <v>54</v>
      </c>
      <c r="U1122" s="18">
        <v>52</v>
      </c>
      <c r="V1122" s="13" t="s">
        <v>8125</v>
      </c>
      <c r="X1122" s="132">
        <v>1112</v>
      </c>
      <c r="Y1122" s="6"/>
    </row>
    <row r="1123" spans="1:25" ht="15" customHeight="1" x14ac:dyDescent="0.25">
      <c r="A1123" s="12" t="s">
        <v>8408</v>
      </c>
      <c r="B1123" s="92" t="s">
        <v>4978</v>
      </c>
      <c r="C1123" s="74">
        <v>47026</v>
      </c>
      <c r="D1123" s="13" t="s">
        <v>33</v>
      </c>
      <c r="E1123" s="6" t="s">
        <v>8189</v>
      </c>
      <c r="F1123" s="15" t="s">
        <v>8133</v>
      </c>
      <c r="G1123" s="6" t="s">
        <v>8134</v>
      </c>
      <c r="H1123" s="6" t="s">
        <v>8134</v>
      </c>
      <c r="I1123" s="13" t="s">
        <v>25</v>
      </c>
      <c r="J1123" s="13">
        <v>3</v>
      </c>
      <c r="K1123" s="13" t="s">
        <v>1714</v>
      </c>
      <c r="L1123" s="6" t="s">
        <v>8135</v>
      </c>
      <c r="M1123" s="108" t="s">
        <v>8136</v>
      </c>
      <c r="N1123" s="13" t="s">
        <v>8137</v>
      </c>
      <c r="O1123" s="13" t="s">
        <v>445</v>
      </c>
      <c r="P1123" s="13" t="s">
        <v>16</v>
      </c>
      <c r="Q1123" s="6" t="s">
        <v>8138</v>
      </c>
      <c r="R1123" s="69" t="s">
        <v>8139</v>
      </c>
      <c r="S1123" s="30"/>
      <c r="T1123" s="18">
        <v>56</v>
      </c>
      <c r="U1123" s="18">
        <v>48</v>
      </c>
      <c r="V1123" s="13" t="s">
        <v>8140</v>
      </c>
      <c r="X1123" s="132">
        <v>1113</v>
      </c>
      <c r="Y1123" s="6"/>
    </row>
    <row r="1124" spans="1:25" ht="15" customHeight="1" x14ac:dyDescent="0.25">
      <c r="A1124" s="12" t="s">
        <v>8407</v>
      </c>
      <c r="B1124" s="92" t="s">
        <v>4978</v>
      </c>
      <c r="C1124" s="74">
        <v>47026</v>
      </c>
      <c r="D1124" s="13" t="s">
        <v>1533</v>
      </c>
      <c r="E1124" s="6" t="s">
        <v>8151</v>
      </c>
      <c r="F1124" s="15" t="s">
        <v>8151</v>
      </c>
      <c r="G1124" s="6" t="s">
        <v>8152</v>
      </c>
      <c r="H1124" s="6" t="s">
        <v>8152</v>
      </c>
      <c r="I1124" s="13" t="s">
        <v>25</v>
      </c>
      <c r="J1124" s="13">
        <v>6</v>
      </c>
      <c r="K1124" s="13" t="s">
        <v>1714</v>
      </c>
      <c r="L1124" s="6" t="s">
        <v>8153</v>
      </c>
      <c r="M1124" s="108" t="s">
        <v>8154</v>
      </c>
      <c r="N1124" s="13" t="s">
        <v>240</v>
      </c>
      <c r="O1124" s="13" t="s">
        <v>240</v>
      </c>
      <c r="P1124" s="13" t="s">
        <v>16</v>
      </c>
      <c r="Q1124" s="6" t="s">
        <v>8155</v>
      </c>
      <c r="R1124" s="69" t="s">
        <v>8156</v>
      </c>
      <c r="S1124" s="30"/>
      <c r="T1124" s="18">
        <v>12</v>
      </c>
      <c r="U1124" s="18">
        <v>12</v>
      </c>
      <c r="V1124" s="13" t="s">
        <v>8157</v>
      </c>
      <c r="X1124" s="132">
        <v>1114</v>
      </c>
      <c r="Y1124" s="6"/>
    </row>
    <row r="1125" spans="1:25" ht="15" customHeight="1" x14ac:dyDescent="0.25">
      <c r="A1125" s="12" t="s">
        <v>8406</v>
      </c>
      <c r="B1125" s="13" t="s">
        <v>4977</v>
      </c>
      <c r="C1125" s="14">
        <v>46295</v>
      </c>
      <c r="D1125" s="13" t="s">
        <v>1533</v>
      </c>
      <c r="E1125" s="6" t="s">
        <v>8158</v>
      </c>
      <c r="F1125" s="15" t="s">
        <v>8159</v>
      </c>
      <c r="G1125" s="6" t="s">
        <v>8160</v>
      </c>
      <c r="H1125" s="6" t="s">
        <v>8160</v>
      </c>
      <c r="I1125" s="13" t="s">
        <v>39</v>
      </c>
      <c r="J1125" s="13">
        <v>12</v>
      </c>
      <c r="K1125" s="13" t="s">
        <v>7032</v>
      </c>
      <c r="L1125" s="6" t="s">
        <v>8161</v>
      </c>
      <c r="M1125" s="108" t="s">
        <v>8162</v>
      </c>
      <c r="N1125" s="13" t="s">
        <v>27</v>
      </c>
      <c r="O1125" s="13" t="s">
        <v>27</v>
      </c>
      <c r="P1125" s="13" t="s">
        <v>9</v>
      </c>
      <c r="Q1125" s="6" t="s">
        <v>8163</v>
      </c>
      <c r="R1125" s="69" t="s">
        <v>8164</v>
      </c>
      <c r="S1125" s="69" t="s">
        <v>8165</v>
      </c>
      <c r="T1125" s="18">
        <v>40</v>
      </c>
      <c r="U1125" s="18">
        <v>40</v>
      </c>
      <c r="V1125" s="13" t="s">
        <v>8166</v>
      </c>
      <c r="X1125" s="132">
        <v>1115</v>
      </c>
      <c r="Y1125" s="6"/>
    </row>
    <row r="1126" spans="1:25" ht="15" customHeight="1" x14ac:dyDescent="0.25">
      <c r="A1126" s="12" t="s">
        <v>11650</v>
      </c>
      <c r="B1126" s="92" t="s">
        <v>4977</v>
      </c>
      <c r="C1126" s="93">
        <v>46885</v>
      </c>
      <c r="D1126" s="92" t="s">
        <v>1533</v>
      </c>
      <c r="E1126" s="94" t="s">
        <v>8158</v>
      </c>
      <c r="F1126" s="95" t="s">
        <v>8159</v>
      </c>
      <c r="G1126" s="94" t="s">
        <v>8160</v>
      </c>
      <c r="H1126" s="94" t="s">
        <v>8160</v>
      </c>
      <c r="I1126" s="92" t="s">
        <v>13</v>
      </c>
      <c r="J1126" s="92">
        <v>8</v>
      </c>
      <c r="K1126" s="92" t="s">
        <v>1714</v>
      </c>
      <c r="L1126" s="94" t="s">
        <v>11651</v>
      </c>
      <c r="M1126" s="113"/>
      <c r="N1126" s="92" t="s">
        <v>11652</v>
      </c>
      <c r="O1126" s="13" t="s">
        <v>27</v>
      </c>
      <c r="P1126" s="13" t="s">
        <v>9</v>
      </c>
      <c r="Q1126" s="94" t="s">
        <v>8163</v>
      </c>
      <c r="R1126" s="69" t="s">
        <v>8164</v>
      </c>
      <c r="S1126" s="69" t="s">
        <v>8165</v>
      </c>
      <c r="T1126" s="97">
        <v>150</v>
      </c>
      <c r="U1126" s="97">
        <v>103</v>
      </c>
      <c r="V1126" s="13" t="s">
        <v>8166</v>
      </c>
      <c r="W1126" s="94"/>
      <c r="X1126" s="132">
        <v>1116</v>
      </c>
      <c r="Y1126" s="6"/>
    </row>
    <row r="1127" spans="1:25" ht="15" customHeight="1" x14ac:dyDescent="0.25">
      <c r="A1127" s="12" t="s">
        <v>8405</v>
      </c>
      <c r="B1127" s="92" t="s">
        <v>4978</v>
      </c>
      <c r="C1127" s="74">
        <v>47026</v>
      </c>
      <c r="D1127" s="13" t="s">
        <v>33</v>
      </c>
      <c r="E1127" s="6" t="s">
        <v>8167</v>
      </c>
      <c r="F1127" s="15" t="s">
        <v>8168</v>
      </c>
      <c r="G1127" s="6" t="s">
        <v>8169</v>
      </c>
      <c r="H1127" s="6" t="s">
        <v>8169</v>
      </c>
      <c r="I1127" s="13" t="s">
        <v>25</v>
      </c>
      <c r="J1127" s="13">
        <v>3</v>
      </c>
      <c r="K1127" s="13" t="s">
        <v>1714</v>
      </c>
      <c r="L1127" s="6" t="s">
        <v>8170</v>
      </c>
      <c r="M1127" s="108" t="s">
        <v>8171</v>
      </c>
      <c r="N1127" s="13" t="s">
        <v>8172</v>
      </c>
      <c r="O1127" s="13" t="s">
        <v>704</v>
      </c>
      <c r="P1127" s="13" t="s">
        <v>16</v>
      </c>
      <c r="Q1127" s="6" t="s">
        <v>8173</v>
      </c>
      <c r="R1127" s="69" t="s">
        <v>8174</v>
      </c>
      <c r="S1127" s="30"/>
      <c r="T1127" s="18">
        <v>20</v>
      </c>
      <c r="U1127" s="18">
        <v>20</v>
      </c>
      <c r="V1127" s="13" t="s">
        <v>8175</v>
      </c>
      <c r="X1127" s="132">
        <v>1117</v>
      </c>
      <c r="Y1127" s="6"/>
    </row>
    <row r="1128" spans="1:25" ht="15" customHeight="1" x14ac:dyDescent="0.25">
      <c r="A1128" s="12" t="s">
        <v>8404</v>
      </c>
      <c r="B1128" s="13" t="s">
        <v>4977</v>
      </c>
      <c r="C1128" s="14">
        <v>46295</v>
      </c>
      <c r="D1128" s="13" t="s">
        <v>33</v>
      </c>
      <c r="E1128" s="6" t="s">
        <v>8191</v>
      </c>
      <c r="F1128" s="15" t="s">
        <v>8198</v>
      </c>
      <c r="G1128" s="6" t="s">
        <v>8192</v>
      </c>
      <c r="H1128" s="6" t="s">
        <v>8192</v>
      </c>
      <c r="I1128" s="13" t="s">
        <v>25</v>
      </c>
      <c r="J1128" s="13">
        <v>3</v>
      </c>
      <c r="K1128" s="13" t="s">
        <v>1714</v>
      </c>
      <c r="L1128" s="6" t="s">
        <v>8193</v>
      </c>
      <c r="M1128" s="108" t="s">
        <v>8194</v>
      </c>
      <c r="N1128" s="13" t="s">
        <v>97</v>
      </c>
      <c r="O1128" s="13" t="s">
        <v>97</v>
      </c>
      <c r="P1128" s="13" t="s">
        <v>4</v>
      </c>
      <c r="Q1128" s="6" t="s">
        <v>8195</v>
      </c>
      <c r="R1128" s="69" t="s">
        <v>8196</v>
      </c>
      <c r="S1128" s="69"/>
      <c r="T1128" s="18">
        <v>13</v>
      </c>
      <c r="U1128" s="18">
        <v>9</v>
      </c>
      <c r="V1128" s="13" t="s">
        <v>8197</v>
      </c>
      <c r="X1128" s="132">
        <v>1118</v>
      </c>
      <c r="Y1128" s="6"/>
    </row>
    <row r="1129" spans="1:25" ht="15" customHeight="1" x14ac:dyDescent="0.25">
      <c r="A1129" s="12" t="s">
        <v>8403</v>
      </c>
      <c r="B1129" s="13" t="s">
        <v>4977</v>
      </c>
      <c r="C1129" s="14">
        <v>46295</v>
      </c>
      <c r="D1129" s="13" t="s">
        <v>1533</v>
      </c>
      <c r="E1129" s="6" t="s">
        <v>8203</v>
      </c>
      <c r="F1129" s="15" t="s">
        <v>8204</v>
      </c>
      <c r="G1129" s="6" t="s">
        <v>8205</v>
      </c>
      <c r="H1129" s="6" t="s">
        <v>8205</v>
      </c>
      <c r="I1129" s="13" t="s">
        <v>39</v>
      </c>
      <c r="J1129" s="13">
        <v>12</v>
      </c>
      <c r="K1129" s="13" t="s">
        <v>7032</v>
      </c>
      <c r="L1129" s="6" t="s">
        <v>8206</v>
      </c>
      <c r="M1129" s="108" t="s">
        <v>8207</v>
      </c>
      <c r="N1129" s="13" t="s">
        <v>8208</v>
      </c>
      <c r="O1129" s="13" t="s">
        <v>293</v>
      </c>
      <c r="P1129" s="13" t="s">
        <v>16</v>
      </c>
      <c r="Q1129" s="6" t="s">
        <v>8209</v>
      </c>
      <c r="R1129" s="69" t="s">
        <v>8210</v>
      </c>
      <c r="S1129" s="30"/>
      <c r="T1129" s="18">
        <v>120</v>
      </c>
      <c r="U1129" s="18">
        <v>120</v>
      </c>
      <c r="V1129" s="13" t="s">
        <v>8211</v>
      </c>
      <c r="X1129" s="132">
        <v>1119</v>
      </c>
      <c r="Y1129" s="6"/>
    </row>
    <row r="1130" spans="1:25" ht="15" customHeight="1" x14ac:dyDescent="0.25">
      <c r="A1130" s="12" t="s">
        <v>11988</v>
      </c>
      <c r="B1130" s="92" t="s">
        <v>4977</v>
      </c>
      <c r="C1130" s="93">
        <v>46912</v>
      </c>
      <c r="D1130" s="92" t="s">
        <v>1533</v>
      </c>
      <c r="E1130" s="94" t="s">
        <v>8203</v>
      </c>
      <c r="F1130" s="95" t="s">
        <v>11989</v>
      </c>
      <c r="G1130" s="94" t="s">
        <v>8205</v>
      </c>
      <c r="H1130" s="94" t="s">
        <v>8205</v>
      </c>
      <c r="I1130" s="92" t="s">
        <v>39</v>
      </c>
      <c r="J1130" s="92">
        <v>12</v>
      </c>
      <c r="K1130" s="92" t="s">
        <v>7032</v>
      </c>
      <c r="L1130" s="94" t="s">
        <v>11990</v>
      </c>
      <c r="M1130" s="113" t="s">
        <v>8207</v>
      </c>
      <c r="N1130" s="92" t="s">
        <v>8208</v>
      </c>
      <c r="O1130" s="92" t="s">
        <v>293</v>
      </c>
      <c r="P1130" s="92" t="s">
        <v>16</v>
      </c>
      <c r="Q1130" s="94" t="s">
        <v>8209</v>
      </c>
      <c r="R1130" s="69" t="s">
        <v>8210</v>
      </c>
      <c r="S1130" s="96" t="s">
        <v>11991</v>
      </c>
      <c r="T1130" s="97">
        <v>100</v>
      </c>
      <c r="U1130" s="97">
        <v>100</v>
      </c>
      <c r="V1130" s="92" t="s">
        <v>8211</v>
      </c>
      <c r="W1130" s="94"/>
      <c r="X1130" s="143"/>
      <c r="Y1130" s="6"/>
    </row>
    <row r="1131" spans="1:25" ht="15" customHeight="1" x14ac:dyDescent="0.25">
      <c r="A1131" s="12" t="s">
        <v>8402</v>
      </c>
      <c r="B1131" s="13" t="s">
        <v>4977</v>
      </c>
      <c r="C1131" s="14">
        <v>46295</v>
      </c>
      <c r="D1131" s="13" t="s">
        <v>33</v>
      </c>
      <c r="E1131" s="6" t="s">
        <v>8217</v>
      </c>
      <c r="F1131" s="15" t="s">
        <v>8225</v>
      </c>
      <c r="G1131" s="6" t="s">
        <v>8218</v>
      </c>
      <c r="H1131" s="6" t="s">
        <v>8218</v>
      </c>
      <c r="I1131" s="13" t="s">
        <v>25</v>
      </c>
      <c r="J1131" s="13">
        <v>3</v>
      </c>
      <c r="K1131" s="13" t="s">
        <v>1714</v>
      </c>
      <c r="L1131" s="6" t="s">
        <v>8219</v>
      </c>
      <c r="M1131" s="108" t="s">
        <v>8220</v>
      </c>
      <c r="N1131" s="13" t="s">
        <v>8221</v>
      </c>
      <c r="O1131" s="13" t="s">
        <v>204</v>
      </c>
      <c r="P1131" s="13" t="s">
        <v>9</v>
      </c>
      <c r="Q1131" s="6" t="s">
        <v>8222</v>
      </c>
      <c r="R1131" s="69" t="s">
        <v>8223</v>
      </c>
      <c r="S1131" s="30"/>
      <c r="T1131" s="18">
        <v>36</v>
      </c>
      <c r="U1131" s="18">
        <v>25</v>
      </c>
      <c r="V1131" s="13" t="s">
        <v>8224</v>
      </c>
      <c r="X1131" s="132">
        <v>1120</v>
      </c>
      <c r="Y1131" s="6"/>
    </row>
    <row r="1132" spans="1:25" ht="15" customHeight="1" x14ac:dyDescent="0.25">
      <c r="A1132" s="12" t="s">
        <v>8401</v>
      </c>
      <c r="B1132" s="92" t="s">
        <v>4978</v>
      </c>
      <c r="C1132" s="74">
        <v>47026</v>
      </c>
      <c r="D1132" s="13" t="s">
        <v>33</v>
      </c>
      <c r="E1132" s="6" t="s">
        <v>8226</v>
      </c>
      <c r="F1132" s="15" t="s">
        <v>8168</v>
      </c>
      <c r="G1132" s="6" t="s">
        <v>8227</v>
      </c>
      <c r="H1132" s="6" t="s">
        <v>8227</v>
      </c>
      <c r="I1132" s="13" t="s">
        <v>25</v>
      </c>
      <c r="J1132" s="13">
        <v>3</v>
      </c>
      <c r="K1132" s="13" t="s">
        <v>1714</v>
      </c>
      <c r="L1132" s="6" t="s">
        <v>8228</v>
      </c>
      <c r="M1132" s="108" t="s">
        <v>8229</v>
      </c>
      <c r="N1132" s="13" t="s">
        <v>8230</v>
      </c>
      <c r="O1132" s="13" t="s">
        <v>293</v>
      </c>
      <c r="P1132" s="13" t="s">
        <v>16</v>
      </c>
      <c r="Q1132" s="6" t="s">
        <v>8231</v>
      </c>
      <c r="R1132" s="69" t="s">
        <v>8232</v>
      </c>
      <c r="S1132" s="30"/>
      <c r="T1132" s="18">
        <v>37</v>
      </c>
      <c r="U1132" s="18">
        <v>34</v>
      </c>
      <c r="V1132" s="13" t="s">
        <v>8233</v>
      </c>
      <c r="X1132" s="132">
        <v>1121</v>
      </c>
      <c r="Y1132" s="6"/>
    </row>
    <row r="1133" spans="1:25" ht="15" customHeight="1" x14ac:dyDescent="0.25">
      <c r="A1133" s="12" t="s">
        <v>8400</v>
      </c>
      <c r="B1133" s="92" t="s">
        <v>4978</v>
      </c>
      <c r="C1133" s="74">
        <v>47026</v>
      </c>
      <c r="D1133" s="13" t="s">
        <v>33</v>
      </c>
      <c r="E1133" s="6" t="s">
        <v>8236</v>
      </c>
      <c r="F1133" s="15" t="s">
        <v>8243</v>
      </c>
      <c r="G1133" s="6" t="s">
        <v>8237</v>
      </c>
      <c r="H1133" s="6" t="s">
        <v>8237</v>
      </c>
      <c r="I1133" s="13" t="s">
        <v>25</v>
      </c>
      <c r="J1133" s="13">
        <v>3</v>
      </c>
      <c r="K1133" s="13" t="s">
        <v>1714</v>
      </c>
      <c r="L1133" s="6" t="s">
        <v>8238</v>
      </c>
      <c r="M1133" s="108" t="s">
        <v>2469</v>
      </c>
      <c r="N1133" s="13" t="s">
        <v>2470</v>
      </c>
      <c r="O1133" s="13" t="s">
        <v>136</v>
      </c>
      <c r="P1133" s="13" t="s">
        <v>4</v>
      </c>
      <c r="Q1133" s="6" t="s">
        <v>8239</v>
      </c>
      <c r="R1133" s="69" t="s">
        <v>8240</v>
      </c>
      <c r="S1133" s="69" t="s">
        <v>8241</v>
      </c>
      <c r="T1133" s="18">
        <v>40</v>
      </c>
      <c r="U1133" s="18">
        <v>37</v>
      </c>
      <c r="V1133" s="13" t="s">
        <v>8242</v>
      </c>
      <c r="X1133" s="132">
        <v>1122</v>
      </c>
      <c r="Y1133" s="6"/>
    </row>
    <row r="1134" spans="1:25" ht="15" customHeight="1" x14ac:dyDescent="0.25">
      <c r="A1134" s="12" t="s">
        <v>8399</v>
      </c>
      <c r="B1134" s="13" t="s">
        <v>4977</v>
      </c>
      <c r="C1134" s="14">
        <v>46295</v>
      </c>
      <c r="D1134" s="13" t="s">
        <v>33</v>
      </c>
      <c r="E1134" s="6" t="s">
        <v>8244</v>
      </c>
      <c r="F1134" s="15" t="s">
        <v>8245</v>
      </c>
      <c r="G1134" s="6" t="s">
        <v>8246</v>
      </c>
      <c r="H1134" s="6" t="s">
        <v>8246</v>
      </c>
      <c r="I1134" s="13" t="s">
        <v>25</v>
      </c>
      <c r="J1134" s="13">
        <v>3</v>
      </c>
      <c r="K1134" s="13" t="s">
        <v>1714</v>
      </c>
      <c r="L1134" s="6" t="s">
        <v>8247</v>
      </c>
      <c r="M1134" s="108" t="s">
        <v>8248</v>
      </c>
      <c r="N1134" s="13" t="s">
        <v>8249</v>
      </c>
      <c r="O1134" s="13" t="s">
        <v>293</v>
      </c>
      <c r="P1134" s="13" t="s">
        <v>16</v>
      </c>
      <c r="Q1134" s="6" t="s">
        <v>8250</v>
      </c>
      <c r="R1134" s="69" t="s">
        <v>8252</v>
      </c>
      <c r="S1134" s="30"/>
      <c r="T1134" s="18">
        <v>20</v>
      </c>
      <c r="U1134" s="18">
        <v>13</v>
      </c>
      <c r="V1134" s="13" t="s">
        <v>8251</v>
      </c>
      <c r="X1134" s="132">
        <v>1123</v>
      </c>
      <c r="Y1134" s="6"/>
    </row>
    <row r="1135" spans="1:25" ht="15" customHeight="1" x14ac:dyDescent="0.25">
      <c r="A1135" s="12" t="s">
        <v>8398</v>
      </c>
      <c r="B1135" s="92" t="s">
        <v>4978</v>
      </c>
      <c r="C1135" s="74">
        <v>47055</v>
      </c>
      <c r="D1135" s="13" t="s">
        <v>33</v>
      </c>
      <c r="E1135" s="6" t="s">
        <v>8265</v>
      </c>
      <c r="F1135" s="15" t="s">
        <v>8266</v>
      </c>
      <c r="G1135" s="6" t="s">
        <v>8267</v>
      </c>
      <c r="H1135" s="6" t="s">
        <v>8267</v>
      </c>
      <c r="I1135" s="13" t="s">
        <v>25</v>
      </c>
      <c r="J1135" s="13">
        <v>3</v>
      </c>
      <c r="K1135" s="13" t="s">
        <v>1714</v>
      </c>
      <c r="L1135" s="6" t="s">
        <v>8268</v>
      </c>
      <c r="M1135" s="108" t="s">
        <v>8269</v>
      </c>
      <c r="N1135" s="13" t="s">
        <v>2667</v>
      </c>
      <c r="O1135" s="13" t="s">
        <v>177</v>
      </c>
      <c r="P1135" s="13" t="s">
        <v>9</v>
      </c>
      <c r="Q1135" s="6" t="s">
        <v>8270</v>
      </c>
      <c r="R1135" s="69" t="s">
        <v>8271</v>
      </c>
      <c r="S1135" s="30"/>
      <c r="T1135" s="18">
        <v>28</v>
      </c>
      <c r="U1135" s="18">
        <v>25</v>
      </c>
      <c r="V1135" s="13" t="s">
        <v>8272</v>
      </c>
      <c r="X1135" s="132">
        <v>1124</v>
      </c>
      <c r="Y1135" s="6"/>
    </row>
    <row r="1136" spans="1:25" ht="15" customHeight="1" x14ac:dyDescent="0.25">
      <c r="A1136" s="12" t="s">
        <v>8397</v>
      </c>
      <c r="B1136" s="92" t="s">
        <v>4978</v>
      </c>
      <c r="C1136" s="74">
        <v>47055</v>
      </c>
      <c r="D1136" s="13" t="s">
        <v>33</v>
      </c>
      <c r="E1136" s="6" t="s">
        <v>8274</v>
      </c>
      <c r="F1136" s="15" t="s">
        <v>8275</v>
      </c>
      <c r="G1136" s="6" t="s">
        <v>8276</v>
      </c>
      <c r="H1136" s="6" t="s">
        <v>8276</v>
      </c>
      <c r="I1136" s="13" t="s">
        <v>25</v>
      </c>
      <c r="J1136" s="13">
        <v>3</v>
      </c>
      <c r="K1136" s="13" t="s">
        <v>1714</v>
      </c>
      <c r="L1136" s="6" t="s">
        <v>8277</v>
      </c>
      <c r="M1136" s="108" t="s">
        <v>8278</v>
      </c>
      <c r="N1136" s="13" t="s">
        <v>2450</v>
      </c>
      <c r="O1136" s="13" t="s">
        <v>128</v>
      </c>
      <c r="P1136" s="13" t="s">
        <v>16</v>
      </c>
      <c r="Q1136" s="6" t="s">
        <v>8467</v>
      </c>
      <c r="R1136" s="69" t="s">
        <v>8279</v>
      </c>
      <c r="S1136" s="30"/>
      <c r="T1136" s="18">
        <v>15</v>
      </c>
      <c r="U1136" s="18">
        <v>12</v>
      </c>
      <c r="V1136" s="13" t="s">
        <v>8273</v>
      </c>
      <c r="X1136" s="132">
        <v>1125</v>
      </c>
      <c r="Y1136" s="6"/>
    </row>
    <row r="1137" spans="1:25" ht="15" customHeight="1" x14ac:dyDescent="0.25">
      <c r="A1137" s="12" t="s">
        <v>8396</v>
      </c>
      <c r="B1137" s="92" t="s">
        <v>4978</v>
      </c>
      <c r="C1137" s="74">
        <v>47055</v>
      </c>
      <c r="D1137" s="13" t="s">
        <v>33</v>
      </c>
      <c r="E1137" s="6" t="s">
        <v>8284</v>
      </c>
      <c r="F1137" s="15" t="s">
        <v>8285</v>
      </c>
      <c r="G1137" s="6" t="s">
        <v>8286</v>
      </c>
      <c r="H1137" s="6" t="s">
        <v>8286</v>
      </c>
      <c r="I1137" s="13" t="s">
        <v>25</v>
      </c>
      <c r="J1137" s="13">
        <v>3</v>
      </c>
      <c r="K1137" s="13" t="s">
        <v>1714</v>
      </c>
      <c r="L1137" s="6" t="s">
        <v>8287</v>
      </c>
      <c r="M1137" s="108" t="s">
        <v>8288</v>
      </c>
      <c r="N1137" s="13" t="s">
        <v>3888</v>
      </c>
      <c r="O1137" s="13" t="s">
        <v>53</v>
      </c>
      <c r="P1137" s="13" t="s">
        <v>54</v>
      </c>
      <c r="Q1137" s="6" t="s">
        <v>3786</v>
      </c>
      <c r="R1137" s="69" t="s">
        <v>4682</v>
      </c>
      <c r="S1137" s="30"/>
      <c r="T1137" s="18">
        <v>25</v>
      </c>
      <c r="U1137" s="18">
        <v>11</v>
      </c>
      <c r="V1137" s="13" t="s">
        <v>8289</v>
      </c>
      <c r="X1137" s="132">
        <v>1126</v>
      </c>
      <c r="Y1137" s="6"/>
    </row>
    <row r="1138" spans="1:25" ht="15" customHeight="1" x14ac:dyDescent="0.25">
      <c r="A1138" s="12" t="s">
        <v>8395</v>
      </c>
      <c r="B1138" s="13" t="s">
        <v>4977</v>
      </c>
      <c r="C1138" s="14">
        <v>46324</v>
      </c>
      <c r="D1138" s="13" t="s">
        <v>1533</v>
      </c>
      <c r="E1138" s="6" t="s">
        <v>8307</v>
      </c>
      <c r="F1138" s="15" t="s">
        <v>8308</v>
      </c>
      <c r="G1138" s="6" t="s">
        <v>8309</v>
      </c>
      <c r="H1138" s="6" t="s">
        <v>8309</v>
      </c>
      <c r="I1138" s="13" t="s">
        <v>39</v>
      </c>
      <c r="J1138" s="13">
        <v>12</v>
      </c>
      <c r="K1138" s="13" t="s">
        <v>6574</v>
      </c>
      <c r="L1138" s="6" t="s">
        <v>8465</v>
      </c>
      <c r="M1138" s="108" t="s">
        <v>8466</v>
      </c>
      <c r="N1138" s="13" t="s">
        <v>4114</v>
      </c>
      <c r="O1138" s="13" t="s">
        <v>1847</v>
      </c>
      <c r="P1138" s="13" t="s">
        <v>68</v>
      </c>
      <c r="Q1138" s="6" t="s">
        <v>8311</v>
      </c>
      <c r="R1138" s="69" t="s">
        <v>8312</v>
      </c>
      <c r="S1138" s="30"/>
      <c r="T1138" s="18">
        <v>60</v>
      </c>
      <c r="U1138" s="18">
        <v>60</v>
      </c>
      <c r="V1138" s="13" t="s">
        <v>8310</v>
      </c>
      <c r="X1138" s="132">
        <v>1127</v>
      </c>
      <c r="Y1138" s="6"/>
    </row>
    <row r="1139" spans="1:25" ht="15" customHeight="1" x14ac:dyDescent="0.25">
      <c r="A1139" s="12" t="s">
        <v>8394</v>
      </c>
      <c r="B1139" s="92" t="s">
        <v>4978</v>
      </c>
      <c r="C1139" s="74">
        <v>47055</v>
      </c>
      <c r="D1139" s="13" t="s">
        <v>33</v>
      </c>
      <c r="E1139" s="6" t="s">
        <v>8313</v>
      </c>
      <c r="F1139" s="15" t="s">
        <v>8314</v>
      </c>
      <c r="G1139" s="6" t="s">
        <v>8315</v>
      </c>
      <c r="H1139" s="6" t="s">
        <v>8315</v>
      </c>
      <c r="I1139" s="13" t="s">
        <v>25</v>
      </c>
      <c r="J1139" s="13">
        <v>3</v>
      </c>
      <c r="K1139" s="13" t="s">
        <v>1714</v>
      </c>
      <c r="L1139" s="6" t="s">
        <v>8316</v>
      </c>
      <c r="M1139" s="108" t="s">
        <v>8317</v>
      </c>
      <c r="N1139" s="13" t="s">
        <v>3214</v>
      </c>
      <c r="O1139" s="13" t="s">
        <v>172</v>
      </c>
      <c r="P1139" s="13" t="s">
        <v>9</v>
      </c>
      <c r="Q1139" s="6" t="s">
        <v>8318</v>
      </c>
      <c r="R1139" s="69" t="s">
        <v>8319</v>
      </c>
      <c r="S1139" s="30"/>
      <c r="T1139" s="18">
        <v>25</v>
      </c>
      <c r="U1139" s="18">
        <v>23</v>
      </c>
      <c r="V1139" s="13" t="s">
        <v>8320</v>
      </c>
      <c r="X1139" s="132">
        <v>1128</v>
      </c>
      <c r="Y1139" s="6"/>
    </row>
    <row r="1140" spans="1:25" ht="15" customHeight="1" x14ac:dyDescent="0.25">
      <c r="A1140" s="12" t="s">
        <v>8393</v>
      </c>
      <c r="B1140" s="13" t="s">
        <v>4977</v>
      </c>
      <c r="C1140" s="14">
        <v>46324</v>
      </c>
      <c r="D1140" s="13" t="s">
        <v>1533</v>
      </c>
      <c r="E1140" s="6" t="s">
        <v>8321</v>
      </c>
      <c r="F1140" s="15" t="s">
        <v>8374</v>
      </c>
      <c r="G1140" s="6" t="s">
        <v>8322</v>
      </c>
      <c r="H1140" s="6" t="s">
        <v>8322</v>
      </c>
      <c r="I1140" s="13" t="s">
        <v>13</v>
      </c>
      <c r="J1140" s="13">
        <v>8</v>
      </c>
      <c r="K1140" s="13" t="s">
        <v>1714</v>
      </c>
      <c r="L1140" s="6" t="s">
        <v>8323</v>
      </c>
      <c r="M1140" s="108" t="s">
        <v>8324</v>
      </c>
      <c r="N1140" s="13" t="s">
        <v>8325</v>
      </c>
      <c r="O1140" s="13" t="s">
        <v>743</v>
      </c>
      <c r="P1140" s="13" t="s">
        <v>16</v>
      </c>
      <c r="Q1140" s="6" t="s">
        <v>8326</v>
      </c>
      <c r="R1140" s="69" t="s">
        <v>8327</v>
      </c>
      <c r="S1140" s="69" t="s">
        <v>8328</v>
      </c>
      <c r="T1140" s="18">
        <v>50</v>
      </c>
      <c r="U1140" s="18">
        <v>50</v>
      </c>
      <c r="V1140" s="13" t="s">
        <v>8329</v>
      </c>
      <c r="X1140" s="132">
        <v>1129</v>
      </c>
      <c r="Y1140" s="6"/>
    </row>
    <row r="1141" spans="1:25" ht="15" customHeight="1" x14ac:dyDescent="0.25">
      <c r="A1141" s="12" t="s">
        <v>8392</v>
      </c>
      <c r="B1141" s="92" t="s">
        <v>4978</v>
      </c>
      <c r="C1141" s="74">
        <v>47055</v>
      </c>
      <c r="D1141" s="13" t="s">
        <v>33</v>
      </c>
      <c r="E1141" s="6" t="s">
        <v>8375</v>
      </c>
      <c r="F1141" s="15" t="s">
        <v>8376</v>
      </c>
      <c r="G1141" s="6" t="s">
        <v>8330</v>
      </c>
      <c r="H1141" s="6" t="s">
        <v>8330</v>
      </c>
      <c r="I1141" s="13" t="s">
        <v>25</v>
      </c>
      <c r="J1141" s="13">
        <v>3</v>
      </c>
      <c r="K1141" s="13" t="s">
        <v>1714</v>
      </c>
      <c r="L1141" s="6" t="s">
        <v>4119</v>
      </c>
      <c r="M1141" s="108" t="s">
        <v>8331</v>
      </c>
      <c r="N1141" s="13" t="s">
        <v>2169</v>
      </c>
      <c r="O1141" s="13" t="s">
        <v>8</v>
      </c>
      <c r="P1141" s="13" t="s">
        <v>9</v>
      </c>
      <c r="Q1141" s="6" t="s">
        <v>8332</v>
      </c>
      <c r="R1141" s="69" t="s">
        <v>8334</v>
      </c>
      <c r="S1141" s="69" t="s">
        <v>8333</v>
      </c>
      <c r="T1141" s="18">
        <v>17</v>
      </c>
      <c r="U1141" s="18">
        <v>17</v>
      </c>
      <c r="V1141" s="13" t="s">
        <v>8335</v>
      </c>
      <c r="X1141" s="132">
        <v>1130</v>
      </c>
      <c r="Y1141" s="6"/>
    </row>
    <row r="1142" spans="1:25" ht="15" customHeight="1" x14ac:dyDescent="0.25">
      <c r="A1142" s="12" t="s">
        <v>8391</v>
      </c>
      <c r="B1142" s="92" t="s">
        <v>4978</v>
      </c>
      <c r="C1142" s="74">
        <v>47055</v>
      </c>
      <c r="D1142" s="13" t="s">
        <v>33</v>
      </c>
      <c r="E1142" s="6" t="s">
        <v>8336</v>
      </c>
      <c r="F1142" s="15" t="s">
        <v>8337</v>
      </c>
      <c r="G1142" s="6" t="s">
        <v>8338</v>
      </c>
      <c r="H1142" s="6" t="s">
        <v>8338</v>
      </c>
      <c r="I1142" s="13" t="s">
        <v>25</v>
      </c>
      <c r="J1142" s="13">
        <v>3</v>
      </c>
      <c r="K1142" s="13" t="s">
        <v>1714</v>
      </c>
      <c r="L1142" s="6" t="s">
        <v>8339</v>
      </c>
      <c r="M1142" s="108" t="s">
        <v>8340</v>
      </c>
      <c r="N1142" s="13" t="s">
        <v>3135</v>
      </c>
      <c r="O1142" s="13" t="s">
        <v>1847</v>
      </c>
      <c r="P1142" s="13" t="s">
        <v>68</v>
      </c>
      <c r="Q1142" s="6" t="s">
        <v>8341</v>
      </c>
      <c r="R1142" s="69" t="s">
        <v>8342</v>
      </c>
      <c r="S1142" s="30"/>
      <c r="T1142" s="18">
        <v>10</v>
      </c>
      <c r="U1142" s="18">
        <v>10</v>
      </c>
      <c r="V1142" s="13" t="s">
        <v>8343</v>
      </c>
      <c r="X1142" s="132">
        <v>1131</v>
      </c>
      <c r="Y1142" s="6"/>
    </row>
    <row r="1143" spans="1:25" ht="15" customHeight="1" x14ac:dyDescent="0.25">
      <c r="A1143" s="12" t="s">
        <v>8390</v>
      </c>
      <c r="B1143" s="13" t="s">
        <v>4977</v>
      </c>
      <c r="C1143" s="14">
        <v>46324</v>
      </c>
      <c r="D1143" s="13" t="s">
        <v>33</v>
      </c>
      <c r="E1143" s="6" t="s">
        <v>8355</v>
      </c>
      <c r="F1143" s="15" t="s">
        <v>8356</v>
      </c>
      <c r="G1143" s="6" t="s">
        <v>8357</v>
      </c>
      <c r="H1143" s="6" t="s">
        <v>8357</v>
      </c>
      <c r="I1143" s="13" t="s">
        <v>25</v>
      </c>
      <c r="J1143" s="13">
        <v>3</v>
      </c>
      <c r="K1143" s="13" t="s">
        <v>1714</v>
      </c>
      <c r="L1143" s="6" t="s">
        <v>8358</v>
      </c>
      <c r="M1143" s="108" t="s">
        <v>8359</v>
      </c>
      <c r="N1143" s="13" t="s">
        <v>8360</v>
      </c>
      <c r="O1143" s="13" t="s">
        <v>21</v>
      </c>
      <c r="P1143" s="13" t="s">
        <v>9</v>
      </c>
      <c r="Q1143" s="6" t="s">
        <v>8361</v>
      </c>
      <c r="R1143" s="69" t="s">
        <v>8362</v>
      </c>
      <c r="S1143" s="69" t="s">
        <v>8363</v>
      </c>
      <c r="T1143" s="18">
        <v>39</v>
      </c>
      <c r="U1143" s="18">
        <v>29</v>
      </c>
      <c r="V1143" s="13" t="s">
        <v>8364</v>
      </c>
      <c r="X1143" s="132">
        <v>1132</v>
      </c>
      <c r="Y1143" s="6"/>
    </row>
    <row r="1144" spans="1:25" ht="15" customHeight="1" x14ac:dyDescent="0.25">
      <c r="A1144" s="12" t="s">
        <v>8389</v>
      </c>
      <c r="B1144" s="92" t="s">
        <v>4978</v>
      </c>
      <c r="C1144" s="74">
        <v>47055</v>
      </c>
      <c r="D1144" s="13" t="s">
        <v>33</v>
      </c>
      <c r="E1144" s="6" t="s">
        <v>8366</v>
      </c>
      <c r="F1144" s="15" t="s">
        <v>8367</v>
      </c>
      <c r="G1144" s="6" t="s">
        <v>8368</v>
      </c>
      <c r="H1144" s="6" t="s">
        <v>8368</v>
      </c>
      <c r="I1144" s="13" t="s">
        <v>25</v>
      </c>
      <c r="J1144" s="13">
        <v>3</v>
      </c>
      <c r="K1144" s="13" t="s">
        <v>1714</v>
      </c>
      <c r="L1144" s="6" t="s">
        <v>8369</v>
      </c>
      <c r="M1144" s="108" t="s">
        <v>8370</v>
      </c>
      <c r="N1144" s="13" t="s">
        <v>4528</v>
      </c>
      <c r="O1144" s="13" t="s">
        <v>2146</v>
      </c>
      <c r="P1144" s="13" t="s">
        <v>68</v>
      </c>
      <c r="Q1144" s="6" t="s">
        <v>8371</v>
      </c>
      <c r="R1144" s="69" t="s">
        <v>8372</v>
      </c>
      <c r="S1144" s="30"/>
      <c r="T1144" s="18">
        <v>22</v>
      </c>
      <c r="U1144" s="18">
        <v>13</v>
      </c>
      <c r="V1144" s="13" t="s">
        <v>8373</v>
      </c>
      <c r="X1144" s="132">
        <v>1133</v>
      </c>
      <c r="Y1144" s="6"/>
    </row>
    <row r="1145" spans="1:25" ht="15" customHeight="1" x14ac:dyDescent="0.25">
      <c r="A1145" s="12" t="s">
        <v>8435</v>
      </c>
      <c r="B1145" s="92" t="s">
        <v>4978</v>
      </c>
      <c r="C1145" s="74">
        <v>47055</v>
      </c>
      <c r="D1145" s="13" t="s">
        <v>33</v>
      </c>
      <c r="E1145" s="6" t="s">
        <v>8436</v>
      </c>
      <c r="F1145" s="15" t="s">
        <v>8437</v>
      </c>
      <c r="G1145" s="6" t="s">
        <v>8438</v>
      </c>
      <c r="H1145" s="6" t="s">
        <v>8438</v>
      </c>
      <c r="I1145" s="13" t="s">
        <v>25</v>
      </c>
      <c r="J1145" s="13">
        <v>3</v>
      </c>
      <c r="K1145" s="13" t="s">
        <v>1714</v>
      </c>
      <c r="L1145" s="6" t="s">
        <v>8439</v>
      </c>
      <c r="M1145" s="108" t="s">
        <v>2469</v>
      </c>
      <c r="N1145" s="13" t="s">
        <v>2470</v>
      </c>
      <c r="O1145" s="13" t="s">
        <v>136</v>
      </c>
      <c r="P1145" s="13" t="s">
        <v>4</v>
      </c>
      <c r="Q1145" s="6" t="s">
        <v>8440</v>
      </c>
      <c r="R1145" s="69" t="s">
        <v>8441</v>
      </c>
      <c r="S1145" s="69" t="s">
        <v>8442</v>
      </c>
      <c r="T1145" s="18">
        <v>32</v>
      </c>
      <c r="U1145" s="18">
        <v>28</v>
      </c>
      <c r="V1145" s="13" t="s">
        <v>8443</v>
      </c>
      <c r="X1145" s="132">
        <v>1134</v>
      </c>
      <c r="Y1145" s="6"/>
    </row>
    <row r="1146" spans="1:25" ht="15" customHeight="1" x14ac:dyDescent="0.25">
      <c r="A1146" s="12" t="s">
        <v>10123</v>
      </c>
      <c r="B1146" s="13" t="s">
        <v>4977</v>
      </c>
      <c r="C1146" s="14">
        <v>46324</v>
      </c>
      <c r="D1146" s="13" t="s">
        <v>33</v>
      </c>
      <c r="E1146" s="6" t="s">
        <v>8444</v>
      </c>
      <c r="F1146" s="15" t="s">
        <v>8445</v>
      </c>
      <c r="G1146" s="6" t="s">
        <v>8446</v>
      </c>
      <c r="H1146" s="6" t="s">
        <v>8446</v>
      </c>
      <c r="I1146" s="13" t="s">
        <v>25</v>
      </c>
      <c r="J1146" s="13">
        <v>3</v>
      </c>
      <c r="K1146" s="13" t="s">
        <v>1714</v>
      </c>
      <c r="L1146" s="6" t="s">
        <v>8447</v>
      </c>
      <c r="M1146" s="108" t="s">
        <v>8448</v>
      </c>
      <c r="N1146" s="13" t="s">
        <v>3191</v>
      </c>
      <c r="O1146" s="13" t="s">
        <v>445</v>
      </c>
      <c r="P1146" s="13" t="s">
        <v>16</v>
      </c>
      <c r="Q1146" s="6" t="s">
        <v>8449</v>
      </c>
      <c r="R1146" s="69" t="s">
        <v>8450</v>
      </c>
      <c r="S1146" s="69" t="s">
        <v>8488</v>
      </c>
      <c r="T1146" s="18">
        <v>28</v>
      </c>
      <c r="U1146" s="18">
        <v>26</v>
      </c>
      <c r="V1146" s="13" t="s">
        <v>8451</v>
      </c>
      <c r="X1146" s="132">
        <v>1135</v>
      </c>
      <c r="Y1146" s="6"/>
    </row>
    <row r="1147" spans="1:25" ht="15" customHeight="1" x14ac:dyDescent="0.25">
      <c r="A1147" s="12" t="s">
        <v>8484</v>
      </c>
      <c r="B1147" s="13" t="s">
        <v>4977</v>
      </c>
      <c r="C1147" s="14">
        <v>46359</v>
      </c>
      <c r="D1147" s="13" t="s">
        <v>33</v>
      </c>
      <c r="E1147" s="6" t="s">
        <v>8444</v>
      </c>
      <c r="F1147" s="15" t="s">
        <v>8485</v>
      </c>
      <c r="G1147" s="6" t="s">
        <v>8446</v>
      </c>
      <c r="H1147" s="6" t="s">
        <v>8486</v>
      </c>
      <c r="I1147" s="13" t="s">
        <v>25</v>
      </c>
      <c r="J1147" s="13">
        <v>3</v>
      </c>
      <c r="K1147" s="13" t="s">
        <v>1714</v>
      </c>
      <c r="L1147" s="6" t="s">
        <v>8493</v>
      </c>
      <c r="M1147" s="108" t="s">
        <v>8487</v>
      </c>
      <c r="N1147" s="13" t="s">
        <v>3191</v>
      </c>
      <c r="O1147" s="13" t="s">
        <v>445</v>
      </c>
      <c r="P1147" s="13" t="s">
        <v>16</v>
      </c>
      <c r="Q1147" s="6" t="s">
        <v>8449</v>
      </c>
      <c r="R1147" s="69" t="s">
        <v>8450</v>
      </c>
      <c r="S1147" s="69" t="s">
        <v>8488</v>
      </c>
      <c r="T1147" s="18">
        <v>70</v>
      </c>
      <c r="U1147" s="18">
        <v>60</v>
      </c>
      <c r="V1147" s="13" t="s">
        <v>8489</v>
      </c>
      <c r="X1147" s="132">
        <v>1136</v>
      </c>
      <c r="Y1147" s="6"/>
    </row>
    <row r="1148" spans="1:25" s="57" customFormat="1" ht="14.25" customHeight="1" x14ac:dyDescent="0.25">
      <c r="A1148" s="12" t="s">
        <v>8490</v>
      </c>
      <c r="B1148" s="13" t="s">
        <v>4977</v>
      </c>
      <c r="C1148" s="14">
        <v>46359</v>
      </c>
      <c r="D1148" s="13" t="s">
        <v>33</v>
      </c>
      <c r="E1148" s="6" t="s">
        <v>8444</v>
      </c>
      <c r="F1148" s="15" t="s">
        <v>8491</v>
      </c>
      <c r="G1148" s="6" t="s">
        <v>8446</v>
      </c>
      <c r="H1148" s="6" t="s">
        <v>8492</v>
      </c>
      <c r="I1148" s="13" t="s">
        <v>25</v>
      </c>
      <c r="J1148" s="13">
        <v>3</v>
      </c>
      <c r="K1148" s="13" t="s">
        <v>1714</v>
      </c>
      <c r="L1148" s="6" t="s">
        <v>8494</v>
      </c>
      <c r="M1148" s="108" t="s">
        <v>8495</v>
      </c>
      <c r="N1148" s="13" t="s">
        <v>3191</v>
      </c>
      <c r="O1148" s="13" t="s">
        <v>445</v>
      </c>
      <c r="P1148" s="13" t="s">
        <v>16</v>
      </c>
      <c r="Q1148" s="6" t="s">
        <v>8449</v>
      </c>
      <c r="R1148" s="69" t="s">
        <v>8450</v>
      </c>
      <c r="S1148" s="69" t="s">
        <v>8488</v>
      </c>
      <c r="T1148" s="18">
        <v>45</v>
      </c>
      <c r="U1148" s="18">
        <v>42</v>
      </c>
      <c r="V1148" s="13" t="s">
        <v>8496</v>
      </c>
      <c r="W1148" s="6"/>
      <c r="X1148" s="132">
        <v>1137</v>
      </c>
    </row>
    <row r="1149" spans="1:25" s="57" customFormat="1" ht="14.25" customHeight="1" x14ac:dyDescent="0.2">
      <c r="A1149" s="75" t="s">
        <v>8455</v>
      </c>
      <c r="B1149" s="26" t="s">
        <v>4977</v>
      </c>
      <c r="C1149" s="74">
        <v>46324</v>
      </c>
      <c r="D1149" s="26" t="s">
        <v>33</v>
      </c>
      <c r="E1149" s="57" t="s">
        <v>8456</v>
      </c>
      <c r="F1149" s="57" t="s">
        <v>8457</v>
      </c>
      <c r="G1149" s="57" t="s">
        <v>8464</v>
      </c>
      <c r="H1149" s="57" t="s">
        <v>8464</v>
      </c>
      <c r="I1149" s="26" t="s">
        <v>25</v>
      </c>
      <c r="J1149" s="26">
        <v>3</v>
      </c>
      <c r="K1149" s="26" t="s">
        <v>1714</v>
      </c>
      <c r="L1149" s="57" t="s">
        <v>8458</v>
      </c>
      <c r="M1149" s="111" t="s">
        <v>8460</v>
      </c>
      <c r="N1149" s="26" t="s">
        <v>8459</v>
      </c>
      <c r="O1149" s="13" t="s">
        <v>519</v>
      </c>
      <c r="P1149" s="13" t="s">
        <v>16</v>
      </c>
      <c r="Q1149" s="57" t="s">
        <v>8461</v>
      </c>
      <c r="R1149" s="71" t="s">
        <v>8463</v>
      </c>
      <c r="S1149" s="72"/>
      <c r="T1149" s="73">
        <v>31</v>
      </c>
      <c r="U1149" s="73">
        <v>26</v>
      </c>
      <c r="V1149" s="26" t="s">
        <v>8462</v>
      </c>
      <c r="X1149" s="132">
        <v>1138</v>
      </c>
    </row>
    <row r="1150" spans="1:25" ht="12.75" customHeight="1" x14ac:dyDescent="0.2">
      <c r="A1150" s="75" t="s">
        <v>8545</v>
      </c>
      <c r="B1150" s="92" t="s">
        <v>4978</v>
      </c>
      <c r="C1150" s="74">
        <v>47090</v>
      </c>
      <c r="D1150" s="13" t="s">
        <v>33</v>
      </c>
      <c r="E1150" s="57" t="s">
        <v>8546</v>
      </c>
      <c r="F1150" s="52" t="s">
        <v>8547</v>
      </c>
      <c r="G1150" s="57" t="s">
        <v>8548</v>
      </c>
      <c r="H1150" s="57" t="s">
        <v>8548</v>
      </c>
      <c r="I1150" s="26" t="s">
        <v>25</v>
      </c>
      <c r="J1150" s="26">
        <v>3</v>
      </c>
      <c r="K1150" s="26" t="s">
        <v>1714</v>
      </c>
      <c r="L1150" s="57" t="s">
        <v>8549</v>
      </c>
      <c r="M1150" s="111" t="s">
        <v>2485</v>
      </c>
      <c r="N1150" s="13" t="s">
        <v>2486</v>
      </c>
      <c r="O1150" s="13" t="s">
        <v>1055</v>
      </c>
      <c r="P1150" s="13" t="s">
        <v>16</v>
      </c>
      <c r="Q1150" s="57" t="s">
        <v>8550</v>
      </c>
      <c r="R1150" s="71" t="s">
        <v>8551</v>
      </c>
      <c r="S1150" s="76" t="s">
        <v>8552</v>
      </c>
      <c r="T1150" s="18">
        <v>16</v>
      </c>
      <c r="U1150" s="18">
        <v>16</v>
      </c>
      <c r="V1150" s="13" t="s">
        <v>8553</v>
      </c>
      <c r="W1150" s="57"/>
      <c r="X1150" s="132">
        <v>1139</v>
      </c>
      <c r="Y1150" s="6"/>
    </row>
    <row r="1151" spans="1:25" ht="15" customHeight="1" x14ac:dyDescent="0.25">
      <c r="A1151" s="12" t="s">
        <v>10122</v>
      </c>
      <c r="B1151" s="92" t="s">
        <v>4978</v>
      </c>
      <c r="C1151" s="74">
        <v>47090</v>
      </c>
      <c r="D1151" s="13" t="s">
        <v>1533</v>
      </c>
      <c r="E1151" s="6" t="s">
        <v>8562</v>
      </c>
      <c r="F1151" s="15" t="s">
        <v>9160</v>
      </c>
      <c r="G1151" s="6" t="s">
        <v>8563</v>
      </c>
      <c r="H1151" s="6" t="s">
        <v>8563</v>
      </c>
      <c r="I1151" s="13" t="s">
        <v>13</v>
      </c>
      <c r="J1151" s="13">
        <v>7</v>
      </c>
      <c r="K1151" s="13" t="s">
        <v>6603</v>
      </c>
      <c r="L1151" s="6" t="s">
        <v>8564</v>
      </c>
      <c r="M1151" s="108" t="s">
        <v>8566</v>
      </c>
      <c r="N1151" s="13" t="s">
        <v>8565</v>
      </c>
      <c r="O1151" s="13" t="s">
        <v>445</v>
      </c>
      <c r="P1151" s="13" t="s">
        <v>16</v>
      </c>
      <c r="Q1151" s="6" t="s">
        <v>8567</v>
      </c>
      <c r="R1151" s="69" t="s">
        <v>8568</v>
      </c>
      <c r="S1151" s="30"/>
      <c r="T1151" s="18">
        <v>200</v>
      </c>
      <c r="U1151" s="18">
        <v>200</v>
      </c>
      <c r="V1151" s="13" t="s">
        <v>8569</v>
      </c>
      <c r="X1151" s="132">
        <v>1140</v>
      </c>
      <c r="Y1151" s="6"/>
    </row>
    <row r="1152" spans="1:25" ht="15" customHeight="1" x14ac:dyDescent="0.25">
      <c r="A1152" s="12" t="s">
        <v>10124</v>
      </c>
      <c r="B1152" s="92" t="s">
        <v>4978</v>
      </c>
      <c r="C1152" s="74">
        <v>47285</v>
      </c>
      <c r="D1152" s="13" t="s">
        <v>1533</v>
      </c>
      <c r="E1152" s="6" t="s">
        <v>8562</v>
      </c>
      <c r="F1152" s="15" t="s">
        <v>10125</v>
      </c>
      <c r="G1152" s="6" t="s">
        <v>8563</v>
      </c>
      <c r="H1152" s="6" t="s">
        <v>10126</v>
      </c>
      <c r="I1152" s="13" t="s">
        <v>105</v>
      </c>
      <c r="J1152" s="13">
        <v>10</v>
      </c>
      <c r="K1152" s="13" t="s">
        <v>6603</v>
      </c>
      <c r="L1152" s="6" t="s">
        <v>10127</v>
      </c>
      <c r="M1152" s="108" t="s">
        <v>10128</v>
      </c>
      <c r="N1152" s="13" t="s">
        <v>10129</v>
      </c>
      <c r="O1152" s="13" t="s">
        <v>445</v>
      </c>
      <c r="P1152" s="13" t="s">
        <v>16</v>
      </c>
      <c r="Q1152" s="6" t="s">
        <v>10130</v>
      </c>
      <c r="R1152" s="89" t="s">
        <v>8568</v>
      </c>
      <c r="S1152" s="30"/>
      <c r="T1152" s="18">
        <v>100</v>
      </c>
      <c r="U1152" s="18">
        <v>100</v>
      </c>
      <c r="V1152" s="13" t="s">
        <v>10131</v>
      </c>
      <c r="X1152" s="132">
        <v>1141</v>
      </c>
      <c r="Y1152" s="6"/>
    </row>
    <row r="1153" spans="1:25" ht="15" customHeight="1" x14ac:dyDescent="0.25">
      <c r="A1153" s="12" t="s">
        <v>8570</v>
      </c>
      <c r="B1153" s="13" t="s">
        <v>4977</v>
      </c>
      <c r="C1153" s="14">
        <v>46359</v>
      </c>
      <c r="D1153" s="13" t="s">
        <v>1533</v>
      </c>
      <c r="E1153" s="6" t="s">
        <v>8745</v>
      </c>
      <c r="F1153" s="15" t="s">
        <v>8571</v>
      </c>
      <c r="G1153" s="6" t="s">
        <v>8572</v>
      </c>
      <c r="H1153" s="6" t="s">
        <v>8572</v>
      </c>
      <c r="I1153" s="13" t="s">
        <v>39</v>
      </c>
      <c r="J1153" s="13">
        <v>12</v>
      </c>
      <c r="K1153" s="13" t="s">
        <v>1714</v>
      </c>
      <c r="L1153" s="6" t="s">
        <v>8573</v>
      </c>
      <c r="M1153" s="108" t="s">
        <v>8574</v>
      </c>
      <c r="N1153" s="13" t="s">
        <v>8575</v>
      </c>
      <c r="O1153" s="13" t="s">
        <v>5556</v>
      </c>
      <c r="P1153" s="13" t="s">
        <v>9</v>
      </c>
      <c r="Q1153" s="6" t="s">
        <v>8576</v>
      </c>
      <c r="R1153" s="69" t="s">
        <v>8577</v>
      </c>
      <c r="S1153" s="30"/>
      <c r="T1153" s="18">
        <v>120</v>
      </c>
      <c r="U1153" s="18">
        <v>120</v>
      </c>
      <c r="V1153" s="13" t="s">
        <v>8578</v>
      </c>
      <c r="X1153" s="132">
        <v>1142</v>
      </c>
      <c r="Y1153" s="6"/>
    </row>
    <row r="1154" spans="1:25" ht="15" customHeight="1" x14ac:dyDescent="0.25">
      <c r="A1154" s="12" t="s">
        <v>8579</v>
      </c>
      <c r="B1154" s="92" t="s">
        <v>4978</v>
      </c>
      <c r="C1154" s="74">
        <v>47090</v>
      </c>
      <c r="D1154" s="13" t="s">
        <v>33</v>
      </c>
      <c r="E1154" s="6" t="s">
        <v>8580</v>
      </c>
      <c r="F1154" s="15" t="s">
        <v>8581</v>
      </c>
      <c r="G1154" s="6" t="s">
        <v>8582</v>
      </c>
      <c r="H1154" s="6" t="s">
        <v>8582</v>
      </c>
      <c r="I1154" s="13" t="s">
        <v>25</v>
      </c>
      <c r="J1154" s="13">
        <v>3</v>
      </c>
      <c r="K1154" s="13" t="s">
        <v>1714</v>
      </c>
      <c r="L1154" s="6" t="s">
        <v>8583</v>
      </c>
      <c r="M1154" s="108" t="s">
        <v>8584</v>
      </c>
      <c r="N1154" s="13" t="s">
        <v>2389</v>
      </c>
      <c r="O1154" s="13" t="s">
        <v>15</v>
      </c>
      <c r="P1154" s="13" t="s">
        <v>16</v>
      </c>
      <c r="Q1154" s="6" t="s">
        <v>8585</v>
      </c>
      <c r="R1154" s="69" t="s">
        <v>8586</v>
      </c>
      <c r="S1154" s="30"/>
      <c r="T1154" s="18">
        <v>21</v>
      </c>
      <c r="U1154" s="18">
        <v>21</v>
      </c>
      <c r="V1154" s="13" t="s">
        <v>8587</v>
      </c>
      <c r="X1154" s="132">
        <v>1143</v>
      </c>
      <c r="Y1154" s="6"/>
    </row>
    <row r="1155" spans="1:25" ht="15" customHeight="1" x14ac:dyDescent="0.25">
      <c r="A1155" s="12" t="s">
        <v>8588</v>
      </c>
      <c r="B1155" s="92" t="s">
        <v>4978</v>
      </c>
      <c r="C1155" s="74">
        <v>47090</v>
      </c>
      <c r="D1155" s="13" t="s">
        <v>33</v>
      </c>
      <c r="E1155" s="6" t="s">
        <v>8589</v>
      </c>
      <c r="F1155" s="15" t="s">
        <v>8590</v>
      </c>
      <c r="G1155" s="6" t="s">
        <v>8591</v>
      </c>
      <c r="H1155" s="6" t="s">
        <v>8591</v>
      </c>
      <c r="I1155" s="13" t="s">
        <v>25</v>
      </c>
      <c r="J1155" s="13">
        <v>3</v>
      </c>
      <c r="K1155" s="13" t="s">
        <v>1714</v>
      </c>
      <c r="L1155" s="6" t="s">
        <v>8592</v>
      </c>
      <c r="M1155" s="108" t="s">
        <v>8593</v>
      </c>
      <c r="N1155" s="13" t="s">
        <v>2251</v>
      </c>
      <c r="O1155" s="13" t="s">
        <v>61</v>
      </c>
      <c r="P1155" s="13" t="s">
        <v>9</v>
      </c>
      <c r="Q1155" s="6" t="s">
        <v>8594</v>
      </c>
      <c r="R1155" s="69" t="s">
        <v>8595</v>
      </c>
      <c r="S1155" s="30"/>
      <c r="T1155" s="18">
        <v>28</v>
      </c>
      <c r="U1155" s="18">
        <v>10</v>
      </c>
      <c r="V1155" s="13" t="s">
        <v>8596</v>
      </c>
      <c r="X1155" s="132">
        <v>1144</v>
      </c>
      <c r="Y1155" s="6"/>
    </row>
    <row r="1156" spans="1:25" ht="15" customHeight="1" x14ac:dyDescent="0.25">
      <c r="A1156" s="12" t="s">
        <v>8597</v>
      </c>
      <c r="B1156" s="92" t="s">
        <v>4978</v>
      </c>
      <c r="C1156" s="74">
        <v>47090</v>
      </c>
      <c r="D1156" s="13" t="s">
        <v>33</v>
      </c>
      <c r="E1156" s="6" t="s">
        <v>8598</v>
      </c>
      <c r="F1156" s="15" t="s">
        <v>8599</v>
      </c>
      <c r="G1156" s="6" t="s">
        <v>8600</v>
      </c>
      <c r="H1156" s="6" t="s">
        <v>8600</v>
      </c>
      <c r="I1156" s="13" t="s">
        <v>25</v>
      </c>
      <c r="J1156" s="13">
        <v>3</v>
      </c>
      <c r="K1156" s="13" t="s">
        <v>1714</v>
      </c>
      <c r="L1156" s="6" t="s">
        <v>8601</v>
      </c>
      <c r="M1156" s="108" t="s">
        <v>8602</v>
      </c>
      <c r="N1156" s="13" t="s">
        <v>4512</v>
      </c>
      <c r="O1156" s="13" t="s">
        <v>240</v>
      </c>
      <c r="P1156" s="13" t="s">
        <v>16</v>
      </c>
      <c r="Q1156" s="6" t="s">
        <v>8603</v>
      </c>
      <c r="R1156" s="69" t="s">
        <v>8604</v>
      </c>
      <c r="S1156" s="30"/>
      <c r="T1156" s="18">
        <v>17</v>
      </c>
      <c r="U1156" s="18">
        <v>15</v>
      </c>
      <c r="V1156" s="13" t="s">
        <v>8605</v>
      </c>
      <c r="X1156" s="132">
        <v>1145</v>
      </c>
      <c r="Y1156" s="6"/>
    </row>
    <row r="1157" spans="1:25" ht="15" customHeight="1" x14ac:dyDescent="0.25">
      <c r="A1157" s="12" t="s">
        <v>8606</v>
      </c>
      <c r="B1157" s="92" t="s">
        <v>4978</v>
      </c>
      <c r="C1157" s="74">
        <v>47090</v>
      </c>
      <c r="D1157" s="13" t="s">
        <v>33</v>
      </c>
      <c r="E1157" s="6" t="s">
        <v>8607</v>
      </c>
      <c r="F1157" s="15" t="s">
        <v>8608</v>
      </c>
      <c r="G1157" s="6" t="s">
        <v>8609</v>
      </c>
      <c r="H1157" s="6" t="s">
        <v>8609</v>
      </c>
      <c r="I1157" s="13" t="s">
        <v>25</v>
      </c>
      <c r="J1157" s="13">
        <v>3</v>
      </c>
      <c r="K1157" s="13" t="s">
        <v>1714</v>
      </c>
      <c r="L1157" s="6" t="s">
        <v>8610</v>
      </c>
      <c r="M1157" s="108" t="s">
        <v>8611</v>
      </c>
      <c r="N1157" s="13" t="s">
        <v>3477</v>
      </c>
      <c r="O1157" s="13" t="s">
        <v>1889</v>
      </c>
      <c r="P1157" s="13" t="s">
        <v>68</v>
      </c>
      <c r="Q1157" s="6" t="s">
        <v>8612</v>
      </c>
      <c r="R1157" s="69" t="s">
        <v>8613</v>
      </c>
      <c r="S1157" s="30"/>
      <c r="T1157" s="18">
        <v>15</v>
      </c>
      <c r="U1157" s="18">
        <v>15</v>
      </c>
      <c r="V1157" s="13" t="s">
        <v>8614</v>
      </c>
      <c r="X1157" s="132">
        <v>1146</v>
      </c>
      <c r="Y1157" s="6"/>
    </row>
    <row r="1158" spans="1:25" ht="15" customHeight="1" x14ac:dyDescent="0.25">
      <c r="A1158" s="12" t="s">
        <v>8615</v>
      </c>
      <c r="B1158" s="92" t="s">
        <v>4978</v>
      </c>
      <c r="C1158" s="74">
        <v>47090</v>
      </c>
      <c r="D1158" s="13" t="s">
        <v>33</v>
      </c>
      <c r="E1158" s="6" t="s">
        <v>8616</v>
      </c>
      <c r="F1158" s="15" t="s">
        <v>8617</v>
      </c>
      <c r="G1158" s="6" t="s">
        <v>8618</v>
      </c>
      <c r="H1158" s="6" t="s">
        <v>8618</v>
      </c>
      <c r="I1158" s="13" t="s">
        <v>25</v>
      </c>
      <c r="J1158" s="13">
        <v>3</v>
      </c>
      <c r="K1158" s="13" t="s">
        <v>1714</v>
      </c>
      <c r="L1158" s="6" t="s">
        <v>8619</v>
      </c>
      <c r="M1158" s="108" t="s">
        <v>8620</v>
      </c>
      <c r="N1158" s="13" t="s">
        <v>3443</v>
      </c>
      <c r="O1158" s="13" t="s">
        <v>2146</v>
      </c>
      <c r="P1158" s="13" t="s">
        <v>68</v>
      </c>
      <c r="Q1158" s="6" t="s">
        <v>8621</v>
      </c>
      <c r="R1158" s="69" t="s">
        <v>8622</v>
      </c>
      <c r="S1158" s="69" t="s">
        <v>8623</v>
      </c>
      <c r="T1158" s="18">
        <v>17</v>
      </c>
      <c r="U1158" s="18">
        <v>17</v>
      </c>
      <c r="V1158" s="13" t="s">
        <v>8624</v>
      </c>
      <c r="X1158" s="132">
        <v>1147</v>
      </c>
      <c r="Y1158" s="6"/>
    </row>
    <row r="1159" spans="1:25" ht="15" customHeight="1" x14ac:dyDescent="0.25">
      <c r="A1159" s="12" t="s">
        <v>10133</v>
      </c>
      <c r="B1159" s="92" t="s">
        <v>4978</v>
      </c>
      <c r="C1159" s="74">
        <v>47285</v>
      </c>
      <c r="D1159" s="13" t="s">
        <v>33</v>
      </c>
      <c r="E1159" s="6" t="s">
        <v>8616</v>
      </c>
      <c r="F1159" s="15" t="s">
        <v>10134</v>
      </c>
      <c r="G1159" s="6" t="s">
        <v>10135</v>
      </c>
      <c r="H1159" s="6" t="s">
        <v>10135</v>
      </c>
      <c r="I1159" s="13" t="s">
        <v>25</v>
      </c>
      <c r="J1159" s="13">
        <v>3</v>
      </c>
      <c r="K1159" s="13" t="s">
        <v>1714</v>
      </c>
      <c r="L1159" s="6" t="s">
        <v>10136</v>
      </c>
      <c r="M1159" s="108" t="s">
        <v>10137</v>
      </c>
      <c r="N1159" s="13" t="s">
        <v>2357</v>
      </c>
      <c r="O1159" s="13" t="s">
        <v>2146</v>
      </c>
      <c r="P1159" s="13" t="s">
        <v>68</v>
      </c>
      <c r="Q1159" s="6" t="s">
        <v>10138</v>
      </c>
      <c r="R1159" s="69" t="s">
        <v>10139</v>
      </c>
      <c r="S1159" s="69" t="s">
        <v>8623</v>
      </c>
      <c r="T1159" s="18">
        <v>20</v>
      </c>
      <c r="U1159" s="18">
        <v>20</v>
      </c>
      <c r="V1159" s="13" t="s">
        <v>10140</v>
      </c>
      <c r="X1159" s="132">
        <v>1148</v>
      </c>
      <c r="Y1159" s="6"/>
    </row>
    <row r="1160" spans="1:25" ht="15" customHeight="1" x14ac:dyDescent="0.25">
      <c r="A1160" s="12" t="s">
        <v>8625</v>
      </c>
      <c r="B1160" s="92" t="s">
        <v>4978</v>
      </c>
      <c r="C1160" s="74">
        <v>47090</v>
      </c>
      <c r="D1160" s="13" t="s">
        <v>1533</v>
      </c>
      <c r="E1160" s="6" t="s">
        <v>8626</v>
      </c>
      <c r="F1160" s="15" t="s">
        <v>8746</v>
      </c>
      <c r="G1160" s="6" t="s">
        <v>8627</v>
      </c>
      <c r="H1160" s="6" t="s">
        <v>8627</v>
      </c>
      <c r="I1160" s="13" t="s">
        <v>25</v>
      </c>
      <c r="J1160" s="13">
        <v>6</v>
      </c>
      <c r="K1160" s="13" t="s">
        <v>1714</v>
      </c>
      <c r="L1160" s="6" t="s">
        <v>8628</v>
      </c>
      <c r="M1160" s="108" t="s">
        <v>7893</v>
      </c>
      <c r="N1160" s="13" t="s">
        <v>4839</v>
      </c>
      <c r="O1160" s="13" t="s">
        <v>704</v>
      </c>
      <c r="P1160" s="13" t="s">
        <v>16</v>
      </c>
      <c r="Q1160" s="6" t="s">
        <v>8629</v>
      </c>
      <c r="R1160" s="69" t="s">
        <v>8630</v>
      </c>
      <c r="S1160" s="30"/>
      <c r="T1160" s="18">
        <v>40</v>
      </c>
      <c r="U1160" s="18">
        <v>25</v>
      </c>
      <c r="V1160" s="13" t="s">
        <v>8631</v>
      </c>
      <c r="X1160" s="132">
        <v>1149</v>
      </c>
      <c r="Y1160" s="6"/>
    </row>
    <row r="1161" spans="1:25" ht="15" customHeight="1" x14ac:dyDescent="0.25">
      <c r="A1161" s="12" t="s">
        <v>8632</v>
      </c>
      <c r="B1161" s="92" t="s">
        <v>4978</v>
      </c>
      <c r="C1161" s="74">
        <v>47090</v>
      </c>
      <c r="D1161" s="13" t="s">
        <v>33</v>
      </c>
      <c r="E1161" s="6" t="s">
        <v>8633</v>
      </c>
      <c r="F1161" s="15" t="s">
        <v>8634</v>
      </c>
      <c r="G1161" s="6" t="s">
        <v>8635</v>
      </c>
      <c r="H1161" s="6" t="s">
        <v>8635</v>
      </c>
      <c r="I1161" s="13" t="s">
        <v>25</v>
      </c>
      <c r="J1161" s="13">
        <v>3</v>
      </c>
      <c r="K1161" s="13" t="s">
        <v>1714</v>
      </c>
      <c r="L1161" s="6" t="s">
        <v>8636</v>
      </c>
      <c r="M1161" s="108" t="s">
        <v>8637</v>
      </c>
      <c r="N1161" s="13" t="s">
        <v>8638</v>
      </c>
      <c r="O1161" s="13" t="s">
        <v>1847</v>
      </c>
      <c r="P1161" s="13" t="s">
        <v>68</v>
      </c>
      <c r="Q1161" s="6" t="s">
        <v>8639</v>
      </c>
      <c r="R1161" s="69" t="s">
        <v>8640</v>
      </c>
      <c r="S1161" s="30"/>
      <c r="T1161" s="18">
        <v>16</v>
      </c>
      <c r="U1161" s="18">
        <v>12</v>
      </c>
      <c r="V1161" s="13" t="s">
        <v>8641</v>
      </c>
      <c r="X1161" s="132">
        <v>1150</v>
      </c>
      <c r="Y1161" s="6"/>
    </row>
    <row r="1162" spans="1:25" ht="15" customHeight="1" x14ac:dyDescent="0.25">
      <c r="A1162" s="12" t="s">
        <v>8642</v>
      </c>
      <c r="B1162" s="13" t="s">
        <v>4977</v>
      </c>
      <c r="C1162" s="14">
        <v>46359</v>
      </c>
      <c r="D1162" s="13" t="s">
        <v>33</v>
      </c>
      <c r="E1162" s="6" t="s">
        <v>8643</v>
      </c>
      <c r="F1162" s="15" t="s">
        <v>8644</v>
      </c>
      <c r="G1162" s="6" t="s">
        <v>8645</v>
      </c>
      <c r="H1162" s="6" t="s">
        <v>8645</v>
      </c>
      <c r="I1162" s="13" t="s">
        <v>25</v>
      </c>
      <c r="J1162" s="13">
        <v>3</v>
      </c>
      <c r="K1162" s="13" t="s">
        <v>1714</v>
      </c>
      <c r="L1162" s="6" t="s">
        <v>8646</v>
      </c>
      <c r="M1162" s="108" t="s">
        <v>8650</v>
      </c>
      <c r="N1162" s="13" t="s">
        <v>5246</v>
      </c>
      <c r="O1162" s="13" t="s">
        <v>519</v>
      </c>
      <c r="P1162" s="13" t="s">
        <v>16</v>
      </c>
      <c r="Q1162" s="6" t="s">
        <v>8647</v>
      </c>
      <c r="R1162" s="69" t="s">
        <v>8649</v>
      </c>
      <c r="S1162" s="30"/>
      <c r="T1162" s="18">
        <v>29</v>
      </c>
      <c r="U1162" s="18">
        <v>23</v>
      </c>
      <c r="V1162" s="13" t="s">
        <v>8648</v>
      </c>
      <c r="X1162" s="132">
        <v>1151</v>
      </c>
      <c r="Y1162" s="6"/>
    </row>
    <row r="1163" spans="1:25" ht="15" customHeight="1" x14ac:dyDescent="0.25">
      <c r="A1163" s="12" t="s">
        <v>8651</v>
      </c>
      <c r="B1163" s="13" t="s">
        <v>4977</v>
      </c>
      <c r="C1163" s="14">
        <v>46359</v>
      </c>
      <c r="D1163" s="13" t="s">
        <v>1533</v>
      </c>
      <c r="E1163" s="6" t="s">
        <v>8652</v>
      </c>
      <c r="F1163" s="15" t="s">
        <v>9159</v>
      </c>
      <c r="G1163" s="6" t="s">
        <v>8653</v>
      </c>
      <c r="H1163" s="6" t="s">
        <v>8653</v>
      </c>
      <c r="I1163" s="13" t="s">
        <v>13</v>
      </c>
      <c r="J1163" s="13">
        <v>8</v>
      </c>
      <c r="K1163" s="13" t="s">
        <v>1714</v>
      </c>
      <c r="L1163" s="6" t="s">
        <v>8654</v>
      </c>
      <c r="M1163" s="108" t="s">
        <v>8655</v>
      </c>
      <c r="N1163" s="13" t="s">
        <v>67</v>
      </c>
      <c r="O1163" s="13" t="s">
        <v>9664</v>
      </c>
      <c r="P1163" s="13" t="s">
        <v>68</v>
      </c>
      <c r="Q1163" s="6" t="s">
        <v>8656</v>
      </c>
      <c r="R1163" s="69" t="s">
        <v>8657</v>
      </c>
      <c r="S1163" s="30"/>
      <c r="T1163" s="18">
        <v>18</v>
      </c>
      <c r="U1163" s="18">
        <v>18</v>
      </c>
      <c r="V1163" s="13" t="s">
        <v>8658</v>
      </c>
      <c r="X1163" s="132">
        <v>1152</v>
      </c>
      <c r="Y1163" s="6"/>
    </row>
    <row r="1164" spans="1:25" ht="15" customHeight="1" x14ac:dyDescent="0.25">
      <c r="A1164" s="12" t="s">
        <v>10466</v>
      </c>
      <c r="B1164" s="79" t="s">
        <v>4977</v>
      </c>
      <c r="C1164" s="80">
        <v>46628</v>
      </c>
      <c r="D1164" s="79" t="s">
        <v>1533</v>
      </c>
      <c r="E1164" s="81" t="s">
        <v>8652</v>
      </c>
      <c r="F1164" s="82" t="s">
        <v>10467</v>
      </c>
      <c r="G1164" s="81" t="s">
        <v>8653</v>
      </c>
      <c r="H1164" s="81" t="s">
        <v>8653</v>
      </c>
      <c r="I1164" s="79" t="s">
        <v>39</v>
      </c>
      <c r="J1164" s="79">
        <v>12</v>
      </c>
      <c r="K1164" s="79" t="s">
        <v>7032</v>
      </c>
      <c r="L1164" s="81" t="s">
        <v>10468</v>
      </c>
      <c r="M1164" s="109" t="s">
        <v>10469</v>
      </c>
      <c r="N1164" s="79" t="s">
        <v>67</v>
      </c>
      <c r="O1164" s="13" t="s">
        <v>9664</v>
      </c>
      <c r="P1164" s="13" t="s">
        <v>68</v>
      </c>
      <c r="Q1164" s="81" t="s">
        <v>10470</v>
      </c>
      <c r="R1164" s="69" t="s">
        <v>8657</v>
      </c>
      <c r="S1164" s="84"/>
      <c r="T1164" s="85">
        <v>30</v>
      </c>
      <c r="U1164" s="85">
        <v>20</v>
      </c>
      <c r="V1164" s="79" t="s">
        <v>8658</v>
      </c>
      <c r="W1164" s="81"/>
      <c r="X1164" s="132">
        <v>1153</v>
      </c>
      <c r="Y1164" s="6"/>
    </row>
    <row r="1165" spans="1:25" ht="15" customHeight="1" x14ac:dyDescent="0.25">
      <c r="A1165" s="12" t="s">
        <v>8659</v>
      </c>
      <c r="B1165" s="13" t="s">
        <v>4977</v>
      </c>
      <c r="C1165" s="14">
        <v>46359</v>
      </c>
      <c r="D1165" s="13" t="s">
        <v>1533</v>
      </c>
      <c r="E1165" s="6" t="s">
        <v>8660</v>
      </c>
      <c r="F1165" s="15" t="s">
        <v>8661</v>
      </c>
      <c r="G1165" s="6" t="s">
        <v>8662</v>
      </c>
      <c r="H1165" s="6" t="s">
        <v>8662</v>
      </c>
      <c r="I1165" s="13" t="s">
        <v>39</v>
      </c>
      <c r="J1165" s="13">
        <v>12</v>
      </c>
      <c r="K1165" s="13" t="s">
        <v>1714</v>
      </c>
      <c r="L1165" s="6" t="s">
        <v>8663</v>
      </c>
      <c r="M1165" s="108" t="s">
        <v>8664</v>
      </c>
      <c r="N1165" s="13" t="s">
        <v>2945</v>
      </c>
      <c r="O1165" s="13" t="s">
        <v>136</v>
      </c>
      <c r="P1165" s="13" t="s">
        <v>4</v>
      </c>
      <c r="Q1165" s="6" t="s">
        <v>8665</v>
      </c>
      <c r="R1165" s="69" t="s">
        <v>8666</v>
      </c>
      <c r="S1165" s="30"/>
      <c r="T1165" s="18">
        <v>2500</v>
      </c>
      <c r="U1165" s="18">
        <v>2300</v>
      </c>
      <c r="V1165" s="13" t="s">
        <v>8667</v>
      </c>
      <c r="X1165" s="132">
        <v>1154</v>
      </c>
      <c r="Y1165" s="6"/>
    </row>
    <row r="1166" spans="1:25" ht="15" customHeight="1" x14ac:dyDescent="0.25">
      <c r="A1166" s="12" t="s">
        <v>8668</v>
      </c>
      <c r="B1166" s="13" t="s">
        <v>4977</v>
      </c>
      <c r="C1166" s="14">
        <v>46359</v>
      </c>
      <c r="D1166" s="13" t="s">
        <v>1533</v>
      </c>
      <c r="E1166" s="6" t="s">
        <v>8669</v>
      </c>
      <c r="F1166" s="15" t="s">
        <v>8670</v>
      </c>
      <c r="G1166" s="6" t="s">
        <v>8671</v>
      </c>
      <c r="H1166" s="6" t="s">
        <v>8671</v>
      </c>
      <c r="I1166" s="13" t="s">
        <v>39</v>
      </c>
      <c r="J1166" s="13">
        <v>12</v>
      </c>
      <c r="K1166" s="13" t="s">
        <v>1714</v>
      </c>
      <c r="L1166" s="6" t="s">
        <v>8672</v>
      </c>
      <c r="M1166" s="108" t="s">
        <v>8673</v>
      </c>
      <c r="N1166" s="13" t="s">
        <v>8674</v>
      </c>
      <c r="O1166" s="13" t="s">
        <v>128</v>
      </c>
      <c r="P1166" s="13" t="s">
        <v>16</v>
      </c>
      <c r="Q1166" s="6" t="s">
        <v>8675</v>
      </c>
      <c r="R1166" s="69" t="s">
        <v>8676</v>
      </c>
      <c r="S1166" s="69" t="s">
        <v>8677</v>
      </c>
      <c r="T1166" s="18">
        <v>250</v>
      </c>
      <c r="U1166" s="18">
        <v>250</v>
      </c>
      <c r="V1166" s="13" t="s">
        <v>8678</v>
      </c>
      <c r="X1166" s="132">
        <v>1155</v>
      </c>
      <c r="Y1166" s="6"/>
    </row>
    <row r="1167" spans="1:25" ht="15" customHeight="1" x14ac:dyDescent="0.25">
      <c r="A1167" s="12" t="s">
        <v>8679</v>
      </c>
      <c r="B1167" s="13" t="s">
        <v>4977</v>
      </c>
      <c r="C1167" s="14">
        <v>46359</v>
      </c>
      <c r="D1167" s="13" t="s">
        <v>33</v>
      </c>
      <c r="E1167" s="6" t="s">
        <v>8680</v>
      </c>
      <c r="F1167" s="15" t="s">
        <v>8681</v>
      </c>
      <c r="G1167" s="16" t="s">
        <v>8690</v>
      </c>
      <c r="H1167" s="16" t="s">
        <v>8690</v>
      </c>
      <c r="I1167" s="13" t="s">
        <v>25</v>
      </c>
      <c r="J1167" s="13">
        <v>3</v>
      </c>
      <c r="K1167" s="13" t="s">
        <v>1714</v>
      </c>
      <c r="L1167" s="6" t="s">
        <v>8682</v>
      </c>
      <c r="M1167" s="108" t="s">
        <v>8683</v>
      </c>
      <c r="N1167" s="13" t="s">
        <v>6709</v>
      </c>
      <c r="O1167" s="13" t="s">
        <v>8</v>
      </c>
      <c r="P1167" s="13" t="s">
        <v>9</v>
      </c>
      <c r="Q1167" s="6" t="s">
        <v>8684</v>
      </c>
      <c r="R1167" s="69" t="s">
        <v>8685</v>
      </c>
      <c r="T1167" s="13">
        <v>20</v>
      </c>
      <c r="U1167" s="13">
        <v>14</v>
      </c>
      <c r="V1167" s="13" t="s">
        <v>8686</v>
      </c>
      <c r="X1167" s="132">
        <v>1156</v>
      </c>
      <c r="Y1167" s="6"/>
    </row>
    <row r="1168" spans="1:25" ht="15" customHeight="1" x14ac:dyDescent="0.25">
      <c r="A1168" s="12" t="s">
        <v>8687</v>
      </c>
      <c r="B1168" s="92" t="s">
        <v>4978</v>
      </c>
      <c r="C1168" s="74">
        <v>47090</v>
      </c>
      <c r="D1168" s="13" t="s">
        <v>33</v>
      </c>
      <c r="E1168" s="6" t="s">
        <v>8688</v>
      </c>
      <c r="F1168" s="15" t="s">
        <v>8689</v>
      </c>
      <c r="G1168" s="6" t="s">
        <v>8691</v>
      </c>
      <c r="H1168" s="6" t="s">
        <v>8691</v>
      </c>
      <c r="I1168" s="13" t="s">
        <v>25</v>
      </c>
      <c r="J1168" s="13">
        <v>3</v>
      </c>
      <c r="K1168" s="13" t="s">
        <v>1714</v>
      </c>
      <c r="L1168" s="6" t="s">
        <v>8692</v>
      </c>
      <c r="M1168" s="108" t="s">
        <v>8693</v>
      </c>
      <c r="N1168" s="13" t="s">
        <v>2123</v>
      </c>
      <c r="O1168" s="13" t="s">
        <v>15</v>
      </c>
      <c r="P1168" s="13" t="s">
        <v>16</v>
      </c>
      <c r="Q1168" s="6" t="s">
        <v>3786</v>
      </c>
      <c r="R1168" s="69" t="s">
        <v>4682</v>
      </c>
      <c r="S1168" s="30"/>
      <c r="T1168" s="18">
        <v>12</v>
      </c>
      <c r="U1168" s="18">
        <v>12</v>
      </c>
      <c r="V1168" s="13" t="s">
        <v>8694</v>
      </c>
      <c r="X1168" s="132">
        <v>1157</v>
      </c>
      <c r="Y1168" s="6"/>
    </row>
    <row r="1169" spans="1:25" ht="15" customHeight="1" x14ac:dyDescent="0.25">
      <c r="A1169" s="12" t="s">
        <v>8695</v>
      </c>
      <c r="B1169" s="92" t="s">
        <v>4978</v>
      </c>
      <c r="C1169" s="74">
        <v>47090</v>
      </c>
      <c r="D1169" s="13" t="s">
        <v>33</v>
      </c>
      <c r="E1169" s="6" t="s">
        <v>8696</v>
      </c>
      <c r="F1169" s="15" t="s">
        <v>8697</v>
      </c>
      <c r="G1169" s="6" t="s">
        <v>8698</v>
      </c>
      <c r="H1169" s="6" t="s">
        <v>8698</v>
      </c>
      <c r="I1169" s="13" t="s">
        <v>25</v>
      </c>
      <c r="J1169" s="13">
        <v>3</v>
      </c>
      <c r="K1169" s="13" t="s">
        <v>1714</v>
      </c>
      <c r="L1169" s="6" t="s">
        <v>8699</v>
      </c>
      <c r="M1169" s="108" t="s">
        <v>8700</v>
      </c>
      <c r="N1169" s="13" t="s">
        <v>8701</v>
      </c>
      <c r="O1169" s="13" t="s">
        <v>1055</v>
      </c>
      <c r="P1169" s="13" t="s">
        <v>16</v>
      </c>
      <c r="Q1169" s="6" t="s">
        <v>8702</v>
      </c>
      <c r="R1169" s="69" t="s">
        <v>8703</v>
      </c>
      <c r="S1169" s="30"/>
      <c r="T1169" s="18">
        <v>20</v>
      </c>
      <c r="U1169" s="18">
        <v>15</v>
      </c>
      <c r="V1169" s="13" t="s">
        <v>8704</v>
      </c>
      <c r="X1169" s="132">
        <v>1158</v>
      </c>
      <c r="Y1169" s="6"/>
    </row>
    <row r="1170" spans="1:25" ht="15" customHeight="1" x14ac:dyDescent="0.25">
      <c r="A1170" s="12" t="s">
        <v>8705</v>
      </c>
      <c r="B1170" s="92" t="s">
        <v>4978</v>
      </c>
      <c r="C1170" s="74">
        <v>47090</v>
      </c>
      <c r="D1170" s="13" t="s">
        <v>33</v>
      </c>
      <c r="E1170" s="6" t="s">
        <v>8706</v>
      </c>
      <c r="F1170" s="15" t="s">
        <v>8707</v>
      </c>
      <c r="G1170" s="6" t="s">
        <v>8708</v>
      </c>
      <c r="H1170" s="6" t="s">
        <v>8708</v>
      </c>
      <c r="I1170" s="13" t="s">
        <v>25</v>
      </c>
      <c r="J1170" s="13">
        <v>3</v>
      </c>
      <c r="K1170" s="13" t="s">
        <v>1714</v>
      </c>
      <c r="L1170" s="6" t="s">
        <v>8819</v>
      </c>
      <c r="M1170" s="108" t="s">
        <v>7571</v>
      </c>
      <c r="N1170" s="13" t="s">
        <v>2667</v>
      </c>
      <c r="O1170" s="13" t="s">
        <v>177</v>
      </c>
      <c r="P1170" s="13" t="s">
        <v>9</v>
      </c>
      <c r="Q1170" s="6" t="s">
        <v>8709</v>
      </c>
      <c r="R1170" s="69" t="s">
        <v>8710</v>
      </c>
      <c r="S1170" s="30"/>
      <c r="T1170" s="18">
        <v>28</v>
      </c>
      <c r="U1170" s="18">
        <v>25</v>
      </c>
      <c r="V1170" s="13" t="s">
        <v>8711</v>
      </c>
      <c r="X1170" s="132">
        <v>1159</v>
      </c>
      <c r="Y1170" s="6"/>
    </row>
    <row r="1171" spans="1:25" ht="15" customHeight="1" x14ac:dyDescent="0.25">
      <c r="A1171" s="12" t="s">
        <v>8712</v>
      </c>
      <c r="B1171" s="13" t="s">
        <v>4977</v>
      </c>
      <c r="C1171" s="14">
        <v>46359</v>
      </c>
      <c r="D1171" s="13" t="s">
        <v>1533</v>
      </c>
      <c r="E1171" s="6" t="s">
        <v>8713</v>
      </c>
      <c r="F1171" s="15" t="s">
        <v>8714</v>
      </c>
      <c r="G1171" s="6" t="s">
        <v>8715</v>
      </c>
      <c r="H1171" s="6" t="s">
        <v>8715</v>
      </c>
      <c r="I1171" s="13" t="s">
        <v>39</v>
      </c>
      <c r="J1171" s="13">
        <v>12</v>
      </c>
      <c r="K1171" s="13" t="s">
        <v>7032</v>
      </c>
      <c r="L1171" s="6" t="s">
        <v>8716</v>
      </c>
      <c r="M1171" s="108" t="s">
        <v>8717</v>
      </c>
      <c r="N1171" s="13" t="s">
        <v>8718</v>
      </c>
      <c r="O1171" s="13" t="s">
        <v>21</v>
      </c>
      <c r="P1171" s="13" t="s">
        <v>9</v>
      </c>
      <c r="Q1171" s="6" t="s">
        <v>8719</v>
      </c>
      <c r="R1171" s="69" t="s">
        <v>8720</v>
      </c>
      <c r="S1171" s="30"/>
      <c r="T1171" s="18">
        <v>50</v>
      </c>
      <c r="U1171" s="18">
        <v>30</v>
      </c>
      <c r="V1171" s="13" t="s">
        <v>8721</v>
      </c>
      <c r="X1171" s="132">
        <v>1160</v>
      </c>
      <c r="Y1171" s="6"/>
    </row>
    <row r="1172" spans="1:25" ht="15" customHeight="1" x14ac:dyDescent="0.25">
      <c r="A1172" s="12" t="s">
        <v>8735</v>
      </c>
      <c r="B1172" s="92" t="s">
        <v>4978</v>
      </c>
      <c r="C1172" s="74">
        <v>47090</v>
      </c>
      <c r="D1172" s="13" t="s">
        <v>33</v>
      </c>
      <c r="E1172" s="6" t="s">
        <v>8736</v>
      </c>
      <c r="F1172" s="15" t="s">
        <v>8737</v>
      </c>
      <c r="G1172" s="6" t="s">
        <v>8738</v>
      </c>
      <c r="H1172" s="6" t="s">
        <v>8738</v>
      </c>
      <c r="I1172" s="13" t="s">
        <v>25</v>
      </c>
      <c r="J1172" s="13">
        <v>3</v>
      </c>
      <c r="K1172" s="13" t="s">
        <v>1714</v>
      </c>
      <c r="L1172" s="6" t="s">
        <v>8739</v>
      </c>
      <c r="M1172" s="108" t="s">
        <v>8740</v>
      </c>
      <c r="N1172" s="13" t="s">
        <v>8741</v>
      </c>
      <c r="O1172" s="13" t="s">
        <v>11948</v>
      </c>
      <c r="P1172" s="13" t="s">
        <v>68</v>
      </c>
      <c r="Q1172" s="6" t="s">
        <v>8742</v>
      </c>
      <c r="R1172" s="69" t="s">
        <v>8743</v>
      </c>
      <c r="S1172" s="30"/>
      <c r="T1172" s="18">
        <v>18</v>
      </c>
      <c r="U1172" s="18">
        <v>17</v>
      </c>
      <c r="V1172" s="13" t="s">
        <v>8744</v>
      </c>
      <c r="X1172" s="132">
        <v>1161</v>
      </c>
      <c r="Y1172" s="6"/>
    </row>
    <row r="1173" spans="1:25" ht="15" customHeight="1" x14ac:dyDescent="0.25">
      <c r="A1173" s="12" t="s">
        <v>8761</v>
      </c>
      <c r="B1173" s="92" t="s">
        <v>4978</v>
      </c>
      <c r="C1173" s="74">
        <v>47090</v>
      </c>
      <c r="D1173" s="13" t="s">
        <v>33</v>
      </c>
      <c r="E1173" s="6" t="s">
        <v>8762</v>
      </c>
      <c r="F1173" s="15" t="s">
        <v>8763</v>
      </c>
      <c r="G1173" s="6" t="s">
        <v>8764</v>
      </c>
      <c r="H1173" s="6" t="s">
        <v>8764</v>
      </c>
      <c r="I1173" s="13" t="s">
        <v>25</v>
      </c>
      <c r="J1173" s="13">
        <v>3</v>
      </c>
      <c r="K1173" s="13" t="s">
        <v>1714</v>
      </c>
      <c r="L1173" s="6" t="s">
        <v>8765</v>
      </c>
      <c r="M1173" s="108" t="s">
        <v>8766</v>
      </c>
      <c r="N1173" s="13" t="s">
        <v>3448</v>
      </c>
      <c r="O1173" s="13" t="s">
        <v>445</v>
      </c>
      <c r="P1173" s="13" t="s">
        <v>16</v>
      </c>
      <c r="Q1173" s="6" t="s">
        <v>8767</v>
      </c>
      <c r="R1173" s="89" t="s">
        <v>8820</v>
      </c>
      <c r="S1173" s="30"/>
      <c r="T1173" s="18">
        <v>26</v>
      </c>
      <c r="U1173" s="18">
        <v>21</v>
      </c>
      <c r="V1173" s="13" t="s">
        <v>8768</v>
      </c>
      <c r="X1173" s="132">
        <v>1162</v>
      </c>
      <c r="Y1173" s="6"/>
    </row>
    <row r="1174" spans="1:25" ht="15" customHeight="1" x14ac:dyDescent="0.25">
      <c r="A1174" s="12" t="s">
        <v>8801</v>
      </c>
      <c r="B1174" s="13" t="s">
        <v>4977</v>
      </c>
      <c r="C1174" s="14">
        <v>46374</v>
      </c>
      <c r="D1174" s="13" t="s">
        <v>1533</v>
      </c>
      <c r="E1174" s="6" t="s">
        <v>8790</v>
      </c>
      <c r="F1174" s="15" t="s">
        <v>8791</v>
      </c>
      <c r="G1174" s="6" t="s">
        <v>8792</v>
      </c>
      <c r="H1174" s="6" t="s">
        <v>8792</v>
      </c>
      <c r="I1174" s="13" t="s">
        <v>39</v>
      </c>
      <c r="J1174" s="13">
        <v>12</v>
      </c>
      <c r="K1174" s="13" t="s">
        <v>1714</v>
      </c>
      <c r="L1174" s="6" t="s">
        <v>8793</v>
      </c>
      <c r="M1174" s="108" t="s">
        <v>8794</v>
      </c>
      <c r="N1174" s="13" t="s">
        <v>8795</v>
      </c>
      <c r="O1174" s="13" t="s">
        <v>165</v>
      </c>
      <c r="P1174" s="13" t="s">
        <v>9</v>
      </c>
      <c r="Q1174" s="6" t="s">
        <v>8796</v>
      </c>
      <c r="R1174" s="69" t="s">
        <v>8797</v>
      </c>
      <c r="S1174" s="69" t="s">
        <v>8798</v>
      </c>
      <c r="T1174" s="18">
        <v>21</v>
      </c>
      <c r="U1174" s="18">
        <v>21</v>
      </c>
      <c r="V1174" s="13" t="s">
        <v>8799</v>
      </c>
      <c r="X1174" s="132">
        <v>1163</v>
      </c>
      <c r="Y1174" s="6"/>
    </row>
    <row r="1175" spans="1:25" ht="15" customHeight="1" x14ac:dyDescent="0.25">
      <c r="A1175" s="12" t="s">
        <v>8800</v>
      </c>
      <c r="B1175" s="13" t="s">
        <v>4977</v>
      </c>
      <c r="C1175" s="14">
        <v>46374</v>
      </c>
      <c r="D1175" s="13" t="s">
        <v>1533</v>
      </c>
      <c r="E1175" s="6" t="s">
        <v>8790</v>
      </c>
      <c r="F1175" s="15" t="s">
        <v>8802</v>
      </c>
      <c r="G1175" s="6" t="s">
        <v>8792</v>
      </c>
      <c r="H1175" s="6" t="s">
        <v>8792</v>
      </c>
      <c r="I1175" s="13" t="s">
        <v>39</v>
      </c>
      <c r="J1175" s="13">
        <v>12</v>
      </c>
      <c r="K1175" s="13" t="s">
        <v>1714</v>
      </c>
      <c r="L1175" s="6" t="s">
        <v>8793</v>
      </c>
      <c r="M1175" s="108" t="s">
        <v>8794</v>
      </c>
      <c r="N1175" s="13" t="s">
        <v>8795</v>
      </c>
      <c r="O1175" s="13" t="s">
        <v>165</v>
      </c>
      <c r="P1175" s="13" t="s">
        <v>9</v>
      </c>
      <c r="Q1175" s="6" t="s">
        <v>8796</v>
      </c>
      <c r="R1175" s="69" t="s">
        <v>8797</v>
      </c>
      <c r="S1175" s="69" t="s">
        <v>8798</v>
      </c>
      <c r="T1175" s="18">
        <v>100</v>
      </c>
      <c r="U1175" s="18">
        <v>70</v>
      </c>
      <c r="V1175" s="13" t="s">
        <v>8803</v>
      </c>
      <c r="X1175" s="132">
        <v>1164</v>
      </c>
      <c r="Y1175" s="6"/>
    </row>
    <row r="1176" spans="1:25" ht="15" customHeight="1" x14ac:dyDescent="0.25">
      <c r="A1176" s="12" t="s">
        <v>8804</v>
      </c>
      <c r="B1176" s="92" t="s">
        <v>4978</v>
      </c>
      <c r="C1176" s="74">
        <v>47105</v>
      </c>
      <c r="D1176" s="13" t="s">
        <v>33</v>
      </c>
      <c r="E1176" s="6" t="s">
        <v>8805</v>
      </c>
      <c r="F1176" s="15" t="s">
        <v>8806</v>
      </c>
      <c r="G1176" s="6" t="s">
        <v>8807</v>
      </c>
      <c r="H1176" s="6" t="s">
        <v>8807</v>
      </c>
      <c r="I1176" s="13" t="s">
        <v>25</v>
      </c>
      <c r="J1176" s="13">
        <v>3</v>
      </c>
      <c r="K1176" s="13" t="s">
        <v>1714</v>
      </c>
      <c r="L1176" s="6" t="s">
        <v>8808</v>
      </c>
      <c r="M1176" s="108" t="s">
        <v>6461</v>
      </c>
      <c r="N1176" s="13" t="s">
        <v>2654</v>
      </c>
      <c r="O1176" s="13" t="s">
        <v>36</v>
      </c>
      <c r="P1176" s="13" t="s">
        <v>4</v>
      </c>
      <c r="Q1176" s="6" t="s">
        <v>8809</v>
      </c>
      <c r="R1176" s="69" t="s">
        <v>8810</v>
      </c>
      <c r="S1176" s="69" t="s">
        <v>8811</v>
      </c>
      <c r="T1176" s="18">
        <v>22</v>
      </c>
      <c r="U1176" s="18">
        <v>22</v>
      </c>
      <c r="V1176" s="13" t="s">
        <v>8812</v>
      </c>
      <c r="X1176" s="132">
        <v>1165</v>
      </c>
      <c r="Y1176" s="6"/>
    </row>
    <row r="1177" spans="1:25" ht="15" customHeight="1" x14ac:dyDescent="0.25">
      <c r="A1177" s="12" t="s">
        <v>8813</v>
      </c>
      <c r="B1177" s="92" t="s">
        <v>4978</v>
      </c>
      <c r="C1177" s="74">
        <v>47105</v>
      </c>
      <c r="D1177" s="13" t="s">
        <v>33</v>
      </c>
      <c r="E1177" s="6" t="s">
        <v>8814</v>
      </c>
      <c r="F1177" s="15" t="s">
        <v>8815</v>
      </c>
      <c r="G1177" s="6" t="s">
        <v>8816</v>
      </c>
      <c r="H1177" s="6" t="s">
        <v>8816</v>
      </c>
      <c r="I1177" s="13" t="s">
        <v>25</v>
      </c>
      <c r="J1177" s="13">
        <v>3</v>
      </c>
      <c r="K1177" s="13" t="s">
        <v>1714</v>
      </c>
      <c r="L1177" s="6" t="s">
        <v>8869</v>
      </c>
      <c r="M1177" s="108" t="s">
        <v>8817</v>
      </c>
      <c r="N1177" s="13" t="s">
        <v>2486</v>
      </c>
      <c r="O1177" s="13" t="s">
        <v>1055</v>
      </c>
      <c r="P1177" s="13" t="s">
        <v>16</v>
      </c>
      <c r="Q1177" s="6" t="s">
        <v>8818</v>
      </c>
      <c r="R1177" s="69" t="s">
        <v>1909</v>
      </c>
      <c r="S1177" s="30"/>
      <c r="T1177" s="18">
        <v>27</v>
      </c>
      <c r="U1177" s="18">
        <v>18</v>
      </c>
      <c r="V1177" s="13" t="s">
        <v>8789</v>
      </c>
      <c r="X1177" s="132">
        <v>1166</v>
      </c>
      <c r="Y1177" s="6"/>
    </row>
    <row r="1178" spans="1:25" ht="15" customHeight="1" x14ac:dyDescent="0.25">
      <c r="A1178" s="12" t="s">
        <v>8821</v>
      </c>
      <c r="B1178" s="13" t="s">
        <v>4977</v>
      </c>
      <c r="C1178" s="14">
        <v>46374</v>
      </c>
      <c r="D1178" s="13" t="s">
        <v>1533</v>
      </c>
      <c r="E1178" s="6" t="s">
        <v>8822</v>
      </c>
      <c r="F1178" s="15" t="s">
        <v>9158</v>
      </c>
      <c r="G1178" s="6" t="s">
        <v>8823</v>
      </c>
      <c r="H1178" s="6" t="s">
        <v>8823</v>
      </c>
      <c r="I1178" s="13" t="s">
        <v>13</v>
      </c>
      <c r="J1178" s="13">
        <v>8</v>
      </c>
      <c r="K1178" s="13" t="s">
        <v>1714</v>
      </c>
      <c r="L1178" s="6" t="s">
        <v>8824</v>
      </c>
      <c r="M1178" s="108" t="s">
        <v>8825</v>
      </c>
      <c r="N1178" s="13" t="s">
        <v>8826</v>
      </c>
      <c r="O1178" s="13" t="s">
        <v>177</v>
      </c>
      <c r="P1178" s="13" t="s">
        <v>9</v>
      </c>
      <c r="Q1178" s="6" t="s">
        <v>8827</v>
      </c>
      <c r="R1178" s="69" t="s">
        <v>8828</v>
      </c>
      <c r="S1178" s="30"/>
      <c r="T1178" s="18">
        <v>100</v>
      </c>
      <c r="U1178" s="18">
        <v>90</v>
      </c>
      <c r="V1178" s="13" t="s">
        <v>8829</v>
      </c>
      <c r="X1178" s="132">
        <v>1167</v>
      </c>
      <c r="Y1178" s="6"/>
    </row>
    <row r="1179" spans="1:25" ht="15" customHeight="1" x14ac:dyDescent="0.25">
      <c r="A1179" s="12" t="s">
        <v>8838</v>
      </c>
      <c r="B1179" s="92" t="s">
        <v>4978</v>
      </c>
      <c r="C1179" s="74">
        <v>47105</v>
      </c>
      <c r="D1179" s="13" t="s">
        <v>33</v>
      </c>
      <c r="E1179" s="6" t="s">
        <v>8839</v>
      </c>
      <c r="F1179" s="15" t="s">
        <v>8840</v>
      </c>
      <c r="G1179" s="6" t="s">
        <v>8841</v>
      </c>
      <c r="H1179" s="6" t="s">
        <v>8841</v>
      </c>
      <c r="I1179" s="13" t="s">
        <v>25</v>
      </c>
      <c r="J1179" s="13">
        <v>3</v>
      </c>
      <c r="K1179" s="13" t="s">
        <v>1714</v>
      </c>
      <c r="L1179" s="6" t="s">
        <v>8842</v>
      </c>
      <c r="M1179" s="108" t="s">
        <v>8843</v>
      </c>
      <c r="N1179" s="13" t="s">
        <v>3888</v>
      </c>
      <c r="O1179" s="13" t="s">
        <v>53</v>
      </c>
      <c r="P1179" s="13" t="s">
        <v>54</v>
      </c>
      <c r="Q1179" s="6" t="s">
        <v>8844</v>
      </c>
      <c r="R1179" s="69" t="s">
        <v>4682</v>
      </c>
      <c r="S1179" s="30"/>
      <c r="T1179" s="18">
        <v>30</v>
      </c>
      <c r="U1179" s="18">
        <v>26</v>
      </c>
      <c r="V1179" s="13" t="s">
        <v>8845</v>
      </c>
      <c r="X1179" s="132">
        <v>1168</v>
      </c>
      <c r="Y1179" s="6"/>
    </row>
    <row r="1180" spans="1:25" ht="15" customHeight="1" x14ac:dyDescent="0.25">
      <c r="A1180" s="12" t="s">
        <v>8847</v>
      </c>
      <c r="B1180" s="92" t="s">
        <v>4978</v>
      </c>
      <c r="C1180" s="74">
        <v>47105</v>
      </c>
      <c r="D1180" s="13" t="s">
        <v>33</v>
      </c>
      <c r="E1180" s="6" t="s">
        <v>8848</v>
      </c>
      <c r="F1180" s="15" t="s">
        <v>8849</v>
      </c>
      <c r="G1180" s="6" t="s">
        <v>8850</v>
      </c>
      <c r="H1180" s="6" t="s">
        <v>8850</v>
      </c>
      <c r="I1180" s="13" t="s">
        <v>25</v>
      </c>
      <c r="J1180" s="13">
        <v>3</v>
      </c>
      <c r="K1180" s="13" t="s">
        <v>1714</v>
      </c>
      <c r="L1180" s="6" t="s">
        <v>8851</v>
      </c>
      <c r="M1180" s="108" t="s">
        <v>6793</v>
      </c>
      <c r="N1180" s="13" t="s">
        <v>6794</v>
      </c>
      <c r="O1180" s="13" t="s">
        <v>1889</v>
      </c>
      <c r="P1180" s="13" t="s">
        <v>68</v>
      </c>
      <c r="Q1180" s="6" t="s">
        <v>8852</v>
      </c>
      <c r="R1180" s="69" t="s">
        <v>8853</v>
      </c>
      <c r="S1180" s="69" t="s">
        <v>8854</v>
      </c>
      <c r="T1180" s="18">
        <v>16</v>
      </c>
      <c r="U1180" s="18">
        <v>16</v>
      </c>
      <c r="V1180" s="13" t="s">
        <v>8855</v>
      </c>
      <c r="X1180" s="132">
        <v>1169</v>
      </c>
      <c r="Y1180" s="6"/>
    </row>
    <row r="1181" spans="1:25" ht="15" customHeight="1" x14ac:dyDescent="0.25">
      <c r="A1181" s="12" t="s">
        <v>8862</v>
      </c>
      <c r="B1181" s="92" t="s">
        <v>4978</v>
      </c>
      <c r="C1181" s="74">
        <v>47105</v>
      </c>
      <c r="D1181" s="13" t="s">
        <v>33</v>
      </c>
      <c r="E1181" s="6" t="s">
        <v>8863</v>
      </c>
      <c r="F1181" s="15" t="s">
        <v>8806</v>
      </c>
      <c r="G1181" s="6" t="s">
        <v>8864</v>
      </c>
      <c r="H1181" s="6" t="s">
        <v>8864</v>
      </c>
      <c r="I1181" s="13" t="s">
        <v>25</v>
      </c>
      <c r="J1181" s="13">
        <v>3</v>
      </c>
      <c r="K1181" s="13" t="s">
        <v>1714</v>
      </c>
      <c r="L1181" s="6" t="s">
        <v>8865</v>
      </c>
      <c r="M1181" s="108" t="s">
        <v>6461</v>
      </c>
      <c r="N1181" s="13" t="s">
        <v>2654</v>
      </c>
      <c r="O1181" s="13" t="s">
        <v>36</v>
      </c>
      <c r="P1181" s="13" t="s">
        <v>4</v>
      </c>
      <c r="Q1181" s="6" t="s">
        <v>8866</v>
      </c>
      <c r="R1181" s="69" t="s">
        <v>8867</v>
      </c>
      <c r="S1181" s="69" t="s">
        <v>8811</v>
      </c>
      <c r="T1181" s="18">
        <v>20</v>
      </c>
      <c r="U1181" s="18">
        <v>14</v>
      </c>
      <c r="V1181" s="13" t="s">
        <v>8868</v>
      </c>
      <c r="X1181" s="132">
        <v>1170</v>
      </c>
      <c r="Y1181" s="6"/>
    </row>
    <row r="1182" spans="1:25" ht="15" customHeight="1" x14ac:dyDescent="0.25">
      <c r="A1182" s="12" t="s">
        <v>8887</v>
      </c>
      <c r="B1182" s="24" t="s">
        <v>4977</v>
      </c>
      <c r="C1182" s="14">
        <v>46389</v>
      </c>
      <c r="D1182" s="13" t="s">
        <v>33</v>
      </c>
      <c r="E1182" s="6" t="s">
        <v>8888</v>
      </c>
      <c r="F1182" s="15" t="s">
        <v>8889</v>
      </c>
      <c r="G1182" s="6" t="s">
        <v>8890</v>
      </c>
      <c r="H1182" s="6" t="s">
        <v>8890</v>
      </c>
      <c r="I1182" s="13" t="s">
        <v>25</v>
      </c>
      <c r="J1182" s="13">
        <v>3</v>
      </c>
      <c r="K1182" s="13" t="s">
        <v>1714</v>
      </c>
      <c r="L1182" s="6" t="s">
        <v>8891</v>
      </c>
      <c r="M1182" s="108" t="s">
        <v>8892</v>
      </c>
      <c r="N1182" s="13" t="s">
        <v>8971</v>
      </c>
      <c r="O1182" s="13" t="s">
        <v>27</v>
      </c>
      <c r="P1182" s="13" t="s">
        <v>9</v>
      </c>
      <c r="Q1182" s="6" t="s">
        <v>8893</v>
      </c>
      <c r="R1182" s="69" t="s">
        <v>8894</v>
      </c>
      <c r="S1182" s="30"/>
      <c r="T1182" s="18">
        <v>29</v>
      </c>
      <c r="U1182" s="18">
        <v>15</v>
      </c>
      <c r="V1182" s="13" t="s">
        <v>8895</v>
      </c>
      <c r="X1182" s="132">
        <v>1171</v>
      </c>
      <c r="Y1182" s="6"/>
    </row>
    <row r="1183" spans="1:25" ht="15" customHeight="1" x14ac:dyDescent="0.25">
      <c r="A1183" s="12" t="s">
        <v>8896</v>
      </c>
      <c r="B1183" s="92" t="s">
        <v>4978</v>
      </c>
      <c r="C1183" s="74">
        <v>47120</v>
      </c>
      <c r="D1183" s="13" t="s">
        <v>33</v>
      </c>
      <c r="E1183" s="6" t="s">
        <v>8897</v>
      </c>
      <c r="F1183" s="15" t="s">
        <v>8898</v>
      </c>
      <c r="G1183" s="6" t="s">
        <v>8899</v>
      </c>
      <c r="H1183" s="6" t="s">
        <v>8899</v>
      </c>
      <c r="I1183" s="13" t="s">
        <v>25</v>
      </c>
      <c r="J1183" s="13">
        <v>3</v>
      </c>
      <c r="K1183" s="13" t="s">
        <v>1714</v>
      </c>
      <c r="L1183" s="6" t="s">
        <v>8900</v>
      </c>
      <c r="M1183" s="108" t="s">
        <v>8901</v>
      </c>
      <c r="N1183" s="13" t="s">
        <v>136</v>
      </c>
      <c r="O1183" s="13" t="s">
        <v>136</v>
      </c>
      <c r="P1183" s="13" t="s">
        <v>4</v>
      </c>
      <c r="Q1183" s="6" t="s">
        <v>8902</v>
      </c>
      <c r="R1183" s="69" t="s">
        <v>8903</v>
      </c>
      <c r="S1183" s="69" t="s">
        <v>8904</v>
      </c>
      <c r="T1183" s="18">
        <v>27</v>
      </c>
      <c r="U1183" s="18">
        <v>22</v>
      </c>
      <c r="V1183" s="13" t="s">
        <v>8905</v>
      </c>
      <c r="X1183" s="132">
        <v>1172</v>
      </c>
      <c r="Y1183" s="6"/>
    </row>
    <row r="1184" spans="1:25" ht="15" customHeight="1" x14ac:dyDescent="0.25">
      <c r="A1184" s="12" t="s">
        <v>8914</v>
      </c>
      <c r="B1184" s="13" t="s">
        <v>4977</v>
      </c>
      <c r="C1184" s="14">
        <v>46389</v>
      </c>
      <c r="D1184" s="13" t="s">
        <v>1533</v>
      </c>
      <c r="E1184" s="6" t="s">
        <v>8915</v>
      </c>
      <c r="F1184" s="15" t="s">
        <v>8916</v>
      </c>
      <c r="G1184" s="6" t="s">
        <v>8917</v>
      </c>
      <c r="H1184" s="6" t="s">
        <v>8917</v>
      </c>
      <c r="I1184" s="13" t="s">
        <v>39</v>
      </c>
      <c r="J1184" s="13">
        <v>12</v>
      </c>
      <c r="K1184" s="13" t="s">
        <v>1714</v>
      </c>
      <c r="L1184" s="6" t="s">
        <v>8918</v>
      </c>
      <c r="M1184" s="108" t="s">
        <v>6713</v>
      </c>
      <c r="N1184" s="13" t="s">
        <v>8919</v>
      </c>
      <c r="O1184" s="13" t="s">
        <v>21</v>
      </c>
      <c r="P1184" s="13" t="s">
        <v>9</v>
      </c>
      <c r="Q1184" s="6" t="s">
        <v>8920</v>
      </c>
      <c r="R1184" s="69" t="s">
        <v>8921</v>
      </c>
      <c r="S1184" s="69" t="s">
        <v>8922</v>
      </c>
      <c r="T1184" s="18">
        <v>15</v>
      </c>
      <c r="U1184" s="18">
        <v>12</v>
      </c>
      <c r="V1184" s="13" t="s">
        <v>8923</v>
      </c>
      <c r="X1184" s="132">
        <v>1173</v>
      </c>
      <c r="Y1184" s="6"/>
    </row>
    <row r="1185" spans="1:25" ht="15" customHeight="1" x14ac:dyDescent="0.25">
      <c r="A1185" s="12" t="s">
        <v>8924</v>
      </c>
      <c r="B1185" s="13" t="s">
        <v>4977</v>
      </c>
      <c r="C1185" s="14">
        <v>46389</v>
      </c>
      <c r="D1185" s="13" t="s">
        <v>1533</v>
      </c>
      <c r="E1185" s="6" t="s">
        <v>8925</v>
      </c>
      <c r="F1185" s="15" t="s">
        <v>8926</v>
      </c>
      <c r="G1185" s="6" t="s">
        <v>8927</v>
      </c>
      <c r="H1185" s="6" t="s">
        <v>8927</v>
      </c>
      <c r="I1185" s="13" t="s">
        <v>39</v>
      </c>
      <c r="J1185" s="13">
        <v>12</v>
      </c>
      <c r="K1185" s="13" t="s">
        <v>1714</v>
      </c>
      <c r="L1185" s="6" t="s">
        <v>8928</v>
      </c>
      <c r="M1185" s="108" t="s">
        <v>8664</v>
      </c>
      <c r="N1185" s="13" t="s">
        <v>2945</v>
      </c>
      <c r="O1185" s="13" t="s">
        <v>136</v>
      </c>
      <c r="P1185" s="13" t="s">
        <v>4</v>
      </c>
      <c r="Q1185" s="6" t="s">
        <v>8665</v>
      </c>
      <c r="R1185" s="69" t="s">
        <v>8929</v>
      </c>
      <c r="S1185" s="69" t="s">
        <v>8930</v>
      </c>
      <c r="T1185" s="18">
        <v>507</v>
      </c>
      <c r="U1185" s="18">
        <v>457</v>
      </c>
      <c r="V1185" s="13" t="s">
        <v>8931</v>
      </c>
      <c r="X1185" s="132">
        <v>1174</v>
      </c>
      <c r="Y1185" s="6"/>
    </row>
    <row r="1186" spans="1:25" ht="15" customHeight="1" x14ac:dyDescent="0.25">
      <c r="A1186" s="12" t="s">
        <v>10426</v>
      </c>
      <c r="B1186" s="79" t="s">
        <v>4977</v>
      </c>
      <c r="C1186" s="80">
        <v>46614</v>
      </c>
      <c r="D1186" s="79" t="s">
        <v>1533</v>
      </c>
      <c r="E1186" s="81" t="s">
        <v>8925</v>
      </c>
      <c r="F1186" s="82" t="s">
        <v>10427</v>
      </c>
      <c r="G1186" s="81" t="s">
        <v>8927</v>
      </c>
      <c r="H1186" s="81" t="s">
        <v>8927</v>
      </c>
      <c r="I1186" s="79" t="s">
        <v>39</v>
      </c>
      <c r="J1186" s="79">
        <v>12</v>
      </c>
      <c r="K1186" s="79" t="s">
        <v>7032</v>
      </c>
      <c r="L1186" s="81" t="s">
        <v>10428</v>
      </c>
      <c r="M1186" s="109"/>
      <c r="N1186" s="79" t="s">
        <v>10429</v>
      </c>
      <c r="O1186" s="13" t="s">
        <v>11948</v>
      </c>
      <c r="P1186" s="13" t="s">
        <v>68</v>
      </c>
      <c r="Q1186" s="81" t="s">
        <v>8665</v>
      </c>
      <c r="R1186" s="69" t="s">
        <v>8929</v>
      </c>
      <c r="S1186" s="69" t="s">
        <v>8930</v>
      </c>
      <c r="T1186" s="85">
        <v>2000</v>
      </c>
      <c r="U1186" s="85">
        <v>1400</v>
      </c>
      <c r="V1186" s="79" t="s">
        <v>8931</v>
      </c>
      <c r="W1186" s="81"/>
      <c r="X1186" s="132">
        <v>1175</v>
      </c>
      <c r="Y1186" s="6"/>
    </row>
    <row r="1187" spans="1:25" ht="15" customHeight="1" x14ac:dyDescent="0.25">
      <c r="A1187" s="12" t="s">
        <v>8952</v>
      </c>
      <c r="B1187" s="92" t="s">
        <v>4978</v>
      </c>
      <c r="C1187" s="74">
        <v>47120</v>
      </c>
      <c r="D1187" s="13" t="s">
        <v>33</v>
      </c>
      <c r="E1187" s="6" t="s">
        <v>8953</v>
      </c>
      <c r="F1187" s="15" t="s">
        <v>8954</v>
      </c>
      <c r="G1187" s="6" t="s">
        <v>8955</v>
      </c>
      <c r="H1187" s="6" t="s">
        <v>8955</v>
      </c>
      <c r="I1187" s="13" t="s">
        <v>25</v>
      </c>
      <c r="J1187" s="13">
        <v>3</v>
      </c>
      <c r="K1187" s="13" t="s">
        <v>1714</v>
      </c>
      <c r="L1187" s="6" t="s">
        <v>8956</v>
      </c>
      <c r="M1187" s="108" t="s">
        <v>6491</v>
      </c>
      <c r="N1187" s="13" t="s">
        <v>8957</v>
      </c>
      <c r="O1187" s="13" t="s">
        <v>1847</v>
      </c>
      <c r="P1187" s="13" t="s">
        <v>68</v>
      </c>
      <c r="Q1187" s="6" t="s">
        <v>8972</v>
      </c>
      <c r="R1187" s="69" t="s">
        <v>8958</v>
      </c>
      <c r="S1187" s="30"/>
      <c r="T1187" s="18">
        <v>17</v>
      </c>
      <c r="U1187" s="18">
        <v>10</v>
      </c>
      <c r="V1187" s="13" t="s">
        <v>8959</v>
      </c>
      <c r="X1187" s="132">
        <v>1176</v>
      </c>
      <c r="Y1187" s="6"/>
    </row>
    <row r="1188" spans="1:25" ht="15" customHeight="1" x14ac:dyDescent="0.25">
      <c r="A1188" s="12" t="s">
        <v>8973</v>
      </c>
      <c r="B1188" s="92" t="s">
        <v>4978</v>
      </c>
      <c r="C1188" s="74">
        <v>47148</v>
      </c>
      <c r="D1188" s="13" t="s">
        <v>33</v>
      </c>
      <c r="E1188" s="6" t="s">
        <v>8974</v>
      </c>
      <c r="F1188" s="15" t="s">
        <v>8975</v>
      </c>
      <c r="G1188" s="6" t="s">
        <v>8976</v>
      </c>
      <c r="H1188" s="6" t="s">
        <v>8976</v>
      </c>
      <c r="I1188" s="13" t="s">
        <v>25</v>
      </c>
      <c r="J1188" s="13">
        <v>3</v>
      </c>
      <c r="K1188" s="13" t="s">
        <v>1714</v>
      </c>
      <c r="L1188" s="6" t="s">
        <v>8977</v>
      </c>
      <c r="M1188" s="108" t="s">
        <v>8978</v>
      </c>
      <c r="N1188" s="13" t="s">
        <v>8979</v>
      </c>
      <c r="O1188" s="13" t="s">
        <v>11949</v>
      </c>
      <c r="P1188" s="13" t="s">
        <v>68</v>
      </c>
      <c r="Q1188" s="6" t="s">
        <v>8980</v>
      </c>
      <c r="R1188" s="69" t="s">
        <v>8981</v>
      </c>
      <c r="S1188" s="69" t="s">
        <v>8982</v>
      </c>
      <c r="T1188" s="18">
        <v>18</v>
      </c>
      <c r="U1188" s="18">
        <v>18</v>
      </c>
      <c r="V1188" s="13" t="s">
        <v>8983</v>
      </c>
      <c r="X1188" s="132">
        <v>1177</v>
      </c>
      <c r="Y1188" s="6"/>
    </row>
    <row r="1189" spans="1:25" ht="15" customHeight="1" x14ac:dyDescent="0.25">
      <c r="A1189" s="12" t="s">
        <v>8984</v>
      </c>
      <c r="B1189" s="13" t="s">
        <v>4977</v>
      </c>
      <c r="C1189" s="14">
        <v>46417</v>
      </c>
      <c r="D1189" s="13" t="s">
        <v>33</v>
      </c>
      <c r="E1189" s="6" t="s">
        <v>8985</v>
      </c>
      <c r="F1189" s="15" t="s">
        <v>8986</v>
      </c>
      <c r="G1189" s="6" t="s">
        <v>8987</v>
      </c>
      <c r="H1189" s="6" t="s">
        <v>8987</v>
      </c>
      <c r="I1189" s="13" t="s">
        <v>25</v>
      </c>
      <c r="J1189" s="13">
        <v>3</v>
      </c>
      <c r="K1189" s="13" t="s">
        <v>1714</v>
      </c>
      <c r="L1189" s="6" t="s">
        <v>8988</v>
      </c>
      <c r="M1189" s="108" t="s">
        <v>8989</v>
      </c>
      <c r="N1189" s="13" t="s">
        <v>5415</v>
      </c>
      <c r="O1189" s="13" t="s">
        <v>21</v>
      </c>
      <c r="P1189" s="13" t="s">
        <v>9</v>
      </c>
      <c r="Q1189" s="6" t="s">
        <v>8990</v>
      </c>
      <c r="R1189" s="69" t="s">
        <v>8991</v>
      </c>
      <c r="S1189" s="30"/>
      <c r="T1189" s="18">
        <v>21</v>
      </c>
      <c r="U1189" s="18">
        <v>14</v>
      </c>
      <c r="V1189" s="13" t="s">
        <v>8992</v>
      </c>
      <c r="X1189" s="132">
        <v>1178</v>
      </c>
      <c r="Y1189" s="6"/>
    </row>
    <row r="1190" spans="1:25" ht="15" customHeight="1" x14ac:dyDescent="0.25">
      <c r="A1190" s="12" t="s">
        <v>8997</v>
      </c>
      <c r="B1190" s="92" t="s">
        <v>4978</v>
      </c>
      <c r="C1190" s="74">
        <v>47148</v>
      </c>
      <c r="D1190" s="13" t="s">
        <v>33</v>
      </c>
      <c r="E1190" s="6" t="s">
        <v>9157</v>
      </c>
      <c r="F1190" s="15" t="s">
        <v>8840</v>
      </c>
      <c r="G1190" s="6" t="s">
        <v>8998</v>
      </c>
      <c r="H1190" s="6" t="s">
        <v>8998</v>
      </c>
      <c r="I1190" s="13" t="s">
        <v>25</v>
      </c>
      <c r="J1190" s="13">
        <v>3</v>
      </c>
      <c r="K1190" s="13" t="s">
        <v>1714</v>
      </c>
      <c r="L1190" s="6" t="s">
        <v>9135</v>
      </c>
      <c r="M1190" s="108" t="s">
        <v>8999</v>
      </c>
      <c r="N1190" s="13" t="s">
        <v>9000</v>
      </c>
      <c r="O1190" s="13" t="s">
        <v>136</v>
      </c>
      <c r="P1190" s="13" t="s">
        <v>4</v>
      </c>
      <c r="Q1190" s="6" t="s">
        <v>8844</v>
      </c>
      <c r="R1190" s="69" t="s">
        <v>6065</v>
      </c>
      <c r="S1190" s="30"/>
      <c r="T1190" s="18">
        <v>27</v>
      </c>
      <c r="U1190" s="18">
        <v>21</v>
      </c>
      <c r="V1190" s="13" t="s">
        <v>9001</v>
      </c>
      <c r="X1190" s="132">
        <v>1179</v>
      </c>
      <c r="Y1190" s="6"/>
    </row>
    <row r="1191" spans="1:25" ht="15" customHeight="1" x14ac:dyDescent="0.25">
      <c r="A1191" s="12" t="s">
        <v>9011</v>
      </c>
      <c r="B1191" s="92" t="s">
        <v>4978</v>
      </c>
      <c r="C1191" s="74">
        <v>47148</v>
      </c>
      <c r="D1191" s="13" t="s">
        <v>33</v>
      </c>
      <c r="E1191" s="6" t="s">
        <v>9002</v>
      </c>
      <c r="F1191" s="15" t="s">
        <v>9003</v>
      </c>
      <c r="G1191" s="6" t="s">
        <v>9004</v>
      </c>
      <c r="H1191" s="6" t="s">
        <v>9004</v>
      </c>
      <c r="I1191" s="13" t="s">
        <v>25</v>
      </c>
      <c r="J1191" s="13">
        <v>3</v>
      </c>
      <c r="K1191" s="13" t="s">
        <v>1714</v>
      </c>
      <c r="L1191" s="6" t="s">
        <v>9005</v>
      </c>
      <c r="M1191" s="108" t="s">
        <v>9006</v>
      </c>
      <c r="N1191" s="13" t="s">
        <v>5615</v>
      </c>
      <c r="O1191" s="13" t="s">
        <v>177</v>
      </c>
      <c r="P1191" s="13" t="s">
        <v>9</v>
      </c>
      <c r="Q1191" s="6" t="s">
        <v>9007</v>
      </c>
      <c r="R1191" s="69" t="s">
        <v>5617</v>
      </c>
      <c r="S1191" s="69" t="s">
        <v>9008</v>
      </c>
      <c r="T1191" s="18">
        <v>25</v>
      </c>
      <c r="U1191" s="18">
        <v>17</v>
      </c>
      <c r="V1191" s="13" t="s">
        <v>9009</v>
      </c>
      <c r="X1191" s="132">
        <v>1180</v>
      </c>
      <c r="Y1191" s="6"/>
    </row>
    <row r="1192" spans="1:25" ht="15" customHeight="1" x14ac:dyDescent="0.25">
      <c r="A1192" s="12" t="s">
        <v>9012</v>
      </c>
      <c r="B1192" s="92" t="s">
        <v>4978</v>
      </c>
      <c r="C1192" s="74">
        <v>47148</v>
      </c>
      <c r="D1192" s="13" t="s">
        <v>33</v>
      </c>
      <c r="E1192" s="6" t="s">
        <v>9013</v>
      </c>
      <c r="F1192" s="15" t="s">
        <v>9014</v>
      </c>
      <c r="G1192" s="6" t="s">
        <v>9015</v>
      </c>
      <c r="H1192" s="6" t="s">
        <v>9015</v>
      </c>
      <c r="I1192" s="13" t="s">
        <v>25</v>
      </c>
      <c r="J1192" s="13">
        <v>3</v>
      </c>
      <c r="K1192" s="13" t="s">
        <v>1714</v>
      </c>
      <c r="L1192" s="6" t="s">
        <v>9248</v>
      </c>
      <c r="M1192" s="108" t="s">
        <v>9016</v>
      </c>
      <c r="N1192" s="13" t="s">
        <v>61</v>
      </c>
      <c r="O1192" s="13" t="s">
        <v>61</v>
      </c>
      <c r="P1192" s="13" t="s">
        <v>9</v>
      </c>
      <c r="Q1192" s="6" t="s">
        <v>9017</v>
      </c>
      <c r="R1192" s="69" t="s">
        <v>9018</v>
      </c>
      <c r="S1192" s="69" t="s">
        <v>9019</v>
      </c>
      <c r="T1192" s="18">
        <v>15</v>
      </c>
      <c r="U1192" s="18">
        <v>14</v>
      </c>
      <c r="V1192" s="13" t="s">
        <v>9020</v>
      </c>
      <c r="X1192" s="132">
        <v>1181</v>
      </c>
      <c r="Y1192" s="6"/>
    </row>
    <row r="1193" spans="1:25" ht="15" customHeight="1" x14ac:dyDescent="0.25">
      <c r="A1193" s="12" t="s">
        <v>9021</v>
      </c>
      <c r="B1193" s="92" t="s">
        <v>4978</v>
      </c>
      <c r="C1193" s="74">
        <v>47148</v>
      </c>
      <c r="D1193" s="13" t="s">
        <v>33</v>
      </c>
      <c r="E1193" s="6" t="s">
        <v>9022</v>
      </c>
      <c r="F1193" s="15" t="s">
        <v>9023</v>
      </c>
      <c r="G1193" s="6" t="s">
        <v>9024</v>
      </c>
      <c r="H1193" s="6" t="s">
        <v>9024</v>
      </c>
      <c r="I1193" s="13" t="s">
        <v>25</v>
      </c>
      <c r="J1193" s="13">
        <v>3</v>
      </c>
      <c r="K1193" s="13" t="s">
        <v>1714</v>
      </c>
      <c r="L1193" s="6" t="s">
        <v>9025</v>
      </c>
      <c r="M1193" s="108" t="s">
        <v>9026</v>
      </c>
      <c r="N1193" s="13" t="s">
        <v>9027</v>
      </c>
      <c r="O1193" s="13" t="s">
        <v>293</v>
      </c>
      <c r="P1193" s="13" t="s">
        <v>16</v>
      </c>
      <c r="Q1193" s="6" t="s">
        <v>9028</v>
      </c>
      <c r="R1193" s="69" t="s">
        <v>9029</v>
      </c>
      <c r="S1193" s="30"/>
      <c r="T1193" s="18">
        <v>17</v>
      </c>
      <c r="U1193" s="18">
        <v>13</v>
      </c>
      <c r="V1193" s="13" t="s">
        <v>9030</v>
      </c>
      <c r="X1193" s="132">
        <v>1182</v>
      </c>
      <c r="Y1193" s="6"/>
    </row>
    <row r="1194" spans="1:25" ht="15" customHeight="1" x14ac:dyDescent="0.25">
      <c r="A1194" s="12" t="s">
        <v>9044</v>
      </c>
      <c r="B1194" s="13" t="s">
        <v>4977</v>
      </c>
      <c r="C1194" s="14">
        <v>46417</v>
      </c>
      <c r="D1194" s="13" t="s">
        <v>1533</v>
      </c>
      <c r="E1194" s="6" t="s">
        <v>9037</v>
      </c>
      <c r="F1194" s="15" t="s">
        <v>9038</v>
      </c>
      <c r="G1194" s="6" t="s">
        <v>9039</v>
      </c>
      <c r="H1194" s="6" t="s">
        <v>9039</v>
      </c>
      <c r="I1194" s="13" t="s">
        <v>39</v>
      </c>
      <c r="J1194" s="13">
        <v>12</v>
      </c>
      <c r="K1194" s="13" t="s">
        <v>1714</v>
      </c>
      <c r="L1194" s="6" t="s">
        <v>9040</v>
      </c>
      <c r="M1194" s="108" t="s">
        <v>5420</v>
      </c>
      <c r="N1194" s="13" t="s">
        <v>9054</v>
      </c>
      <c r="O1194" s="13" t="s">
        <v>704</v>
      </c>
      <c r="P1194" s="13" t="s">
        <v>16</v>
      </c>
      <c r="Q1194" s="6" t="s">
        <v>9041</v>
      </c>
      <c r="R1194" s="69" t="s">
        <v>9042</v>
      </c>
      <c r="S1194" s="30"/>
      <c r="T1194" s="18">
        <v>60</v>
      </c>
      <c r="U1194" s="18">
        <v>60</v>
      </c>
      <c r="V1194" s="13" t="s">
        <v>9043</v>
      </c>
      <c r="X1194" s="132">
        <v>1183</v>
      </c>
      <c r="Y1194" s="6"/>
    </row>
    <row r="1195" spans="1:25" ht="15" customHeight="1" x14ac:dyDescent="0.25">
      <c r="A1195" s="12" t="s">
        <v>9045</v>
      </c>
      <c r="B1195" s="13" t="s">
        <v>4977</v>
      </c>
      <c r="C1195" s="14">
        <v>46417</v>
      </c>
      <c r="D1195" s="13" t="s">
        <v>1533</v>
      </c>
      <c r="E1195" s="6" t="s">
        <v>9037</v>
      </c>
      <c r="F1195" s="15" t="s">
        <v>9046</v>
      </c>
      <c r="G1195" s="6" t="s">
        <v>9039</v>
      </c>
      <c r="H1195" s="6" t="s">
        <v>9039</v>
      </c>
      <c r="I1195" s="13" t="s">
        <v>39</v>
      </c>
      <c r="J1195" s="13">
        <v>12</v>
      </c>
      <c r="K1195" s="13" t="s">
        <v>1714</v>
      </c>
      <c r="L1195" s="6" t="s">
        <v>9047</v>
      </c>
      <c r="M1195" s="108" t="s">
        <v>9048</v>
      </c>
      <c r="N1195" s="13" t="s">
        <v>9049</v>
      </c>
      <c r="O1195" s="13" t="s">
        <v>11948</v>
      </c>
      <c r="P1195" s="13" t="s">
        <v>68</v>
      </c>
      <c r="Q1195" s="6" t="s">
        <v>9041</v>
      </c>
      <c r="R1195" s="69" t="s">
        <v>9042</v>
      </c>
      <c r="S1195" s="30"/>
      <c r="T1195" s="18">
        <v>60</v>
      </c>
      <c r="U1195" s="18">
        <v>60</v>
      </c>
      <c r="V1195" s="13" t="s">
        <v>9050</v>
      </c>
      <c r="X1195" s="132">
        <v>1184</v>
      </c>
      <c r="Y1195" s="6"/>
    </row>
    <row r="1196" spans="1:25" ht="15" customHeight="1" x14ac:dyDescent="0.25">
      <c r="A1196" s="12" t="s">
        <v>9051</v>
      </c>
      <c r="B1196" s="13" t="s">
        <v>4977</v>
      </c>
      <c r="C1196" s="14">
        <v>46417</v>
      </c>
      <c r="D1196" s="13" t="s">
        <v>1533</v>
      </c>
      <c r="E1196" s="6" t="s">
        <v>9037</v>
      </c>
      <c r="F1196" s="15" t="s">
        <v>9052</v>
      </c>
      <c r="G1196" s="6" t="s">
        <v>9039</v>
      </c>
      <c r="H1196" s="6" t="s">
        <v>9039</v>
      </c>
      <c r="I1196" s="13" t="s">
        <v>39</v>
      </c>
      <c r="J1196" s="13">
        <v>12</v>
      </c>
      <c r="K1196" s="13" t="s">
        <v>1714</v>
      </c>
      <c r="L1196" s="6" t="s">
        <v>9053</v>
      </c>
      <c r="M1196" s="108" t="s">
        <v>6541</v>
      </c>
      <c r="N1196" s="13" t="s">
        <v>2235</v>
      </c>
      <c r="O1196" s="13" t="s">
        <v>2146</v>
      </c>
      <c r="P1196" s="13" t="s">
        <v>68</v>
      </c>
      <c r="Q1196" s="6" t="s">
        <v>9041</v>
      </c>
      <c r="R1196" s="69" t="s">
        <v>9042</v>
      </c>
      <c r="S1196" s="30"/>
      <c r="T1196" s="18">
        <v>20</v>
      </c>
      <c r="U1196" s="18">
        <v>20</v>
      </c>
      <c r="V1196" s="13" t="s">
        <v>9055</v>
      </c>
      <c r="X1196" s="132">
        <v>1185</v>
      </c>
      <c r="Y1196" s="6"/>
    </row>
    <row r="1197" spans="1:25" ht="15" customHeight="1" x14ac:dyDescent="0.25">
      <c r="A1197" s="12" t="s">
        <v>9063</v>
      </c>
      <c r="B1197" s="13" t="s">
        <v>4977</v>
      </c>
      <c r="C1197" s="14">
        <v>46417</v>
      </c>
      <c r="D1197" s="13" t="s">
        <v>33</v>
      </c>
      <c r="E1197" s="6" t="s">
        <v>9064</v>
      </c>
      <c r="F1197" s="15" t="s">
        <v>9065</v>
      </c>
      <c r="G1197" s="6" t="s">
        <v>9066</v>
      </c>
      <c r="H1197" s="6" t="s">
        <v>9066</v>
      </c>
      <c r="I1197" s="13" t="s">
        <v>25</v>
      </c>
      <c r="J1197" s="13">
        <v>3</v>
      </c>
      <c r="K1197" s="13" t="s">
        <v>1714</v>
      </c>
      <c r="L1197" s="6" t="s">
        <v>9067</v>
      </c>
      <c r="M1197" s="108" t="s">
        <v>9068</v>
      </c>
      <c r="N1197" s="13" t="s">
        <v>9069</v>
      </c>
      <c r="O1197" s="13" t="s">
        <v>8</v>
      </c>
      <c r="P1197" s="13" t="s">
        <v>9</v>
      </c>
      <c r="Q1197" s="6" t="s">
        <v>9070</v>
      </c>
      <c r="R1197" s="69" t="s">
        <v>9071</v>
      </c>
      <c r="S1197" s="69" t="s">
        <v>9072</v>
      </c>
      <c r="T1197" s="18">
        <v>42</v>
      </c>
      <c r="U1197" s="18">
        <v>1</v>
      </c>
      <c r="V1197" s="13" t="s">
        <v>9073</v>
      </c>
      <c r="X1197" s="132">
        <v>1186</v>
      </c>
      <c r="Y1197" s="6"/>
    </row>
    <row r="1198" spans="1:25" ht="15" customHeight="1" x14ac:dyDescent="0.25">
      <c r="A1198" s="12" t="s">
        <v>9074</v>
      </c>
      <c r="B1198" s="92" t="s">
        <v>4978</v>
      </c>
      <c r="C1198" s="74">
        <v>47148</v>
      </c>
      <c r="D1198" s="13" t="s">
        <v>33</v>
      </c>
      <c r="E1198" s="6" t="s">
        <v>9075</v>
      </c>
      <c r="F1198" s="15" t="s">
        <v>9076</v>
      </c>
      <c r="G1198" s="6" t="s">
        <v>9077</v>
      </c>
      <c r="H1198" s="6" t="s">
        <v>9077</v>
      </c>
      <c r="I1198" s="13" t="s">
        <v>25</v>
      </c>
      <c r="J1198" s="13">
        <v>3</v>
      </c>
      <c r="K1198" s="13" t="s">
        <v>1714</v>
      </c>
      <c r="L1198" s="6" t="s">
        <v>9078</v>
      </c>
      <c r="M1198" s="108" t="s">
        <v>9079</v>
      </c>
      <c r="N1198" s="13" t="s">
        <v>8835</v>
      </c>
      <c r="O1198" s="13" t="s">
        <v>97</v>
      </c>
      <c r="P1198" s="13" t="s">
        <v>4</v>
      </c>
      <c r="Q1198" s="6" t="s">
        <v>9080</v>
      </c>
      <c r="R1198" s="69" t="s">
        <v>9081</v>
      </c>
      <c r="S1198" s="69" t="s">
        <v>9082</v>
      </c>
      <c r="T1198" s="18">
        <v>24</v>
      </c>
      <c r="U1198" s="18">
        <v>24</v>
      </c>
      <c r="V1198" s="13" t="s">
        <v>9083</v>
      </c>
      <c r="X1198" s="132">
        <v>1187</v>
      </c>
      <c r="Y1198" s="6"/>
    </row>
    <row r="1199" spans="1:25" ht="15" customHeight="1" x14ac:dyDescent="0.25">
      <c r="A1199" s="12" t="s">
        <v>9087</v>
      </c>
      <c r="B1199" s="92" t="s">
        <v>4978</v>
      </c>
      <c r="C1199" s="74">
        <v>47148</v>
      </c>
      <c r="D1199" s="13" t="s">
        <v>33</v>
      </c>
      <c r="E1199" s="6" t="s">
        <v>9088</v>
      </c>
      <c r="F1199" s="15" t="s">
        <v>9089</v>
      </c>
      <c r="G1199" s="6" t="s">
        <v>9090</v>
      </c>
      <c r="H1199" s="6" t="s">
        <v>9090</v>
      </c>
      <c r="I1199" s="13" t="s">
        <v>25</v>
      </c>
      <c r="J1199" s="13">
        <v>3</v>
      </c>
      <c r="K1199" s="13" t="s">
        <v>1714</v>
      </c>
      <c r="L1199" s="6" t="s">
        <v>9091</v>
      </c>
      <c r="M1199" s="108" t="s">
        <v>9092</v>
      </c>
      <c r="N1199" s="13" t="s">
        <v>9093</v>
      </c>
      <c r="O1199" s="13" t="s">
        <v>5556</v>
      </c>
      <c r="P1199" s="13" t="s">
        <v>9</v>
      </c>
      <c r="Q1199" s="6" t="s">
        <v>9094</v>
      </c>
      <c r="R1199" s="69" t="s">
        <v>9136</v>
      </c>
      <c r="S1199" s="30"/>
      <c r="T1199" s="18">
        <v>28</v>
      </c>
      <c r="U1199" s="18">
        <v>28</v>
      </c>
      <c r="V1199" s="13" t="s">
        <v>9095</v>
      </c>
      <c r="X1199" s="132">
        <v>1188</v>
      </c>
      <c r="Y1199" s="6"/>
    </row>
    <row r="1200" spans="1:25" ht="15" customHeight="1" x14ac:dyDescent="0.25">
      <c r="A1200" s="12" t="s">
        <v>9108</v>
      </c>
      <c r="B1200" s="92" t="s">
        <v>4978</v>
      </c>
      <c r="C1200" s="74">
        <v>47148</v>
      </c>
      <c r="D1200" s="13" t="s">
        <v>33</v>
      </c>
      <c r="E1200" s="6" t="s">
        <v>9109</v>
      </c>
      <c r="F1200" s="15" t="s">
        <v>9110</v>
      </c>
      <c r="G1200" s="6" t="s">
        <v>9111</v>
      </c>
      <c r="H1200" s="6" t="s">
        <v>9111</v>
      </c>
      <c r="I1200" s="13" t="s">
        <v>25</v>
      </c>
      <c r="J1200" s="13">
        <v>3</v>
      </c>
      <c r="K1200" s="13" t="s">
        <v>1714</v>
      </c>
      <c r="L1200" s="6" t="s">
        <v>9112</v>
      </c>
      <c r="M1200" s="108" t="s">
        <v>9113</v>
      </c>
      <c r="N1200" s="13" t="s">
        <v>2271</v>
      </c>
      <c r="O1200" s="13" t="s">
        <v>36</v>
      </c>
      <c r="P1200" s="13" t="s">
        <v>4</v>
      </c>
      <c r="Q1200" s="6" t="s">
        <v>5718</v>
      </c>
      <c r="R1200" s="69" t="s">
        <v>9114</v>
      </c>
      <c r="S1200" s="69" t="s">
        <v>9115</v>
      </c>
      <c r="T1200" s="18">
        <v>22</v>
      </c>
      <c r="U1200" s="18">
        <v>15</v>
      </c>
      <c r="V1200" s="13" t="s">
        <v>9116</v>
      </c>
      <c r="X1200" s="132">
        <v>1189</v>
      </c>
      <c r="Y1200" s="6"/>
    </row>
    <row r="1201" spans="1:25" ht="15" customHeight="1" x14ac:dyDescent="0.25">
      <c r="A1201" s="12" t="s">
        <v>9117</v>
      </c>
      <c r="B1201" s="92" t="s">
        <v>4978</v>
      </c>
      <c r="C1201" s="74">
        <v>47148</v>
      </c>
      <c r="D1201" s="13" t="s">
        <v>33</v>
      </c>
      <c r="E1201" s="6" t="s">
        <v>9118</v>
      </c>
      <c r="F1201" s="15" t="s">
        <v>9119</v>
      </c>
      <c r="G1201" s="6" t="s">
        <v>9120</v>
      </c>
      <c r="H1201" s="6" t="s">
        <v>9120</v>
      </c>
      <c r="I1201" s="13" t="s">
        <v>25</v>
      </c>
      <c r="J1201" s="13">
        <v>3</v>
      </c>
      <c r="K1201" s="13" t="s">
        <v>1714</v>
      </c>
      <c r="L1201" s="6" t="s">
        <v>9121</v>
      </c>
      <c r="M1201" s="108" t="s">
        <v>9122</v>
      </c>
      <c r="N1201" s="13" t="s">
        <v>9123</v>
      </c>
      <c r="O1201" s="13" t="s">
        <v>21</v>
      </c>
      <c r="P1201" s="13" t="s">
        <v>9</v>
      </c>
      <c r="Q1201" s="6" t="s">
        <v>9124</v>
      </c>
      <c r="R1201" s="69" t="s">
        <v>9125</v>
      </c>
      <c r="S1201" s="30"/>
      <c r="T1201" s="18">
        <v>26</v>
      </c>
      <c r="U1201" s="18">
        <v>24</v>
      </c>
      <c r="V1201" s="13" t="s">
        <v>9126</v>
      </c>
      <c r="X1201" s="132">
        <v>1190</v>
      </c>
      <c r="Y1201" s="6"/>
    </row>
    <row r="1202" spans="1:25" ht="15" customHeight="1" x14ac:dyDescent="0.25">
      <c r="A1202" s="12" t="s">
        <v>9137</v>
      </c>
      <c r="B1202" s="92" t="s">
        <v>4978</v>
      </c>
      <c r="C1202" s="74">
        <v>47148</v>
      </c>
      <c r="D1202" s="13" t="s">
        <v>33</v>
      </c>
      <c r="E1202" s="6" t="s">
        <v>9138</v>
      </c>
      <c r="F1202" s="6" t="s">
        <v>9146</v>
      </c>
      <c r="G1202" s="6" t="s">
        <v>9139</v>
      </c>
      <c r="H1202" s="6" t="s">
        <v>9139</v>
      </c>
      <c r="I1202" s="13" t="s">
        <v>25</v>
      </c>
      <c r="J1202" s="13">
        <v>3</v>
      </c>
      <c r="K1202" s="13" t="s">
        <v>1714</v>
      </c>
      <c r="L1202" s="6" t="s">
        <v>9140</v>
      </c>
      <c r="M1202" s="108" t="s">
        <v>9141</v>
      </c>
      <c r="N1202" s="13" t="s">
        <v>9142</v>
      </c>
      <c r="O1202" s="13" t="s">
        <v>293</v>
      </c>
      <c r="P1202" s="13" t="s">
        <v>16</v>
      </c>
      <c r="Q1202" s="6" t="s">
        <v>9143</v>
      </c>
      <c r="R1202" s="69" t="s">
        <v>9144</v>
      </c>
      <c r="S1202" s="30"/>
      <c r="T1202" s="18">
        <v>21</v>
      </c>
      <c r="U1202" s="18">
        <v>21</v>
      </c>
      <c r="V1202" s="13" t="s">
        <v>9145</v>
      </c>
      <c r="X1202" s="132">
        <v>1191</v>
      </c>
      <c r="Y1202" s="6"/>
    </row>
    <row r="1203" spans="1:25" ht="15" customHeight="1" x14ac:dyDescent="0.25">
      <c r="A1203" s="12" t="s">
        <v>9291</v>
      </c>
      <c r="B1203" s="13" t="s">
        <v>4977</v>
      </c>
      <c r="C1203" s="14">
        <v>46431</v>
      </c>
      <c r="D1203" s="13" t="s">
        <v>33</v>
      </c>
      <c r="E1203" s="6" t="s">
        <v>9292</v>
      </c>
      <c r="F1203" s="15" t="s">
        <v>9293</v>
      </c>
      <c r="G1203" s="6" t="s">
        <v>9294</v>
      </c>
      <c r="H1203" s="6" t="s">
        <v>9294</v>
      </c>
      <c r="I1203" s="13" t="s">
        <v>25</v>
      </c>
      <c r="J1203" s="13">
        <v>3</v>
      </c>
      <c r="K1203" s="13" t="s">
        <v>1714</v>
      </c>
      <c r="L1203" s="6" t="s">
        <v>9295</v>
      </c>
      <c r="M1203" s="108" t="s">
        <v>9296</v>
      </c>
      <c r="N1203" s="13" t="s">
        <v>2647</v>
      </c>
      <c r="O1203" s="13" t="s">
        <v>2146</v>
      </c>
      <c r="P1203" s="13" t="s">
        <v>68</v>
      </c>
      <c r="Q1203" s="6" t="s">
        <v>9297</v>
      </c>
      <c r="R1203" s="69" t="s">
        <v>9298</v>
      </c>
      <c r="S1203" s="30"/>
      <c r="T1203" s="18">
        <v>16</v>
      </c>
      <c r="U1203" s="18">
        <v>11</v>
      </c>
      <c r="V1203" s="13" t="s">
        <v>9299</v>
      </c>
      <c r="X1203" s="132">
        <v>1192</v>
      </c>
      <c r="Y1203" s="6"/>
    </row>
    <row r="1204" spans="1:25" ht="15" customHeight="1" x14ac:dyDescent="0.25">
      <c r="A1204" s="12" t="s">
        <v>9300</v>
      </c>
      <c r="B1204" s="92" t="s">
        <v>4978</v>
      </c>
      <c r="C1204" s="74">
        <v>47162</v>
      </c>
      <c r="D1204" s="13" t="s">
        <v>33</v>
      </c>
      <c r="E1204" s="6" t="s">
        <v>9301</v>
      </c>
      <c r="F1204" s="15" t="s">
        <v>9302</v>
      </c>
      <c r="G1204" s="6" t="s">
        <v>9303</v>
      </c>
      <c r="H1204" s="6" t="s">
        <v>9303</v>
      </c>
      <c r="I1204" s="13" t="s">
        <v>25</v>
      </c>
      <c r="J1204" s="13">
        <v>3</v>
      </c>
      <c r="K1204" s="13" t="s">
        <v>1714</v>
      </c>
      <c r="L1204" s="6" t="s">
        <v>9304</v>
      </c>
      <c r="M1204" s="108" t="s">
        <v>9305</v>
      </c>
      <c r="N1204" s="13" t="s">
        <v>6709</v>
      </c>
      <c r="O1204" s="13" t="s">
        <v>177</v>
      </c>
      <c r="P1204" s="13" t="s">
        <v>9</v>
      </c>
      <c r="Q1204" s="6" t="s">
        <v>9306</v>
      </c>
      <c r="R1204" s="69" t="s">
        <v>9307</v>
      </c>
      <c r="S1204" s="69" t="s">
        <v>9308</v>
      </c>
      <c r="T1204" s="18">
        <v>8</v>
      </c>
      <c r="U1204" s="18">
        <v>7</v>
      </c>
      <c r="V1204" s="13" t="s">
        <v>9309</v>
      </c>
      <c r="X1204" s="132">
        <v>1193</v>
      </c>
      <c r="Y1204" s="6"/>
    </row>
    <row r="1205" spans="1:25" ht="15" customHeight="1" x14ac:dyDescent="0.25">
      <c r="A1205" s="12" t="s">
        <v>9310</v>
      </c>
      <c r="B1205" s="13" t="s">
        <v>4977</v>
      </c>
      <c r="C1205" s="14">
        <v>46431</v>
      </c>
      <c r="D1205" s="13" t="s">
        <v>1533</v>
      </c>
      <c r="E1205" s="6" t="s">
        <v>9311</v>
      </c>
      <c r="F1205" s="15" t="s">
        <v>9312</v>
      </c>
      <c r="G1205" s="6" t="s">
        <v>9313</v>
      </c>
      <c r="H1205" s="6" t="s">
        <v>9313</v>
      </c>
      <c r="I1205" s="13" t="s">
        <v>39</v>
      </c>
      <c r="J1205" s="13">
        <v>12</v>
      </c>
      <c r="K1205" s="13" t="s">
        <v>7032</v>
      </c>
      <c r="L1205" s="6" t="s">
        <v>9314</v>
      </c>
      <c r="M1205" s="108" t="s">
        <v>9315</v>
      </c>
      <c r="N1205" s="13" t="s">
        <v>9316</v>
      </c>
      <c r="O1205" s="13" t="s">
        <v>36</v>
      </c>
      <c r="P1205" s="13" t="s">
        <v>4</v>
      </c>
      <c r="Q1205" s="6" t="s">
        <v>9317</v>
      </c>
      <c r="R1205" s="69" t="s">
        <v>9318</v>
      </c>
      <c r="S1205" s="30"/>
      <c r="T1205" s="18">
        <v>45</v>
      </c>
      <c r="U1205" s="18">
        <v>45</v>
      </c>
      <c r="V1205" s="13" t="s">
        <v>9319</v>
      </c>
      <c r="X1205" s="132">
        <v>1194</v>
      </c>
      <c r="Y1205" s="6"/>
    </row>
    <row r="1206" spans="1:25" ht="15" customHeight="1" x14ac:dyDescent="0.25">
      <c r="A1206" s="12" t="s">
        <v>9320</v>
      </c>
      <c r="B1206" s="92" t="s">
        <v>4978</v>
      </c>
      <c r="C1206" s="74">
        <v>47162</v>
      </c>
      <c r="D1206" s="13" t="s">
        <v>33</v>
      </c>
      <c r="E1206" s="6" t="s">
        <v>9321</v>
      </c>
      <c r="F1206" s="15" t="s">
        <v>9322</v>
      </c>
      <c r="G1206" s="6" t="s">
        <v>9323</v>
      </c>
      <c r="H1206" s="6" t="s">
        <v>9323</v>
      </c>
      <c r="I1206" s="13" t="s">
        <v>25</v>
      </c>
      <c r="J1206" s="13">
        <v>3</v>
      </c>
      <c r="K1206" s="13" t="s">
        <v>1714</v>
      </c>
      <c r="L1206" s="6" t="s">
        <v>9324</v>
      </c>
      <c r="M1206" s="108" t="s">
        <v>9325</v>
      </c>
      <c r="N1206" s="13" t="s">
        <v>2276</v>
      </c>
      <c r="O1206" s="13" t="s">
        <v>172</v>
      </c>
      <c r="P1206" s="13" t="s">
        <v>9</v>
      </c>
      <c r="Q1206" s="6" t="s">
        <v>9326</v>
      </c>
      <c r="R1206" s="69" t="s">
        <v>9327</v>
      </c>
      <c r="S1206" s="30"/>
      <c r="T1206" s="18">
        <v>15</v>
      </c>
      <c r="U1206" s="18">
        <v>13</v>
      </c>
      <c r="V1206" s="13" t="s">
        <v>9328</v>
      </c>
      <c r="X1206" s="132">
        <v>1195</v>
      </c>
      <c r="Y1206" s="6"/>
    </row>
    <row r="1207" spans="1:25" ht="15" customHeight="1" x14ac:dyDescent="0.25">
      <c r="A1207" s="12" t="s">
        <v>9331</v>
      </c>
      <c r="B1207" s="92" t="s">
        <v>4978</v>
      </c>
      <c r="C1207" s="74">
        <v>47162</v>
      </c>
      <c r="D1207" s="13" t="s">
        <v>33</v>
      </c>
      <c r="E1207" s="6" t="s">
        <v>9332</v>
      </c>
      <c r="F1207" s="15" t="s">
        <v>9350</v>
      </c>
      <c r="G1207" s="6" t="s">
        <v>9333</v>
      </c>
      <c r="H1207" s="6" t="s">
        <v>9333</v>
      </c>
      <c r="I1207" s="13" t="s">
        <v>25</v>
      </c>
      <c r="J1207" s="13">
        <v>3</v>
      </c>
      <c r="K1207" s="13" t="s">
        <v>1714</v>
      </c>
      <c r="L1207" s="6" t="s">
        <v>9334</v>
      </c>
      <c r="M1207" s="108" t="s">
        <v>9335</v>
      </c>
      <c r="N1207" s="13" t="s">
        <v>2470</v>
      </c>
      <c r="O1207" s="13" t="s">
        <v>136</v>
      </c>
      <c r="P1207" s="13" t="s">
        <v>4</v>
      </c>
      <c r="Q1207" s="6" t="s">
        <v>9336</v>
      </c>
      <c r="R1207" s="69" t="s">
        <v>9337</v>
      </c>
      <c r="S1207" s="30"/>
      <c r="T1207" s="18">
        <v>19</v>
      </c>
      <c r="U1207" s="18">
        <v>15</v>
      </c>
      <c r="V1207" s="13" t="s">
        <v>9338</v>
      </c>
      <c r="X1207" s="132">
        <v>1196</v>
      </c>
      <c r="Y1207" s="6"/>
    </row>
    <row r="1208" spans="1:25" ht="15" customHeight="1" x14ac:dyDescent="0.25">
      <c r="A1208" s="12" t="s">
        <v>9373</v>
      </c>
      <c r="B1208" s="92" t="s">
        <v>4978</v>
      </c>
      <c r="C1208" s="74">
        <v>47176</v>
      </c>
      <c r="D1208" s="13" t="s">
        <v>33</v>
      </c>
      <c r="E1208" s="6" t="s">
        <v>9374</v>
      </c>
      <c r="F1208" s="15" t="s">
        <v>9375</v>
      </c>
      <c r="G1208" s="6" t="s">
        <v>9376</v>
      </c>
      <c r="H1208" s="6" t="s">
        <v>9376</v>
      </c>
      <c r="I1208" s="13" t="s">
        <v>25</v>
      </c>
      <c r="J1208" s="13">
        <v>3</v>
      </c>
      <c r="K1208" s="13" t="s">
        <v>1714</v>
      </c>
      <c r="L1208" s="6" t="s">
        <v>9377</v>
      </c>
      <c r="M1208" s="108" t="s">
        <v>2485</v>
      </c>
      <c r="N1208" s="13" t="s">
        <v>2486</v>
      </c>
      <c r="O1208" s="13" t="s">
        <v>1055</v>
      </c>
      <c r="P1208" s="13" t="s">
        <v>16</v>
      </c>
      <c r="Q1208" s="6" t="s">
        <v>9378</v>
      </c>
      <c r="R1208" s="69" t="s">
        <v>9379</v>
      </c>
      <c r="S1208" s="30"/>
      <c r="T1208" s="18">
        <v>30</v>
      </c>
      <c r="U1208" s="18">
        <v>29</v>
      </c>
      <c r="V1208" s="13" t="s">
        <v>9380</v>
      </c>
      <c r="X1208" s="132">
        <v>1197</v>
      </c>
      <c r="Y1208" s="6"/>
    </row>
    <row r="1209" spans="1:25" ht="15" customHeight="1" x14ac:dyDescent="0.25">
      <c r="A1209" s="12" t="s">
        <v>9381</v>
      </c>
      <c r="B1209" s="92" t="s">
        <v>4978</v>
      </c>
      <c r="C1209" s="74">
        <v>47176</v>
      </c>
      <c r="D1209" s="13" t="s">
        <v>33</v>
      </c>
      <c r="E1209" s="6" t="s">
        <v>9382</v>
      </c>
      <c r="F1209" s="15" t="s">
        <v>9383</v>
      </c>
      <c r="G1209" s="6" t="s">
        <v>9384</v>
      </c>
      <c r="H1209" s="6" t="s">
        <v>9384</v>
      </c>
      <c r="I1209" s="13" t="s">
        <v>25</v>
      </c>
      <c r="J1209" s="13">
        <v>3</v>
      </c>
      <c r="K1209" s="13" t="s">
        <v>1714</v>
      </c>
      <c r="L1209" s="6" t="s">
        <v>9385</v>
      </c>
      <c r="M1209" s="108" t="s">
        <v>9386</v>
      </c>
      <c r="N1209" s="13" t="s">
        <v>9387</v>
      </c>
      <c r="O1209" s="13" t="s">
        <v>21</v>
      </c>
      <c r="P1209" s="13" t="s">
        <v>9</v>
      </c>
      <c r="Q1209" s="6" t="s">
        <v>9388</v>
      </c>
      <c r="R1209" s="69" t="s">
        <v>9389</v>
      </c>
      <c r="S1209" s="30"/>
      <c r="T1209" s="18">
        <v>16</v>
      </c>
      <c r="U1209" s="18">
        <v>16</v>
      </c>
      <c r="V1209" s="13" t="s">
        <v>9390</v>
      </c>
      <c r="X1209" s="132">
        <v>1198</v>
      </c>
      <c r="Y1209" s="6"/>
    </row>
    <row r="1210" spans="1:25" ht="15" customHeight="1" x14ac:dyDescent="0.25">
      <c r="A1210" s="12" t="s">
        <v>9391</v>
      </c>
      <c r="B1210" s="92" t="s">
        <v>4978</v>
      </c>
      <c r="C1210" s="74">
        <v>47176</v>
      </c>
      <c r="D1210" s="13" t="s">
        <v>33</v>
      </c>
      <c r="E1210" s="6" t="s">
        <v>9392</v>
      </c>
      <c r="F1210" s="15" t="s">
        <v>9393</v>
      </c>
      <c r="G1210" s="6" t="s">
        <v>9394</v>
      </c>
      <c r="H1210" s="6" t="s">
        <v>9394</v>
      </c>
      <c r="I1210" s="13" t="s">
        <v>25</v>
      </c>
      <c r="J1210" s="13">
        <v>3</v>
      </c>
      <c r="K1210" s="13" t="s">
        <v>1714</v>
      </c>
      <c r="L1210" s="6" t="s">
        <v>9395</v>
      </c>
      <c r="M1210" s="108" t="s">
        <v>9396</v>
      </c>
      <c r="N1210" s="13" t="s">
        <v>3477</v>
      </c>
      <c r="O1210" s="13" t="s">
        <v>1889</v>
      </c>
      <c r="P1210" s="13" t="s">
        <v>68</v>
      </c>
      <c r="Q1210" s="6" t="s">
        <v>9397</v>
      </c>
      <c r="R1210" s="69" t="s">
        <v>9398</v>
      </c>
      <c r="S1210" s="30"/>
      <c r="T1210" s="18">
        <v>29</v>
      </c>
      <c r="U1210" s="18">
        <v>15</v>
      </c>
      <c r="V1210" s="13" t="s">
        <v>9399</v>
      </c>
      <c r="X1210" s="132">
        <v>1199</v>
      </c>
      <c r="Y1210" s="6"/>
    </row>
    <row r="1211" spans="1:25" ht="15" customHeight="1" x14ac:dyDescent="0.25">
      <c r="A1211" s="12" t="s">
        <v>9409</v>
      </c>
      <c r="B1211" s="13" t="s">
        <v>4977</v>
      </c>
      <c r="C1211" s="14">
        <v>46445</v>
      </c>
      <c r="D1211" s="13" t="s">
        <v>1533</v>
      </c>
      <c r="E1211" s="6" t="s">
        <v>9410</v>
      </c>
      <c r="F1211" s="15" t="s">
        <v>9411</v>
      </c>
      <c r="G1211" s="6" t="s">
        <v>9412</v>
      </c>
      <c r="H1211" s="6" t="s">
        <v>9412</v>
      </c>
      <c r="I1211" s="13" t="s">
        <v>13</v>
      </c>
      <c r="J1211" s="13">
        <v>8</v>
      </c>
      <c r="K1211" s="13" t="s">
        <v>1714</v>
      </c>
      <c r="L1211" s="6" t="s">
        <v>9413</v>
      </c>
      <c r="M1211" s="108" t="s">
        <v>9414</v>
      </c>
      <c r="N1211" s="13" t="s">
        <v>9415</v>
      </c>
      <c r="O1211" s="13" t="s">
        <v>743</v>
      </c>
      <c r="P1211" s="13" t="s">
        <v>16</v>
      </c>
      <c r="Q1211" s="6" t="s">
        <v>9416</v>
      </c>
      <c r="R1211" s="69" t="s">
        <v>9417</v>
      </c>
      <c r="S1211" s="69" t="s">
        <v>9418</v>
      </c>
      <c r="T1211" s="18">
        <v>20</v>
      </c>
      <c r="U1211" s="18">
        <v>20</v>
      </c>
      <c r="V1211" s="13" t="s">
        <v>9419</v>
      </c>
      <c r="X1211" s="132">
        <v>1200</v>
      </c>
      <c r="Y1211" s="6"/>
    </row>
    <row r="1212" spans="1:25" ht="15" customHeight="1" x14ac:dyDescent="0.25">
      <c r="A1212" s="12" t="s">
        <v>9436</v>
      </c>
      <c r="B1212" s="13" t="s">
        <v>4977</v>
      </c>
      <c r="C1212" s="14">
        <v>46445</v>
      </c>
      <c r="D1212" s="13" t="s">
        <v>1533</v>
      </c>
      <c r="E1212" s="6" t="s">
        <v>9420</v>
      </c>
      <c r="F1212" s="15" t="s">
        <v>9421</v>
      </c>
      <c r="G1212" s="6" t="s">
        <v>9422</v>
      </c>
      <c r="H1212" s="6" t="s">
        <v>9422</v>
      </c>
      <c r="I1212" s="13" t="s">
        <v>39</v>
      </c>
      <c r="J1212" s="13">
        <v>12</v>
      </c>
      <c r="K1212" s="13" t="s">
        <v>1714</v>
      </c>
      <c r="L1212" s="6" t="s">
        <v>8934</v>
      </c>
      <c r="M1212" s="108" t="s">
        <v>9423</v>
      </c>
      <c r="N1212" s="13" t="s">
        <v>9424</v>
      </c>
      <c r="O1212" s="13" t="s">
        <v>36</v>
      </c>
      <c r="P1212" s="13" t="s">
        <v>4</v>
      </c>
      <c r="Q1212" s="6" t="s">
        <v>9425</v>
      </c>
      <c r="R1212" s="69" t="s">
        <v>9426</v>
      </c>
      <c r="S1212" s="69" t="s">
        <v>9427</v>
      </c>
      <c r="T1212" s="18">
        <v>160</v>
      </c>
      <c r="U1212" s="18">
        <v>160</v>
      </c>
      <c r="V1212" s="13" t="s">
        <v>9428</v>
      </c>
      <c r="X1212" s="132">
        <v>1201</v>
      </c>
      <c r="Y1212" s="6"/>
    </row>
    <row r="1213" spans="1:25" ht="15" customHeight="1" x14ac:dyDescent="0.25">
      <c r="A1213" s="12" t="s">
        <v>9439</v>
      </c>
      <c r="B1213" s="92" t="s">
        <v>4978</v>
      </c>
      <c r="C1213" s="74">
        <v>47176</v>
      </c>
      <c r="D1213" s="13" t="s">
        <v>33</v>
      </c>
      <c r="E1213" s="6" t="s">
        <v>9440</v>
      </c>
      <c r="F1213" s="15" t="s">
        <v>9441</v>
      </c>
      <c r="G1213" s="6" t="s">
        <v>9442</v>
      </c>
      <c r="H1213" s="6" t="s">
        <v>9442</v>
      </c>
      <c r="I1213" s="13" t="s">
        <v>7931</v>
      </c>
      <c r="J1213" s="13">
        <v>4</v>
      </c>
      <c r="K1213" s="13" t="s">
        <v>1714</v>
      </c>
      <c r="L1213" s="6" t="s">
        <v>9443</v>
      </c>
      <c r="M1213" s="108" t="s">
        <v>9444</v>
      </c>
      <c r="N1213" s="13" t="s">
        <v>177</v>
      </c>
      <c r="O1213" s="13" t="s">
        <v>177</v>
      </c>
      <c r="P1213" s="13" t="s">
        <v>9</v>
      </c>
      <c r="Q1213" s="6" t="s">
        <v>9445</v>
      </c>
      <c r="R1213" s="69" t="s">
        <v>9446</v>
      </c>
      <c r="S1213" s="69" t="s">
        <v>9447</v>
      </c>
      <c r="T1213" s="18">
        <v>30</v>
      </c>
      <c r="U1213" s="18">
        <v>21</v>
      </c>
      <c r="V1213" s="13" t="s">
        <v>9448</v>
      </c>
      <c r="X1213" s="132">
        <v>1202</v>
      </c>
      <c r="Y1213" s="6"/>
    </row>
    <row r="1214" spans="1:25" ht="15" customHeight="1" x14ac:dyDescent="0.25">
      <c r="A1214" s="12" t="s">
        <v>9449</v>
      </c>
      <c r="B1214" s="92" t="s">
        <v>4978</v>
      </c>
      <c r="C1214" s="74">
        <v>47176</v>
      </c>
      <c r="D1214" s="13" t="s">
        <v>1533</v>
      </c>
      <c r="E1214" s="6" t="s">
        <v>9450</v>
      </c>
      <c r="F1214" s="15" t="s">
        <v>9451</v>
      </c>
      <c r="G1214" s="6" t="s">
        <v>9452</v>
      </c>
      <c r="H1214" s="6" t="s">
        <v>9460</v>
      </c>
      <c r="I1214" s="13" t="s">
        <v>13</v>
      </c>
      <c r="J1214" s="13">
        <v>7</v>
      </c>
      <c r="K1214" s="13" t="s">
        <v>6603</v>
      </c>
      <c r="L1214" s="6" t="s">
        <v>9453</v>
      </c>
      <c r="M1214" s="108" t="s">
        <v>9454</v>
      </c>
      <c r="N1214" s="13" t="s">
        <v>9455</v>
      </c>
      <c r="O1214" s="13" t="s">
        <v>172</v>
      </c>
      <c r="P1214" s="13" t="s">
        <v>9</v>
      </c>
      <c r="Q1214" s="6" t="s">
        <v>9456</v>
      </c>
      <c r="R1214" s="69" t="s">
        <v>9457</v>
      </c>
      <c r="S1214" s="69" t="s">
        <v>9458</v>
      </c>
      <c r="T1214" s="18">
        <v>200</v>
      </c>
      <c r="U1214" s="18">
        <v>200</v>
      </c>
      <c r="V1214" s="13" t="s">
        <v>9459</v>
      </c>
      <c r="X1214" s="132">
        <v>1203</v>
      </c>
      <c r="Y1214" s="6"/>
    </row>
    <row r="1215" spans="1:25" ht="15" customHeight="1" x14ac:dyDescent="0.25">
      <c r="A1215" s="12" t="s">
        <v>9461</v>
      </c>
      <c r="B1215" s="92" t="s">
        <v>4978</v>
      </c>
      <c r="C1215" s="74">
        <v>47176</v>
      </c>
      <c r="D1215" s="13" t="s">
        <v>33</v>
      </c>
      <c r="E1215" s="6" t="s">
        <v>9462</v>
      </c>
      <c r="F1215" s="15" t="s">
        <v>9463</v>
      </c>
      <c r="G1215" s="6" t="s">
        <v>9464</v>
      </c>
      <c r="H1215" s="6" t="s">
        <v>9464</v>
      </c>
      <c r="I1215" s="13" t="s">
        <v>25</v>
      </c>
      <c r="J1215" s="13">
        <v>3</v>
      </c>
      <c r="K1215" s="13" t="s">
        <v>1714</v>
      </c>
      <c r="L1215" s="6" t="s">
        <v>12045</v>
      </c>
      <c r="M1215" s="108" t="s">
        <v>12046</v>
      </c>
      <c r="N1215" s="13" t="s">
        <v>5932</v>
      </c>
      <c r="O1215" s="13" t="s">
        <v>445</v>
      </c>
      <c r="P1215" s="13" t="s">
        <v>16</v>
      </c>
      <c r="Q1215" s="6" t="s">
        <v>3786</v>
      </c>
      <c r="R1215" s="69" t="s">
        <v>6065</v>
      </c>
      <c r="S1215" s="30"/>
      <c r="T1215" s="18">
        <v>20</v>
      </c>
      <c r="U1215" s="18">
        <v>19</v>
      </c>
      <c r="V1215" s="13" t="s">
        <v>9465</v>
      </c>
      <c r="X1215" s="132">
        <v>1204</v>
      </c>
      <c r="Y1215" s="6"/>
    </row>
    <row r="1216" spans="1:25" ht="15" customHeight="1" x14ac:dyDescent="0.25">
      <c r="A1216" s="12" t="s">
        <v>9470</v>
      </c>
      <c r="B1216" s="92" t="s">
        <v>4978</v>
      </c>
      <c r="C1216" s="74">
        <v>47176</v>
      </c>
      <c r="D1216" s="13" t="s">
        <v>33</v>
      </c>
      <c r="E1216" s="6" t="s">
        <v>9471</v>
      </c>
      <c r="F1216" s="15" t="s">
        <v>9472</v>
      </c>
      <c r="G1216" s="6" t="s">
        <v>9473</v>
      </c>
      <c r="H1216" s="6" t="s">
        <v>9473</v>
      </c>
      <c r="I1216" s="13" t="s">
        <v>25</v>
      </c>
      <c r="J1216" s="13">
        <v>3</v>
      </c>
      <c r="K1216" s="13" t="s">
        <v>1714</v>
      </c>
      <c r="L1216" s="6" t="s">
        <v>9474</v>
      </c>
      <c r="M1216" s="108" t="s">
        <v>9475</v>
      </c>
      <c r="N1216" s="13" t="s">
        <v>9476</v>
      </c>
      <c r="O1216" s="13" t="s">
        <v>97</v>
      </c>
      <c r="P1216" s="13" t="s">
        <v>4</v>
      </c>
      <c r="Q1216" s="6" t="s">
        <v>9477</v>
      </c>
      <c r="R1216" s="69" t="s">
        <v>9478</v>
      </c>
      <c r="S1216" s="30"/>
      <c r="T1216" s="18">
        <v>20</v>
      </c>
      <c r="U1216" s="18">
        <v>13</v>
      </c>
      <c r="V1216" s="13" t="s">
        <v>9479</v>
      </c>
      <c r="X1216" s="132">
        <v>1205</v>
      </c>
      <c r="Y1216" s="6"/>
    </row>
    <row r="1217" spans="1:25" ht="15" customHeight="1" x14ac:dyDescent="0.25">
      <c r="A1217" s="12" t="s">
        <v>9480</v>
      </c>
      <c r="B1217" s="92" t="s">
        <v>4978</v>
      </c>
      <c r="C1217" s="74">
        <v>47176</v>
      </c>
      <c r="D1217" s="13" t="s">
        <v>33</v>
      </c>
      <c r="E1217" s="6" t="s">
        <v>9481</v>
      </c>
      <c r="F1217" s="15" t="s">
        <v>6260</v>
      </c>
      <c r="G1217" s="6" t="s">
        <v>9482</v>
      </c>
      <c r="H1217" s="6" t="s">
        <v>9482</v>
      </c>
      <c r="I1217" s="13" t="s">
        <v>25</v>
      </c>
      <c r="J1217" s="13">
        <v>3</v>
      </c>
      <c r="K1217" s="13" t="s">
        <v>1714</v>
      </c>
      <c r="L1217" s="6" t="s">
        <v>9483</v>
      </c>
      <c r="M1217" s="108" t="s">
        <v>9484</v>
      </c>
      <c r="N1217" s="13" t="s">
        <v>3853</v>
      </c>
      <c r="O1217" s="13" t="s">
        <v>36</v>
      </c>
      <c r="P1217" s="13" t="s">
        <v>4</v>
      </c>
      <c r="Q1217" s="6" t="s">
        <v>9485</v>
      </c>
      <c r="R1217" s="69" t="s">
        <v>9486</v>
      </c>
      <c r="S1217" s="69" t="s">
        <v>9487</v>
      </c>
      <c r="T1217" s="18">
        <v>20</v>
      </c>
      <c r="U1217" s="18">
        <v>11</v>
      </c>
      <c r="V1217" s="13" t="s">
        <v>9488</v>
      </c>
      <c r="X1217" s="132">
        <v>1206</v>
      </c>
      <c r="Y1217" s="6"/>
    </row>
    <row r="1218" spans="1:25" ht="15" customHeight="1" x14ac:dyDescent="0.25">
      <c r="A1218" s="12" t="s">
        <v>9489</v>
      </c>
      <c r="B1218" s="92" t="s">
        <v>4978</v>
      </c>
      <c r="C1218" s="74">
        <v>47176</v>
      </c>
      <c r="D1218" s="13" t="s">
        <v>33</v>
      </c>
      <c r="E1218" s="6" t="s">
        <v>9490</v>
      </c>
      <c r="F1218" s="15" t="s">
        <v>9491</v>
      </c>
      <c r="G1218" s="6" t="s">
        <v>9492</v>
      </c>
      <c r="H1218" s="6" t="s">
        <v>9492</v>
      </c>
      <c r="I1218" s="13" t="s">
        <v>25</v>
      </c>
      <c r="J1218" s="13">
        <v>3</v>
      </c>
      <c r="K1218" s="13" t="s">
        <v>1714</v>
      </c>
      <c r="L1218" s="6" t="s">
        <v>9493</v>
      </c>
      <c r="M1218" s="108" t="s">
        <v>4379</v>
      </c>
      <c r="N1218" s="13" t="s">
        <v>3785</v>
      </c>
      <c r="O1218" s="13" t="s">
        <v>2085</v>
      </c>
      <c r="P1218" s="13" t="s">
        <v>68</v>
      </c>
      <c r="Q1218" s="6" t="s">
        <v>9494</v>
      </c>
      <c r="R1218" s="69" t="s">
        <v>9495</v>
      </c>
      <c r="S1218" s="69" t="s">
        <v>9496</v>
      </c>
      <c r="T1218" s="18">
        <v>22</v>
      </c>
      <c r="U1218" s="18">
        <v>8</v>
      </c>
      <c r="V1218" s="13" t="s">
        <v>9497</v>
      </c>
      <c r="X1218" s="132">
        <v>1207</v>
      </c>
      <c r="Y1218" s="6"/>
    </row>
    <row r="1219" spans="1:25" ht="15" customHeight="1" x14ac:dyDescent="0.25">
      <c r="A1219" s="12" t="s">
        <v>9503</v>
      </c>
      <c r="B1219" s="92" t="s">
        <v>4978</v>
      </c>
      <c r="C1219" s="74">
        <v>47194</v>
      </c>
      <c r="D1219" s="13" t="s">
        <v>33</v>
      </c>
      <c r="E1219" s="6" t="s">
        <v>9504</v>
      </c>
      <c r="F1219" s="15" t="s">
        <v>9505</v>
      </c>
      <c r="G1219" s="6" t="s">
        <v>9506</v>
      </c>
      <c r="H1219" s="6" t="s">
        <v>9506</v>
      </c>
      <c r="I1219" s="13" t="s">
        <v>25</v>
      </c>
      <c r="J1219" s="13">
        <v>3</v>
      </c>
      <c r="K1219" s="13" t="s">
        <v>1714</v>
      </c>
      <c r="L1219" s="6" t="s">
        <v>9507</v>
      </c>
      <c r="M1219" s="108" t="s">
        <v>9508</v>
      </c>
      <c r="N1219" s="13" t="s">
        <v>9509</v>
      </c>
      <c r="O1219" s="13" t="s">
        <v>204</v>
      </c>
      <c r="P1219" s="13" t="s">
        <v>9</v>
      </c>
      <c r="Q1219" s="6" t="s">
        <v>9510</v>
      </c>
      <c r="R1219" s="69" t="s">
        <v>9511</v>
      </c>
      <c r="S1219" s="69" t="s">
        <v>9512</v>
      </c>
      <c r="T1219" s="18">
        <v>11</v>
      </c>
      <c r="U1219" s="18">
        <v>9</v>
      </c>
      <c r="V1219" s="13" t="s">
        <v>9513</v>
      </c>
      <c r="X1219" s="132">
        <v>1208</v>
      </c>
      <c r="Y1219" s="6"/>
    </row>
    <row r="1220" spans="1:25" ht="15" customHeight="1" x14ac:dyDescent="0.25">
      <c r="A1220" s="12" t="s">
        <v>9514</v>
      </c>
      <c r="B1220" s="92" t="s">
        <v>4978</v>
      </c>
      <c r="C1220" s="74">
        <v>47194</v>
      </c>
      <c r="D1220" s="13" t="s">
        <v>33</v>
      </c>
      <c r="E1220" s="6" t="s">
        <v>9515</v>
      </c>
      <c r="F1220" s="15" t="s">
        <v>9516</v>
      </c>
      <c r="G1220" s="6" t="s">
        <v>9621</v>
      </c>
      <c r="H1220" s="6" t="s">
        <v>9621</v>
      </c>
      <c r="I1220" s="13" t="s">
        <v>25</v>
      </c>
      <c r="J1220" s="13">
        <v>3</v>
      </c>
      <c r="K1220" s="13" t="s">
        <v>1714</v>
      </c>
      <c r="L1220" s="6" t="s">
        <v>9517</v>
      </c>
      <c r="M1220" s="108" t="s">
        <v>9518</v>
      </c>
      <c r="N1220" s="13" t="s">
        <v>9519</v>
      </c>
      <c r="O1220" s="13" t="s">
        <v>1055</v>
      </c>
      <c r="P1220" s="13" t="s">
        <v>16</v>
      </c>
      <c r="Q1220" s="6" t="s">
        <v>9520</v>
      </c>
      <c r="R1220" s="69" t="s">
        <v>3054</v>
      </c>
      <c r="S1220" s="30"/>
      <c r="T1220" s="18">
        <v>33</v>
      </c>
      <c r="U1220" s="18">
        <v>6</v>
      </c>
      <c r="V1220" s="13" t="s">
        <v>9521</v>
      </c>
      <c r="X1220" s="132">
        <v>1209</v>
      </c>
      <c r="Y1220" s="6"/>
    </row>
    <row r="1221" spans="1:25" ht="15" customHeight="1" x14ac:dyDescent="0.25">
      <c r="A1221" s="12" t="s">
        <v>9527</v>
      </c>
      <c r="B1221" s="13" t="s">
        <v>4977</v>
      </c>
      <c r="C1221" s="14">
        <v>46463</v>
      </c>
      <c r="D1221" s="13" t="s">
        <v>33</v>
      </c>
      <c r="E1221" s="6" t="s">
        <v>9528</v>
      </c>
      <c r="F1221" s="15" t="s">
        <v>9529</v>
      </c>
      <c r="G1221" s="6" t="s">
        <v>9530</v>
      </c>
      <c r="H1221" s="6" t="s">
        <v>9530</v>
      </c>
      <c r="I1221" s="13" t="s">
        <v>25</v>
      </c>
      <c r="J1221" s="13">
        <v>3</v>
      </c>
      <c r="K1221" s="13" t="s">
        <v>1714</v>
      </c>
      <c r="L1221" s="6" t="s">
        <v>9531</v>
      </c>
      <c r="M1221" s="108" t="s">
        <v>9532</v>
      </c>
      <c r="N1221" s="13" t="s">
        <v>15</v>
      </c>
      <c r="O1221" s="13" t="s">
        <v>15</v>
      </c>
      <c r="P1221" s="13" t="s">
        <v>16</v>
      </c>
      <c r="Q1221" s="6" t="s">
        <v>3786</v>
      </c>
      <c r="R1221" s="69" t="s">
        <v>4682</v>
      </c>
      <c r="S1221" s="30"/>
      <c r="T1221" s="18">
        <v>41</v>
      </c>
      <c r="U1221" s="18">
        <v>20</v>
      </c>
      <c r="V1221" s="13" t="s">
        <v>9533</v>
      </c>
      <c r="X1221" s="132">
        <v>1210</v>
      </c>
      <c r="Y1221" s="6"/>
    </row>
    <row r="1222" spans="1:25" ht="15" customHeight="1" x14ac:dyDescent="0.25">
      <c r="A1222" s="12" t="s">
        <v>9549</v>
      </c>
      <c r="B1222" s="92" t="s">
        <v>4978</v>
      </c>
      <c r="C1222" s="74">
        <v>47194</v>
      </c>
      <c r="D1222" s="13" t="s">
        <v>33</v>
      </c>
      <c r="E1222" s="6" t="s">
        <v>9555</v>
      </c>
      <c r="F1222" s="15" t="s">
        <v>9556</v>
      </c>
      <c r="G1222" s="6" t="s">
        <v>9550</v>
      </c>
      <c r="H1222" s="6" t="s">
        <v>9550</v>
      </c>
      <c r="I1222" s="13" t="s">
        <v>25</v>
      </c>
      <c r="J1222" s="13">
        <v>3</v>
      </c>
      <c r="K1222" s="13" t="s">
        <v>1714</v>
      </c>
      <c r="L1222" s="6" t="s">
        <v>9551</v>
      </c>
      <c r="M1222" s="108" t="s">
        <v>2661</v>
      </c>
      <c r="N1222" s="13" t="s">
        <v>136</v>
      </c>
      <c r="O1222" s="13" t="s">
        <v>136</v>
      </c>
      <c r="P1222" s="13" t="s">
        <v>4</v>
      </c>
      <c r="Q1222" s="6" t="s">
        <v>9552</v>
      </c>
      <c r="R1222" s="69" t="s">
        <v>9553</v>
      </c>
      <c r="S1222" s="30"/>
      <c r="T1222" s="18">
        <v>18</v>
      </c>
      <c r="U1222" s="18">
        <v>18</v>
      </c>
      <c r="V1222" s="13" t="s">
        <v>9554</v>
      </c>
      <c r="X1222" s="132">
        <v>1211</v>
      </c>
      <c r="Y1222" s="6"/>
    </row>
    <row r="1223" spans="1:25" ht="15" customHeight="1" x14ac:dyDescent="0.25">
      <c r="A1223" s="12" t="s">
        <v>9557</v>
      </c>
      <c r="B1223" s="24" t="s">
        <v>4977</v>
      </c>
      <c r="C1223" s="14">
        <v>46463</v>
      </c>
      <c r="D1223" s="13" t="s">
        <v>1533</v>
      </c>
      <c r="E1223" s="6" t="s">
        <v>9555</v>
      </c>
      <c r="F1223" s="15" t="s">
        <v>9558</v>
      </c>
      <c r="G1223" s="6" t="s">
        <v>9559</v>
      </c>
      <c r="H1223" s="6" t="s">
        <v>9559</v>
      </c>
      <c r="I1223" s="13" t="s">
        <v>13</v>
      </c>
      <c r="J1223" s="13">
        <v>8</v>
      </c>
      <c r="K1223" s="13" t="s">
        <v>1714</v>
      </c>
      <c r="L1223" s="6" t="s">
        <v>9047</v>
      </c>
      <c r="M1223" s="108" t="s">
        <v>9048</v>
      </c>
      <c r="N1223" s="13" t="s">
        <v>9049</v>
      </c>
      <c r="O1223" s="13" t="s">
        <v>11948</v>
      </c>
      <c r="P1223" s="13" t="s">
        <v>68</v>
      </c>
      <c r="Q1223" s="6" t="s">
        <v>9560</v>
      </c>
      <c r="R1223" s="69" t="s">
        <v>9561</v>
      </c>
      <c r="S1223" s="69" t="s">
        <v>9562</v>
      </c>
      <c r="T1223" s="18">
        <v>123</v>
      </c>
      <c r="U1223" s="18">
        <v>123</v>
      </c>
      <c r="V1223" s="13" t="s">
        <v>9563</v>
      </c>
      <c r="X1223" s="132">
        <v>1212</v>
      </c>
      <c r="Y1223" s="6"/>
    </row>
    <row r="1224" spans="1:25" ht="15" customHeight="1" x14ac:dyDescent="0.25">
      <c r="A1224" s="12" t="s">
        <v>9564</v>
      </c>
      <c r="B1224" s="92" t="s">
        <v>4978</v>
      </c>
      <c r="C1224" s="74">
        <v>47194</v>
      </c>
      <c r="D1224" s="13" t="s">
        <v>33</v>
      </c>
      <c r="E1224" s="6" t="s">
        <v>9565</v>
      </c>
      <c r="F1224" s="15" t="s">
        <v>9566</v>
      </c>
      <c r="G1224" s="6" t="s">
        <v>9567</v>
      </c>
      <c r="H1224" s="6" t="s">
        <v>9567</v>
      </c>
      <c r="I1224" s="13" t="s">
        <v>25</v>
      </c>
      <c r="J1224" s="13">
        <v>3</v>
      </c>
      <c r="K1224" s="13" t="s">
        <v>1714</v>
      </c>
      <c r="L1224" s="6" t="s">
        <v>9568</v>
      </c>
      <c r="M1224" s="108" t="s">
        <v>9569</v>
      </c>
      <c r="N1224" s="13" t="s">
        <v>9570</v>
      </c>
      <c r="O1224" s="13" t="s">
        <v>5556</v>
      </c>
      <c r="P1224" s="13" t="s">
        <v>9</v>
      </c>
      <c r="Q1224" s="6" t="s">
        <v>9571</v>
      </c>
      <c r="R1224" s="69" t="s">
        <v>9572</v>
      </c>
      <c r="S1224" s="30"/>
      <c r="T1224" s="18">
        <v>20</v>
      </c>
      <c r="U1224" s="18">
        <v>16</v>
      </c>
      <c r="V1224" s="13" t="s">
        <v>9573</v>
      </c>
      <c r="X1224" s="132">
        <v>1213</v>
      </c>
      <c r="Y1224" s="6"/>
    </row>
    <row r="1225" spans="1:25" ht="15" customHeight="1" x14ac:dyDescent="0.25">
      <c r="A1225" s="19" t="s">
        <v>9580</v>
      </c>
      <c r="B1225" s="13" t="s">
        <v>4977</v>
      </c>
      <c r="C1225" s="14">
        <v>46463</v>
      </c>
      <c r="D1225" s="13" t="s">
        <v>1533</v>
      </c>
      <c r="E1225" s="6" t="s">
        <v>9581</v>
      </c>
      <c r="F1225" s="15" t="s">
        <v>9582</v>
      </c>
      <c r="G1225" s="6" t="s">
        <v>9583</v>
      </c>
      <c r="H1225" s="6" t="s">
        <v>9583</v>
      </c>
      <c r="I1225" s="13" t="s">
        <v>39</v>
      </c>
      <c r="J1225" s="13">
        <v>12</v>
      </c>
      <c r="K1225" s="13" t="s">
        <v>9584</v>
      </c>
      <c r="L1225" s="6" t="s">
        <v>9585</v>
      </c>
      <c r="M1225" s="108" t="s">
        <v>9586</v>
      </c>
      <c r="N1225" s="13" t="s">
        <v>4232</v>
      </c>
      <c r="O1225" s="13" t="s">
        <v>177</v>
      </c>
      <c r="P1225" s="13" t="s">
        <v>9</v>
      </c>
      <c r="Q1225" s="6" t="s">
        <v>9587</v>
      </c>
      <c r="R1225" s="69" t="s">
        <v>9588</v>
      </c>
      <c r="S1225" s="69" t="s">
        <v>9589</v>
      </c>
      <c r="T1225" s="18">
        <v>40</v>
      </c>
      <c r="U1225" s="18">
        <v>40</v>
      </c>
      <c r="V1225" s="13" t="s">
        <v>9590</v>
      </c>
      <c r="X1225" s="132">
        <v>1214</v>
      </c>
      <c r="Y1225" s="6"/>
    </row>
    <row r="1226" spans="1:25" ht="15" customHeight="1" x14ac:dyDescent="0.25">
      <c r="A1226" s="12" t="s">
        <v>9605</v>
      </c>
      <c r="B1226" s="92" t="s">
        <v>4978</v>
      </c>
      <c r="C1226" s="74">
        <v>47209</v>
      </c>
      <c r="D1226" s="13" t="s">
        <v>33</v>
      </c>
      <c r="E1226" s="6" t="s">
        <v>9606</v>
      </c>
      <c r="F1226" s="15" t="s">
        <v>9607</v>
      </c>
      <c r="G1226" s="6" t="s">
        <v>9608</v>
      </c>
      <c r="H1226" s="6" t="s">
        <v>9608</v>
      </c>
      <c r="I1226" s="13" t="s">
        <v>25</v>
      </c>
      <c r="J1226" s="13">
        <v>3</v>
      </c>
      <c r="K1226" s="13" t="s">
        <v>1714</v>
      </c>
      <c r="L1226" s="6" t="s">
        <v>5169</v>
      </c>
      <c r="M1226" s="108" t="s">
        <v>5170</v>
      </c>
      <c r="N1226" s="13" t="s">
        <v>9609</v>
      </c>
      <c r="O1226" s="13" t="s">
        <v>1847</v>
      </c>
      <c r="P1226" s="13" t="s">
        <v>68</v>
      </c>
      <c r="Q1226" s="6" t="s">
        <v>9610</v>
      </c>
      <c r="R1226" s="69" t="s">
        <v>9611</v>
      </c>
      <c r="S1226" s="30"/>
      <c r="T1226" s="18">
        <v>18</v>
      </c>
      <c r="U1226" s="18">
        <v>14</v>
      </c>
      <c r="V1226" s="13" t="s">
        <v>9612</v>
      </c>
      <c r="X1226" s="132">
        <v>1215</v>
      </c>
      <c r="Y1226" s="6"/>
    </row>
    <row r="1227" spans="1:25" ht="15" customHeight="1" x14ac:dyDescent="0.25">
      <c r="A1227" s="12" t="s">
        <v>9622</v>
      </c>
      <c r="B1227" s="92" t="s">
        <v>4978</v>
      </c>
      <c r="C1227" s="74">
        <v>47209</v>
      </c>
      <c r="D1227" s="13" t="s">
        <v>33</v>
      </c>
      <c r="E1227" s="6" t="s">
        <v>9623</v>
      </c>
      <c r="F1227" s="15" t="s">
        <v>9624</v>
      </c>
      <c r="G1227" s="6" t="s">
        <v>9625</v>
      </c>
      <c r="H1227" s="6" t="s">
        <v>9625</v>
      </c>
      <c r="I1227" s="13" t="s">
        <v>25</v>
      </c>
      <c r="J1227" s="13">
        <v>3</v>
      </c>
      <c r="K1227" s="13" t="s">
        <v>1714</v>
      </c>
      <c r="L1227" s="6" t="s">
        <v>9626</v>
      </c>
      <c r="M1227" s="108" t="s">
        <v>9627</v>
      </c>
      <c r="N1227" s="13" t="s">
        <v>3338</v>
      </c>
      <c r="O1227" s="13" t="s">
        <v>1055</v>
      </c>
      <c r="P1227" s="13" t="s">
        <v>16</v>
      </c>
      <c r="Q1227" s="6" t="s">
        <v>9628</v>
      </c>
      <c r="R1227" s="69" t="s">
        <v>9629</v>
      </c>
      <c r="S1227" s="30"/>
      <c r="T1227" s="18">
        <v>30</v>
      </c>
      <c r="U1227" s="18">
        <v>30</v>
      </c>
      <c r="V1227" s="13" t="s">
        <v>9630</v>
      </c>
      <c r="X1227" s="132">
        <v>1216</v>
      </c>
      <c r="Y1227" s="6"/>
    </row>
    <row r="1228" spans="1:25" ht="15" customHeight="1" x14ac:dyDescent="0.25">
      <c r="A1228" s="12" t="s">
        <v>9631</v>
      </c>
      <c r="B1228" s="13" t="s">
        <v>4977</v>
      </c>
      <c r="C1228" s="14">
        <v>46478</v>
      </c>
      <c r="D1228" s="13" t="s">
        <v>1533</v>
      </c>
      <c r="E1228" s="6" t="s">
        <v>9632</v>
      </c>
      <c r="F1228" s="15" t="s">
        <v>9633</v>
      </c>
      <c r="G1228" s="6" t="s">
        <v>9634</v>
      </c>
      <c r="H1228" s="6" t="s">
        <v>9634</v>
      </c>
      <c r="I1228" s="13" t="s">
        <v>39</v>
      </c>
      <c r="J1228" s="13">
        <v>12</v>
      </c>
      <c r="K1228" s="13" t="s">
        <v>1714</v>
      </c>
      <c r="L1228" s="6" t="s">
        <v>9636</v>
      </c>
      <c r="M1228" s="108" t="s">
        <v>9635</v>
      </c>
      <c r="N1228" s="13" t="s">
        <v>9637</v>
      </c>
      <c r="O1228" s="13" t="s">
        <v>36</v>
      </c>
      <c r="P1228" s="13" t="s">
        <v>4</v>
      </c>
      <c r="Q1228" s="6" t="s">
        <v>9638</v>
      </c>
      <c r="R1228" s="69" t="s">
        <v>9639</v>
      </c>
      <c r="S1228" s="69" t="s">
        <v>9640</v>
      </c>
      <c r="T1228" s="18">
        <v>80</v>
      </c>
      <c r="U1228" s="18">
        <v>80</v>
      </c>
      <c r="V1228" s="13" t="s">
        <v>9641</v>
      </c>
      <c r="X1228" s="132">
        <v>1217</v>
      </c>
      <c r="Y1228" s="6"/>
    </row>
    <row r="1229" spans="1:25" ht="15" customHeight="1" x14ac:dyDescent="0.25">
      <c r="A1229" s="12" t="s">
        <v>9666</v>
      </c>
      <c r="B1229" s="13" t="s">
        <v>4977</v>
      </c>
      <c r="C1229" s="14">
        <v>46478</v>
      </c>
      <c r="D1229" s="13" t="s">
        <v>1533</v>
      </c>
      <c r="E1229" s="6" t="s">
        <v>9667</v>
      </c>
      <c r="F1229" s="15" t="s">
        <v>9668</v>
      </c>
      <c r="G1229" s="6" t="s">
        <v>9669</v>
      </c>
      <c r="H1229" s="6" t="s">
        <v>9669</v>
      </c>
      <c r="I1229" s="13" t="s">
        <v>39</v>
      </c>
      <c r="J1229" s="13">
        <v>12</v>
      </c>
      <c r="K1229" s="13" t="s">
        <v>1714</v>
      </c>
      <c r="L1229" s="6" t="s">
        <v>9670</v>
      </c>
      <c r="M1229" s="108" t="s">
        <v>8846</v>
      </c>
      <c r="N1229" s="13" t="s">
        <v>2123</v>
      </c>
      <c r="O1229" s="13" t="s">
        <v>15</v>
      </c>
      <c r="P1229" s="13" t="s">
        <v>16</v>
      </c>
      <c r="Q1229" s="6" t="s">
        <v>9671</v>
      </c>
      <c r="R1229" s="69" t="s">
        <v>9672</v>
      </c>
      <c r="S1229" s="69" t="s">
        <v>9673</v>
      </c>
      <c r="T1229" s="18">
        <v>30</v>
      </c>
      <c r="U1229" s="18">
        <v>30</v>
      </c>
      <c r="V1229" s="13" t="s">
        <v>9674</v>
      </c>
      <c r="X1229" s="132">
        <v>1218</v>
      </c>
      <c r="Y1229" s="6"/>
    </row>
    <row r="1230" spans="1:25" ht="15" customHeight="1" x14ac:dyDescent="0.25">
      <c r="A1230" s="12" t="s">
        <v>9686</v>
      </c>
      <c r="B1230" s="92" t="s">
        <v>4978</v>
      </c>
      <c r="C1230" s="74">
        <v>47223</v>
      </c>
      <c r="D1230" s="13" t="s">
        <v>33</v>
      </c>
      <c r="E1230" s="6" t="s">
        <v>9786</v>
      </c>
      <c r="F1230" s="15" t="s">
        <v>9687</v>
      </c>
      <c r="G1230" s="6" t="s">
        <v>9688</v>
      </c>
      <c r="H1230" s="6" t="s">
        <v>9688</v>
      </c>
      <c r="I1230" s="13" t="s">
        <v>25</v>
      </c>
      <c r="J1230" s="13">
        <v>3</v>
      </c>
      <c r="K1230" s="13" t="s">
        <v>1714</v>
      </c>
      <c r="L1230" s="6" t="s">
        <v>9689</v>
      </c>
      <c r="M1230" s="108" t="s">
        <v>9690</v>
      </c>
      <c r="N1230" s="13" t="s">
        <v>4589</v>
      </c>
      <c r="O1230" s="13" t="s">
        <v>8</v>
      </c>
      <c r="P1230" s="13" t="s">
        <v>9</v>
      </c>
      <c r="Q1230" s="6" t="s">
        <v>9691</v>
      </c>
      <c r="R1230" s="69" t="s">
        <v>9692</v>
      </c>
      <c r="S1230" s="30"/>
      <c r="T1230" s="18">
        <v>16</v>
      </c>
      <c r="U1230" s="18">
        <v>14</v>
      </c>
      <c r="V1230" s="13" t="s">
        <v>9693</v>
      </c>
      <c r="X1230" s="132">
        <v>1219</v>
      </c>
      <c r="Y1230" s="6"/>
    </row>
    <row r="1231" spans="1:25" ht="15" customHeight="1" x14ac:dyDescent="0.25">
      <c r="A1231" s="12" t="s">
        <v>9694</v>
      </c>
      <c r="B1231" s="92" t="s">
        <v>4978</v>
      </c>
      <c r="C1231" s="74">
        <v>47223</v>
      </c>
      <c r="D1231" s="13" t="s">
        <v>33</v>
      </c>
      <c r="E1231" s="6" t="s">
        <v>9695</v>
      </c>
      <c r="F1231" s="15" t="s">
        <v>9696</v>
      </c>
      <c r="G1231" s="6" t="s">
        <v>9697</v>
      </c>
      <c r="H1231" s="6" t="s">
        <v>9697</v>
      </c>
      <c r="I1231" s="13" t="s">
        <v>25</v>
      </c>
      <c r="J1231" s="13">
        <v>3</v>
      </c>
      <c r="K1231" s="13" t="s">
        <v>1714</v>
      </c>
      <c r="L1231" s="6" t="s">
        <v>9698</v>
      </c>
      <c r="M1231" s="108" t="s">
        <v>9699</v>
      </c>
      <c r="N1231" s="13" t="s">
        <v>9700</v>
      </c>
      <c r="O1231" s="13" t="s">
        <v>1055</v>
      </c>
      <c r="P1231" s="13" t="s">
        <v>16</v>
      </c>
      <c r="Q1231" s="6" t="s">
        <v>9701</v>
      </c>
      <c r="R1231" s="69" t="s">
        <v>9702</v>
      </c>
      <c r="S1231" s="69" t="s">
        <v>9703</v>
      </c>
      <c r="T1231" s="18">
        <v>30</v>
      </c>
      <c r="U1231" s="18">
        <v>20</v>
      </c>
      <c r="V1231" s="13" t="s">
        <v>9704</v>
      </c>
      <c r="X1231" s="132">
        <v>1220</v>
      </c>
      <c r="Y1231" s="6"/>
    </row>
    <row r="1232" spans="1:25" ht="15" customHeight="1" x14ac:dyDescent="0.25">
      <c r="A1232" s="12" t="s">
        <v>9705</v>
      </c>
      <c r="B1232" s="13" t="s">
        <v>4977</v>
      </c>
      <c r="C1232" s="14">
        <v>46492</v>
      </c>
      <c r="D1232" s="13" t="s">
        <v>33</v>
      </c>
      <c r="E1232" s="6" t="s">
        <v>9706</v>
      </c>
      <c r="F1232" s="15" t="s">
        <v>9707</v>
      </c>
      <c r="G1232" s="6" t="s">
        <v>9708</v>
      </c>
      <c r="H1232" s="6" t="s">
        <v>9708</v>
      </c>
      <c r="I1232" s="13" t="s">
        <v>25</v>
      </c>
      <c r="J1232" s="13">
        <v>3</v>
      </c>
      <c r="K1232" s="13" t="s">
        <v>1714</v>
      </c>
      <c r="L1232" s="6" t="s">
        <v>9709</v>
      </c>
      <c r="M1232" s="108" t="s">
        <v>9710</v>
      </c>
      <c r="N1232" s="13" t="s">
        <v>2304</v>
      </c>
      <c r="O1232" s="13" t="s">
        <v>36</v>
      </c>
      <c r="P1232" s="13" t="s">
        <v>4</v>
      </c>
      <c r="Q1232" s="6" t="s">
        <v>9711</v>
      </c>
      <c r="R1232" s="69" t="s">
        <v>9712</v>
      </c>
      <c r="S1232" s="30"/>
      <c r="T1232" s="18">
        <v>18</v>
      </c>
      <c r="U1232" s="18">
        <v>15</v>
      </c>
      <c r="V1232" s="13" t="s">
        <v>9713</v>
      </c>
      <c r="X1232" s="132">
        <v>1221</v>
      </c>
      <c r="Y1232" s="6"/>
    </row>
    <row r="1233" spans="1:25" ht="15" customHeight="1" x14ac:dyDescent="0.25">
      <c r="A1233" s="12" t="s">
        <v>9714</v>
      </c>
      <c r="B1233" s="13" t="s">
        <v>4977</v>
      </c>
      <c r="C1233" s="14">
        <v>46492</v>
      </c>
      <c r="D1233" s="13" t="s">
        <v>33</v>
      </c>
      <c r="E1233" s="6" t="s">
        <v>9715</v>
      </c>
      <c r="F1233" s="15" t="s">
        <v>9716</v>
      </c>
      <c r="G1233" s="6" t="s">
        <v>9717</v>
      </c>
      <c r="H1233" s="6" t="s">
        <v>9717</v>
      </c>
      <c r="I1233" s="13" t="s">
        <v>25</v>
      </c>
      <c r="J1233" s="13">
        <v>3</v>
      </c>
      <c r="K1233" s="13" t="s">
        <v>1714</v>
      </c>
      <c r="L1233" s="6" t="s">
        <v>9718</v>
      </c>
      <c r="M1233" s="108" t="s">
        <v>7100</v>
      </c>
      <c r="N1233" s="13" t="s">
        <v>2630</v>
      </c>
      <c r="O1233" s="13" t="s">
        <v>61</v>
      </c>
      <c r="P1233" s="13" t="s">
        <v>9</v>
      </c>
      <c r="Q1233" s="6" t="s">
        <v>9719</v>
      </c>
      <c r="R1233" s="69" t="s">
        <v>9796</v>
      </c>
      <c r="S1233" s="69" t="s">
        <v>9720</v>
      </c>
      <c r="T1233" s="18">
        <v>26</v>
      </c>
      <c r="U1233" s="18">
        <v>22</v>
      </c>
      <c r="V1233" s="13" t="s">
        <v>9721</v>
      </c>
      <c r="X1233" s="132">
        <v>1222</v>
      </c>
      <c r="Y1233" s="6"/>
    </row>
    <row r="1234" spans="1:25" ht="15" customHeight="1" x14ac:dyDescent="0.25">
      <c r="A1234" s="12" t="s">
        <v>9724</v>
      </c>
      <c r="B1234" s="13" t="s">
        <v>4977</v>
      </c>
      <c r="C1234" s="14">
        <v>46492</v>
      </c>
      <c r="D1234" s="13" t="s">
        <v>33</v>
      </c>
      <c r="E1234" s="6" t="s">
        <v>9725</v>
      </c>
      <c r="F1234" s="15" t="s">
        <v>9726</v>
      </c>
      <c r="G1234" s="6" t="s">
        <v>9727</v>
      </c>
      <c r="H1234" s="6" t="s">
        <v>9727</v>
      </c>
      <c r="I1234" s="13" t="s">
        <v>25</v>
      </c>
      <c r="J1234" s="13">
        <v>3</v>
      </c>
      <c r="K1234" s="13" t="s">
        <v>1714</v>
      </c>
      <c r="L1234" s="6" t="s">
        <v>4302</v>
      </c>
      <c r="M1234" s="108" t="s">
        <v>4303</v>
      </c>
      <c r="N1234" s="13" t="s">
        <v>9728</v>
      </c>
      <c r="O1234" s="13" t="s">
        <v>743</v>
      </c>
      <c r="P1234" s="13" t="s">
        <v>16</v>
      </c>
      <c r="Q1234" s="6" t="s">
        <v>9797</v>
      </c>
      <c r="R1234" s="69" t="s">
        <v>9729</v>
      </c>
      <c r="S1234" s="30"/>
      <c r="T1234" s="18">
        <v>24</v>
      </c>
      <c r="U1234" s="18">
        <v>24</v>
      </c>
      <c r="V1234" s="13" t="s">
        <v>9730</v>
      </c>
      <c r="X1234" s="132">
        <v>1223</v>
      </c>
      <c r="Y1234" s="6"/>
    </row>
    <row r="1235" spans="1:25" ht="15" customHeight="1" x14ac:dyDescent="0.25">
      <c r="A1235" s="12" t="s">
        <v>9757</v>
      </c>
      <c r="B1235" s="92" t="s">
        <v>4978</v>
      </c>
      <c r="C1235" s="74">
        <v>47223</v>
      </c>
      <c r="D1235" s="13" t="s">
        <v>33</v>
      </c>
      <c r="E1235" s="6" t="s">
        <v>9758</v>
      </c>
      <c r="F1235" s="15" t="s">
        <v>9759</v>
      </c>
      <c r="G1235" s="6" t="s">
        <v>9760</v>
      </c>
      <c r="H1235" s="6" t="s">
        <v>9760</v>
      </c>
      <c r="I1235" s="13" t="s">
        <v>25</v>
      </c>
      <c r="J1235" s="13">
        <v>3</v>
      </c>
      <c r="K1235" s="13" t="s">
        <v>1714</v>
      </c>
      <c r="L1235" s="6" t="s">
        <v>9761</v>
      </c>
      <c r="M1235" s="108" t="s">
        <v>9762</v>
      </c>
      <c r="N1235" s="13" t="s">
        <v>4329</v>
      </c>
      <c r="O1235" s="13" t="s">
        <v>21</v>
      </c>
      <c r="P1235" s="13" t="s">
        <v>9</v>
      </c>
      <c r="Q1235" s="6" t="s">
        <v>9763</v>
      </c>
      <c r="R1235" s="69" t="s">
        <v>9764</v>
      </c>
      <c r="S1235" s="69" t="s">
        <v>9765</v>
      </c>
      <c r="T1235" s="18">
        <v>23</v>
      </c>
      <c r="U1235" s="18">
        <v>20</v>
      </c>
      <c r="V1235" s="13" t="s">
        <v>9766</v>
      </c>
      <c r="X1235" s="132">
        <v>1224</v>
      </c>
      <c r="Y1235" s="6"/>
    </row>
    <row r="1236" spans="1:25" ht="15" customHeight="1" x14ac:dyDescent="0.25">
      <c r="A1236" s="12" t="s">
        <v>9767</v>
      </c>
      <c r="B1236" s="13" t="s">
        <v>4977</v>
      </c>
      <c r="C1236" s="14">
        <v>46492</v>
      </c>
      <c r="D1236" s="13" t="s">
        <v>1533</v>
      </c>
      <c r="E1236" s="6" t="s">
        <v>9768</v>
      </c>
      <c r="G1236" s="6" t="s">
        <v>9769</v>
      </c>
      <c r="H1236" s="6" t="s">
        <v>9769</v>
      </c>
      <c r="I1236" s="13" t="s">
        <v>13</v>
      </c>
      <c r="J1236" s="13">
        <v>8</v>
      </c>
      <c r="K1236" s="13" t="s">
        <v>1714</v>
      </c>
      <c r="L1236" s="6" t="s">
        <v>9770</v>
      </c>
      <c r="M1236" s="108" t="s">
        <v>6592</v>
      </c>
      <c r="N1236" s="13" t="s">
        <v>6514</v>
      </c>
      <c r="O1236" s="13" t="s">
        <v>445</v>
      </c>
      <c r="P1236" s="13" t="s">
        <v>16</v>
      </c>
      <c r="Q1236" s="6" t="s">
        <v>9771</v>
      </c>
      <c r="R1236" s="69" t="s">
        <v>9772</v>
      </c>
      <c r="S1236" s="30"/>
      <c r="T1236" s="18">
        <v>19</v>
      </c>
      <c r="U1236" s="18">
        <v>19</v>
      </c>
      <c r="V1236" s="13" t="s">
        <v>9773</v>
      </c>
      <c r="X1236" s="132">
        <v>1225</v>
      </c>
      <c r="Y1236" s="6"/>
    </row>
    <row r="1237" spans="1:25" ht="15" customHeight="1" x14ac:dyDescent="0.25">
      <c r="A1237" s="12" t="s">
        <v>9776</v>
      </c>
      <c r="B1237" s="13" t="s">
        <v>4977</v>
      </c>
      <c r="C1237" s="14">
        <v>46492</v>
      </c>
      <c r="D1237" s="13" t="s">
        <v>1533</v>
      </c>
      <c r="E1237" s="6" t="s">
        <v>9777</v>
      </c>
      <c r="F1237" s="15" t="s">
        <v>9778</v>
      </c>
      <c r="G1237" s="6" t="s">
        <v>9779</v>
      </c>
      <c r="H1237" s="6" t="s">
        <v>9779</v>
      </c>
      <c r="I1237" s="13" t="s">
        <v>39</v>
      </c>
      <c r="J1237" s="13">
        <v>12</v>
      </c>
      <c r="K1237" s="13" t="s">
        <v>1714</v>
      </c>
      <c r="L1237" s="6" t="s">
        <v>9783</v>
      </c>
      <c r="M1237" s="108" t="s">
        <v>10556</v>
      </c>
      <c r="N1237" s="13" t="s">
        <v>15</v>
      </c>
      <c r="O1237" s="13" t="s">
        <v>15</v>
      </c>
      <c r="P1237" s="13" t="s">
        <v>16</v>
      </c>
      <c r="Q1237" s="6" t="s">
        <v>9780</v>
      </c>
      <c r="R1237" s="69" t="s">
        <v>9781</v>
      </c>
      <c r="S1237" s="30"/>
      <c r="T1237" s="18">
        <v>30</v>
      </c>
      <c r="U1237" s="18">
        <v>30</v>
      </c>
      <c r="V1237" s="13" t="s">
        <v>9782</v>
      </c>
      <c r="X1237" s="132">
        <v>1226</v>
      </c>
      <c r="Y1237" s="6"/>
    </row>
    <row r="1238" spans="1:25" ht="15" customHeight="1" x14ac:dyDescent="0.25">
      <c r="A1238" s="12" t="s">
        <v>10553</v>
      </c>
      <c r="B1238" s="79" t="s">
        <v>4977</v>
      </c>
      <c r="C1238" s="80">
        <v>46675</v>
      </c>
      <c r="D1238" s="79" t="s">
        <v>1533</v>
      </c>
      <c r="E1238" s="81" t="s">
        <v>9777</v>
      </c>
      <c r="F1238" s="82" t="s">
        <v>10554</v>
      </c>
      <c r="G1238" s="81" t="s">
        <v>9779</v>
      </c>
      <c r="H1238" s="81" t="s">
        <v>9779</v>
      </c>
      <c r="I1238" s="79" t="s">
        <v>39</v>
      </c>
      <c r="J1238" s="79">
        <v>12</v>
      </c>
      <c r="K1238" s="79" t="s">
        <v>1714</v>
      </c>
      <c r="L1238" s="81" t="s">
        <v>10555</v>
      </c>
      <c r="M1238" s="109" t="s">
        <v>10556</v>
      </c>
      <c r="N1238" s="79" t="s">
        <v>15</v>
      </c>
      <c r="O1238" s="13" t="s">
        <v>15</v>
      </c>
      <c r="P1238" s="13" t="s">
        <v>16</v>
      </c>
      <c r="Q1238" s="81" t="s">
        <v>9780</v>
      </c>
      <c r="R1238" s="69" t="s">
        <v>9781</v>
      </c>
      <c r="S1238" s="84"/>
      <c r="T1238" s="85">
        <v>50</v>
      </c>
      <c r="U1238" s="85">
        <v>50</v>
      </c>
      <c r="V1238" s="79" t="s">
        <v>9782</v>
      </c>
      <c r="W1238" s="81"/>
      <c r="X1238" s="132">
        <v>1227</v>
      </c>
      <c r="Y1238" s="6"/>
    </row>
    <row r="1239" spans="1:25" ht="15" customHeight="1" x14ac:dyDescent="0.25">
      <c r="A1239" s="19" t="s">
        <v>10808</v>
      </c>
      <c r="B1239" s="79" t="s">
        <v>4977</v>
      </c>
      <c r="C1239" s="80">
        <v>46691</v>
      </c>
      <c r="D1239" s="79" t="s">
        <v>1533</v>
      </c>
      <c r="E1239" s="81" t="s">
        <v>9777</v>
      </c>
      <c r="F1239" s="82" t="s">
        <v>10809</v>
      </c>
      <c r="G1239" s="81" t="s">
        <v>9779</v>
      </c>
      <c r="H1239" s="81" t="s">
        <v>9779</v>
      </c>
      <c r="I1239" s="79" t="s">
        <v>39</v>
      </c>
      <c r="J1239" s="79">
        <v>12</v>
      </c>
      <c r="K1239" s="79" t="s">
        <v>1714</v>
      </c>
      <c r="L1239" s="81" t="s">
        <v>10555</v>
      </c>
      <c r="M1239" s="109" t="s">
        <v>10556</v>
      </c>
      <c r="N1239" s="79" t="s">
        <v>15</v>
      </c>
      <c r="O1239" s="13" t="s">
        <v>15</v>
      </c>
      <c r="P1239" s="13" t="s">
        <v>16</v>
      </c>
      <c r="Q1239" s="81" t="s">
        <v>9780</v>
      </c>
      <c r="R1239" s="69" t="s">
        <v>9781</v>
      </c>
      <c r="S1239" s="84"/>
      <c r="T1239" s="85">
        <v>50</v>
      </c>
      <c r="U1239" s="85">
        <v>50</v>
      </c>
      <c r="V1239" s="79" t="s">
        <v>9782</v>
      </c>
      <c r="W1239" s="81"/>
      <c r="X1239" s="132">
        <v>1228</v>
      </c>
      <c r="Y1239" s="6"/>
    </row>
    <row r="1240" spans="1:25" ht="15" customHeight="1" x14ac:dyDescent="0.25">
      <c r="A1240" s="19" t="s">
        <v>10826</v>
      </c>
      <c r="B1240" s="79" t="s">
        <v>4977</v>
      </c>
      <c r="C1240" s="80">
        <v>46691</v>
      </c>
      <c r="D1240" s="79" t="s">
        <v>1533</v>
      </c>
      <c r="E1240" s="81" t="s">
        <v>9777</v>
      </c>
      <c r="F1240" s="82" t="s">
        <v>10827</v>
      </c>
      <c r="G1240" s="81" t="s">
        <v>9779</v>
      </c>
      <c r="H1240" s="81" t="s">
        <v>9779</v>
      </c>
      <c r="I1240" s="79" t="s">
        <v>39</v>
      </c>
      <c r="J1240" s="79">
        <v>12</v>
      </c>
      <c r="K1240" s="79" t="s">
        <v>1714</v>
      </c>
      <c r="L1240" s="81" t="s">
        <v>10555</v>
      </c>
      <c r="M1240" s="109" t="s">
        <v>10556</v>
      </c>
      <c r="N1240" s="79" t="s">
        <v>15</v>
      </c>
      <c r="O1240" s="13" t="s">
        <v>15</v>
      </c>
      <c r="P1240" s="13" t="s">
        <v>16</v>
      </c>
      <c r="Q1240" s="81" t="s">
        <v>9780</v>
      </c>
      <c r="R1240" s="69" t="s">
        <v>9781</v>
      </c>
      <c r="S1240" s="84"/>
      <c r="T1240" s="85">
        <v>30</v>
      </c>
      <c r="U1240" s="85">
        <v>30</v>
      </c>
      <c r="V1240" s="79" t="s">
        <v>9782</v>
      </c>
      <c r="W1240" s="81"/>
      <c r="X1240" s="132">
        <v>1229</v>
      </c>
      <c r="Y1240" s="6"/>
    </row>
    <row r="1241" spans="1:25" ht="15" customHeight="1" x14ac:dyDescent="0.25">
      <c r="A1241" s="12" t="s">
        <v>10925</v>
      </c>
      <c r="B1241" s="13" t="s">
        <v>4977</v>
      </c>
      <c r="C1241" s="14">
        <v>46705</v>
      </c>
      <c r="D1241" s="13" t="s">
        <v>1533</v>
      </c>
      <c r="E1241" s="6" t="s">
        <v>9777</v>
      </c>
      <c r="F1241" s="15" t="s">
        <v>10926</v>
      </c>
      <c r="G1241" s="6" t="s">
        <v>9779</v>
      </c>
      <c r="H1241" s="6" t="s">
        <v>9779</v>
      </c>
      <c r="I1241" s="13" t="s">
        <v>39</v>
      </c>
      <c r="J1241" s="13">
        <v>12</v>
      </c>
      <c r="K1241" s="13" t="s">
        <v>1714</v>
      </c>
      <c r="L1241" s="6" t="s">
        <v>10555</v>
      </c>
      <c r="M1241" s="108" t="s">
        <v>10556</v>
      </c>
      <c r="N1241" s="13" t="s">
        <v>15</v>
      </c>
      <c r="O1241" s="13" t="s">
        <v>15</v>
      </c>
      <c r="P1241" s="13" t="s">
        <v>16</v>
      </c>
      <c r="Q1241" s="6" t="s">
        <v>9780</v>
      </c>
      <c r="R1241" s="69" t="s">
        <v>9781</v>
      </c>
      <c r="S1241" s="30"/>
      <c r="T1241" s="18">
        <v>40</v>
      </c>
      <c r="U1241" s="18">
        <v>40</v>
      </c>
      <c r="V1241" s="13" t="s">
        <v>9782</v>
      </c>
      <c r="X1241" s="132">
        <v>1230</v>
      </c>
      <c r="Y1241" s="6"/>
    </row>
    <row r="1242" spans="1:25" ht="15" customHeight="1" x14ac:dyDescent="0.25">
      <c r="A1242" s="19" t="s">
        <v>9798</v>
      </c>
      <c r="B1242" s="92" t="s">
        <v>4978</v>
      </c>
      <c r="C1242" s="74">
        <v>47243</v>
      </c>
      <c r="D1242" s="13" t="s">
        <v>1533</v>
      </c>
      <c r="E1242" s="6" t="s">
        <v>9799</v>
      </c>
      <c r="F1242" s="15" t="s">
        <v>9800</v>
      </c>
      <c r="G1242" s="6" t="s">
        <v>9801</v>
      </c>
      <c r="H1242" s="6" t="s">
        <v>9801</v>
      </c>
      <c r="I1242" s="13" t="s">
        <v>2702</v>
      </c>
      <c r="J1242" s="13">
        <v>11</v>
      </c>
      <c r="K1242" s="13" t="s">
        <v>6603</v>
      </c>
      <c r="L1242" s="6" t="s">
        <v>9802</v>
      </c>
      <c r="M1242" s="108" t="s">
        <v>9454</v>
      </c>
      <c r="N1242" s="13" t="s">
        <v>9455</v>
      </c>
      <c r="O1242" s="13" t="s">
        <v>172</v>
      </c>
      <c r="P1242" s="13" t="s">
        <v>9</v>
      </c>
      <c r="Q1242" s="6" t="s">
        <v>9803</v>
      </c>
      <c r="R1242" s="69" t="s">
        <v>9804</v>
      </c>
      <c r="S1242" s="69" t="s">
        <v>9805</v>
      </c>
      <c r="T1242" s="18">
        <v>120</v>
      </c>
      <c r="U1242" s="18">
        <v>120</v>
      </c>
      <c r="V1242" s="13" t="s">
        <v>9806</v>
      </c>
      <c r="X1242" s="132">
        <v>1231</v>
      </c>
      <c r="Y1242" s="6"/>
    </row>
    <row r="1243" spans="1:25" ht="15" customHeight="1" x14ac:dyDescent="0.25">
      <c r="A1243" s="19" t="s">
        <v>9807</v>
      </c>
      <c r="B1243" s="13" t="s">
        <v>4977</v>
      </c>
      <c r="C1243" s="14">
        <v>46512</v>
      </c>
      <c r="D1243" s="13" t="s">
        <v>1533</v>
      </c>
      <c r="E1243" s="6" t="s">
        <v>9808</v>
      </c>
      <c r="F1243" s="15" t="s">
        <v>9809</v>
      </c>
      <c r="G1243" s="6" t="s">
        <v>9810</v>
      </c>
      <c r="H1243" s="6" t="s">
        <v>9837</v>
      </c>
      <c r="I1243" s="13" t="s">
        <v>39</v>
      </c>
      <c r="J1243" s="13">
        <v>12</v>
      </c>
      <c r="K1243" s="13" t="s">
        <v>6574</v>
      </c>
      <c r="L1243" s="6" t="s">
        <v>9811</v>
      </c>
      <c r="M1243" s="108" t="s">
        <v>9812</v>
      </c>
      <c r="N1243" s="13" t="s">
        <v>9813</v>
      </c>
      <c r="O1243" s="13" t="s">
        <v>445</v>
      </c>
      <c r="P1243" s="13" t="s">
        <v>16</v>
      </c>
      <c r="Q1243" s="6" t="s">
        <v>9814</v>
      </c>
      <c r="R1243" s="69" t="s">
        <v>9815</v>
      </c>
      <c r="S1243" s="69" t="s">
        <v>9816</v>
      </c>
      <c r="T1243" s="18">
        <v>22</v>
      </c>
      <c r="U1243" s="18">
        <v>11</v>
      </c>
      <c r="V1243" s="13" t="s">
        <v>9817</v>
      </c>
      <c r="X1243" s="132">
        <v>1232</v>
      </c>
      <c r="Y1243" s="6"/>
    </row>
    <row r="1244" spans="1:25" ht="15" customHeight="1" x14ac:dyDescent="0.25">
      <c r="A1244" s="19" t="s">
        <v>9833</v>
      </c>
      <c r="B1244" s="92" t="s">
        <v>4978</v>
      </c>
      <c r="C1244" s="74">
        <v>47243</v>
      </c>
      <c r="D1244" s="13" t="s">
        <v>33</v>
      </c>
      <c r="E1244" s="6" t="s">
        <v>9834</v>
      </c>
      <c r="F1244" s="15" t="s">
        <v>9835</v>
      </c>
      <c r="G1244" s="6" t="s">
        <v>9836</v>
      </c>
      <c r="H1244" s="6" t="s">
        <v>9836</v>
      </c>
      <c r="I1244" s="13" t="s">
        <v>25</v>
      </c>
      <c r="J1244" s="13">
        <v>3</v>
      </c>
      <c r="K1244" s="13" t="s">
        <v>1714</v>
      </c>
      <c r="L1244" s="6" t="s">
        <v>9838</v>
      </c>
      <c r="M1244" s="108" t="s">
        <v>9839</v>
      </c>
      <c r="N1244" s="13" t="s">
        <v>9840</v>
      </c>
      <c r="O1244" s="13" t="s">
        <v>1847</v>
      </c>
      <c r="P1244" s="13" t="s">
        <v>68</v>
      </c>
      <c r="Q1244" s="6" t="s">
        <v>9841</v>
      </c>
      <c r="R1244" s="69" t="s">
        <v>9842</v>
      </c>
      <c r="S1244" s="30"/>
      <c r="T1244" s="18">
        <v>12</v>
      </c>
      <c r="U1244" s="18">
        <v>8</v>
      </c>
      <c r="V1244" s="13" t="s">
        <v>9843</v>
      </c>
      <c r="X1244" s="132">
        <v>1233</v>
      </c>
      <c r="Y1244" s="6"/>
    </row>
    <row r="1245" spans="1:25" ht="15" customHeight="1" x14ac:dyDescent="0.25">
      <c r="A1245" s="19" t="s">
        <v>9868</v>
      </c>
      <c r="B1245" s="92" t="s">
        <v>4978</v>
      </c>
      <c r="C1245" s="74">
        <v>47253</v>
      </c>
      <c r="D1245" s="13" t="s">
        <v>33</v>
      </c>
      <c r="E1245" s="6" t="s">
        <v>9869</v>
      </c>
      <c r="F1245" s="15" t="s">
        <v>9885</v>
      </c>
      <c r="G1245" s="6" t="s">
        <v>9870</v>
      </c>
      <c r="H1245" s="6" t="s">
        <v>9870</v>
      </c>
      <c r="I1245" s="13" t="s">
        <v>25</v>
      </c>
      <c r="J1245" s="13">
        <v>3</v>
      </c>
      <c r="K1245" s="13" t="s">
        <v>1714</v>
      </c>
      <c r="L1245" s="6" t="s">
        <v>9871</v>
      </c>
      <c r="M1245" s="108" t="s">
        <v>9872</v>
      </c>
      <c r="N1245" s="13" t="s">
        <v>177</v>
      </c>
      <c r="O1245" s="13" t="s">
        <v>177</v>
      </c>
      <c r="P1245" s="13" t="s">
        <v>9</v>
      </c>
      <c r="Q1245" s="6" t="s">
        <v>9873</v>
      </c>
      <c r="R1245" s="69" t="s">
        <v>9874</v>
      </c>
      <c r="S1245" s="30"/>
      <c r="T1245" s="18">
        <v>21</v>
      </c>
      <c r="U1245" s="18">
        <v>21</v>
      </c>
      <c r="V1245" s="13" t="s">
        <v>9875</v>
      </c>
      <c r="X1245" s="132">
        <v>1234</v>
      </c>
      <c r="Y1245" s="6"/>
    </row>
    <row r="1246" spans="1:25" ht="15" customHeight="1" x14ac:dyDescent="0.25">
      <c r="A1246" s="19" t="s">
        <v>9900</v>
      </c>
      <c r="B1246" s="92" t="s">
        <v>4978</v>
      </c>
      <c r="C1246" s="74">
        <v>47253</v>
      </c>
      <c r="D1246" s="13" t="s">
        <v>1533</v>
      </c>
      <c r="E1246" s="6" t="s">
        <v>9901</v>
      </c>
      <c r="F1246" s="15" t="s">
        <v>9902</v>
      </c>
      <c r="G1246" s="6" t="s">
        <v>9903</v>
      </c>
      <c r="H1246" s="6" t="s">
        <v>9903</v>
      </c>
      <c r="I1246" s="13" t="s">
        <v>13</v>
      </c>
      <c r="J1246" s="13">
        <v>7</v>
      </c>
      <c r="K1246" s="13" t="s">
        <v>6603</v>
      </c>
      <c r="L1246" s="6" t="s">
        <v>9904</v>
      </c>
      <c r="M1246" s="108" t="s">
        <v>9905</v>
      </c>
      <c r="N1246" s="13" t="s">
        <v>9906</v>
      </c>
      <c r="O1246" s="13" t="s">
        <v>5556</v>
      </c>
      <c r="P1246" s="13" t="s">
        <v>9</v>
      </c>
      <c r="Q1246" s="6" t="s">
        <v>9907</v>
      </c>
      <c r="R1246" s="69" t="s">
        <v>9908</v>
      </c>
      <c r="S1246" s="69" t="s">
        <v>9909</v>
      </c>
      <c r="T1246" s="18">
        <v>130</v>
      </c>
      <c r="U1246" s="18">
        <v>130</v>
      </c>
      <c r="V1246" s="13" t="s">
        <v>9910</v>
      </c>
      <c r="X1246" s="132">
        <v>1235</v>
      </c>
      <c r="Y1246" s="6"/>
    </row>
    <row r="1247" spans="1:25" ht="15" customHeight="1" x14ac:dyDescent="0.25">
      <c r="A1247" s="12" t="s">
        <v>9923</v>
      </c>
      <c r="B1247" s="13" t="s">
        <v>4977</v>
      </c>
      <c r="C1247" s="14">
        <v>46537</v>
      </c>
      <c r="D1247" s="13" t="s">
        <v>1533</v>
      </c>
      <c r="E1247" s="6" t="s">
        <v>9924</v>
      </c>
      <c r="F1247" s="15" t="s">
        <v>9925</v>
      </c>
      <c r="G1247" s="6" t="s">
        <v>9926</v>
      </c>
      <c r="H1247" s="6" t="s">
        <v>9926</v>
      </c>
      <c r="I1247" s="13" t="s">
        <v>39</v>
      </c>
      <c r="J1247" s="13">
        <v>12</v>
      </c>
      <c r="K1247" s="13" t="s">
        <v>1714</v>
      </c>
      <c r="L1247" s="6" t="s">
        <v>9927</v>
      </c>
      <c r="M1247" s="108" t="s">
        <v>9928</v>
      </c>
      <c r="N1247" s="13" t="s">
        <v>4558</v>
      </c>
      <c r="O1247" s="13" t="s">
        <v>2146</v>
      </c>
      <c r="P1247" s="13" t="s">
        <v>68</v>
      </c>
      <c r="Q1247" s="6" t="s">
        <v>9929</v>
      </c>
      <c r="R1247" s="69" t="s">
        <v>9930</v>
      </c>
      <c r="S1247" s="69" t="s">
        <v>9931</v>
      </c>
      <c r="T1247" s="18">
        <v>50</v>
      </c>
      <c r="U1247" s="18">
        <v>50</v>
      </c>
      <c r="V1247" s="13" t="s">
        <v>9932</v>
      </c>
      <c r="X1247" s="132">
        <v>1236</v>
      </c>
      <c r="Y1247" s="6"/>
    </row>
    <row r="1248" spans="1:25" ht="15" customHeight="1" x14ac:dyDescent="0.25">
      <c r="A1248" s="12" t="s">
        <v>9933</v>
      </c>
      <c r="B1248" s="92" t="s">
        <v>4978</v>
      </c>
      <c r="C1248" s="74">
        <v>47268</v>
      </c>
      <c r="D1248" s="13" t="s">
        <v>33</v>
      </c>
      <c r="E1248" s="6" t="s">
        <v>9934</v>
      </c>
      <c r="F1248" s="15" t="s">
        <v>9935</v>
      </c>
      <c r="G1248" s="6" t="s">
        <v>9936</v>
      </c>
      <c r="H1248" s="6" t="s">
        <v>9936</v>
      </c>
      <c r="I1248" s="13" t="s">
        <v>25</v>
      </c>
      <c r="J1248" s="13">
        <v>3</v>
      </c>
      <c r="K1248" s="13" t="s">
        <v>1714</v>
      </c>
      <c r="L1248" s="6" t="s">
        <v>9937</v>
      </c>
      <c r="M1248" s="108" t="s">
        <v>9938</v>
      </c>
      <c r="N1248" s="13" t="s">
        <v>3972</v>
      </c>
      <c r="O1248" s="13" t="s">
        <v>97</v>
      </c>
      <c r="P1248" s="13" t="s">
        <v>4</v>
      </c>
      <c r="Q1248" s="6" t="s">
        <v>9939</v>
      </c>
      <c r="R1248" s="69" t="s">
        <v>9997</v>
      </c>
      <c r="S1248" s="30"/>
      <c r="T1248" s="18">
        <v>23</v>
      </c>
      <c r="U1248" s="18">
        <v>6</v>
      </c>
      <c r="V1248" s="13" t="s">
        <v>9940</v>
      </c>
      <c r="X1248" s="132">
        <v>1237</v>
      </c>
      <c r="Y1248" s="6"/>
    </row>
    <row r="1249" spans="1:25" ht="15" customHeight="1" x14ac:dyDescent="0.25">
      <c r="A1249" s="12" t="s">
        <v>9941</v>
      </c>
      <c r="B1249" s="92" t="s">
        <v>4978</v>
      </c>
      <c r="C1249" s="74">
        <v>47268</v>
      </c>
      <c r="D1249" s="13" t="s">
        <v>33</v>
      </c>
      <c r="E1249" s="6" t="s">
        <v>9942</v>
      </c>
      <c r="F1249" s="15" t="s">
        <v>9943</v>
      </c>
      <c r="G1249" s="6" t="s">
        <v>9944</v>
      </c>
      <c r="H1249" s="6" t="s">
        <v>9944</v>
      </c>
      <c r="I1249" s="13" t="s">
        <v>25</v>
      </c>
      <c r="J1249" s="13">
        <v>3</v>
      </c>
      <c r="K1249" s="13" t="s">
        <v>1714</v>
      </c>
      <c r="L1249" s="6" t="s">
        <v>9945</v>
      </c>
      <c r="M1249" s="108" t="s">
        <v>9946</v>
      </c>
      <c r="N1249" s="13" t="s">
        <v>4031</v>
      </c>
      <c r="O1249" s="13" t="s">
        <v>15</v>
      </c>
      <c r="P1249" s="13" t="s">
        <v>16</v>
      </c>
      <c r="Q1249" s="6" t="s">
        <v>9947</v>
      </c>
      <c r="R1249" s="69" t="s">
        <v>9948</v>
      </c>
      <c r="S1249" s="69" t="s">
        <v>9949</v>
      </c>
      <c r="T1249" s="18">
        <v>16</v>
      </c>
      <c r="U1249" s="18">
        <v>15</v>
      </c>
      <c r="V1249" s="13" t="s">
        <v>9950</v>
      </c>
      <c r="X1249" s="132">
        <v>1238</v>
      </c>
      <c r="Y1249" s="6"/>
    </row>
    <row r="1250" spans="1:25" ht="15" customHeight="1" x14ac:dyDescent="0.25">
      <c r="A1250" s="12" t="s">
        <v>9957</v>
      </c>
      <c r="B1250" s="92" t="s">
        <v>4978</v>
      </c>
      <c r="C1250" s="74">
        <v>47268</v>
      </c>
      <c r="D1250" s="13" t="s">
        <v>1533</v>
      </c>
      <c r="E1250" s="6" t="s">
        <v>9958</v>
      </c>
      <c r="F1250" s="15" t="s">
        <v>9959</v>
      </c>
      <c r="G1250" s="6" t="s">
        <v>9960</v>
      </c>
      <c r="H1250" s="6" t="s">
        <v>9960</v>
      </c>
      <c r="I1250" s="13" t="s">
        <v>25</v>
      </c>
      <c r="J1250" s="13">
        <v>6</v>
      </c>
      <c r="K1250" s="13" t="s">
        <v>1714</v>
      </c>
      <c r="L1250" s="6" t="s">
        <v>9961</v>
      </c>
      <c r="M1250" s="108" t="s">
        <v>9962</v>
      </c>
      <c r="N1250" s="13" t="s">
        <v>9963</v>
      </c>
      <c r="O1250" s="13" t="s">
        <v>21</v>
      </c>
      <c r="P1250" s="13" t="s">
        <v>9</v>
      </c>
      <c r="Q1250" s="6" t="s">
        <v>5583</v>
      </c>
      <c r="R1250" s="69" t="s">
        <v>2565</v>
      </c>
      <c r="S1250" s="30"/>
      <c r="T1250" s="18">
        <v>27</v>
      </c>
      <c r="U1250" s="18">
        <v>25</v>
      </c>
      <c r="V1250" s="13" t="s">
        <v>9964</v>
      </c>
      <c r="X1250" s="132">
        <v>1239</v>
      </c>
      <c r="Y1250" s="6"/>
    </row>
    <row r="1251" spans="1:25" ht="15" customHeight="1" x14ac:dyDescent="0.25">
      <c r="A1251" s="12" t="s">
        <v>9969</v>
      </c>
      <c r="B1251" s="92" t="s">
        <v>4978</v>
      </c>
      <c r="C1251" s="74">
        <v>47268</v>
      </c>
      <c r="D1251" s="13" t="s">
        <v>33</v>
      </c>
      <c r="E1251" s="6" t="s">
        <v>9970</v>
      </c>
      <c r="F1251" s="15" t="s">
        <v>9971</v>
      </c>
      <c r="G1251" s="6" t="s">
        <v>9972</v>
      </c>
      <c r="H1251" s="6" t="s">
        <v>9972</v>
      </c>
      <c r="I1251" s="13" t="s">
        <v>25</v>
      </c>
      <c r="J1251" s="13">
        <v>3</v>
      </c>
      <c r="K1251" s="13" t="s">
        <v>1714</v>
      </c>
      <c r="L1251" s="6" t="s">
        <v>9973</v>
      </c>
      <c r="M1251" s="108" t="s">
        <v>9974</v>
      </c>
      <c r="N1251" s="13" t="s">
        <v>2634</v>
      </c>
      <c r="O1251" s="13" t="s">
        <v>61</v>
      </c>
      <c r="P1251" s="13" t="s">
        <v>9</v>
      </c>
      <c r="Q1251" s="6" t="s">
        <v>9975</v>
      </c>
      <c r="R1251" s="69" t="s">
        <v>9976</v>
      </c>
      <c r="S1251" s="30"/>
      <c r="T1251" s="18">
        <v>24</v>
      </c>
      <c r="U1251" s="18">
        <v>21</v>
      </c>
      <c r="V1251" s="13" t="s">
        <v>9977</v>
      </c>
      <c r="X1251" s="132">
        <v>1240</v>
      </c>
      <c r="Y1251" s="6"/>
    </row>
    <row r="1252" spans="1:25" ht="15" customHeight="1" x14ac:dyDescent="0.25">
      <c r="A1252" s="12" t="s">
        <v>9988</v>
      </c>
      <c r="B1252" s="92" t="s">
        <v>4978</v>
      </c>
      <c r="C1252" s="74">
        <v>47268</v>
      </c>
      <c r="D1252" s="13" t="s">
        <v>33</v>
      </c>
      <c r="E1252" s="6" t="s">
        <v>9989</v>
      </c>
      <c r="F1252" s="15" t="s">
        <v>9990</v>
      </c>
      <c r="G1252" s="6" t="s">
        <v>9991</v>
      </c>
      <c r="H1252" s="6" t="s">
        <v>9991</v>
      </c>
      <c r="I1252" s="13" t="s">
        <v>25</v>
      </c>
      <c r="J1252" s="13">
        <v>3</v>
      </c>
      <c r="K1252" s="13" t="s">
        <v>1714</v>
      </c>
      <c r="L1252" s="6" t="s">
        <v>9992</v>
      </c>
      <c r="M1252" s="108" t="s">
        <v>2482</v>
      </c>
      <c r="N1252" s="13" t="s">
        <v>2483</v>
      </c>
      <c r="O1252" s="13" t="s">
        <v>172</v>
      </c>
      <c r="P1252" s="13" t="s">
        <v>9</v>
      </c>
      <c r="Q1252" s="6" t="s">
        <v>9993</v>
      </c>
      <c r="R1252" s="69" t="s">
        <v>9994</v>
      </c>
      <c r="S1252" s="30"/>
      <c r="T1252" s="18">
        <v>21</v>
      </c>
      <c r="U1252" s="18">
        <v>9</v>
      </c>
      <c r="V1252" s="13" t="s">
        <v>9995</v>
      </c>
      <c r="X1252" s="132">
        <v>1241</v>
      </c>
      <c r="Y1252" s="6"/>
    </row>
    <row r="1253" spans="1:25" ht="15" customHeight="1" x14ac:dyDescent="0.25">
      <c r="A1253" s="12" t="s">
        <v>9998</v>
      </c>
      <c r="B1253" s="13" t="s">
        <v>4977</v>
      </c>
      <c r="C1253" s="14">
        <v>46537</v>
      </c>
      <c r="D1253" s="13" t="s">
        <v>1533</v>
      </c>
      <c r="E1253" s="6" t="s">
        <v>9999</v>
      </c>
      <c r="F1253" s="15" t="s">
        <v>10000</v>
      </c>
      <c r="G1253" s="6" t="s">
        <v>10001</v>
      </c>
      <c r="H1253" s="6" t="s">
        <v>10001</v>
      </c>
      <c r="I1253" s="13" t="s">
        <v>39</v>
      </c>
      <c r="J1253" s="13">
        <v>12</v>
      </c>
      <c r="K1253" s="13" t="s">
        <v>1714</v>
      </c>
      <c r="L1253" s="6" t="s">
        <v>10002</v>
      </c>
      <c r="M1253" s="108" t="s">
        <v>10003</v>
      </c>
      <c r="N1253" s="13" t="s">
        <v>4774</v>
      </c>
      <c r="O1253" s="13" t="s">
        <v>128</v>
      </c>
      <c r="P1253" s="13" t="s">
        <v>16</v>
      </c>
      <c r="Q1253" s="6" t="s">
        <v>10004</v>
      </c>
      <c r="R1253" s="69" t="s">
        <v>10005</v>
      </c>
      <c r="S1253" s="69" t="s">
        <v>10006</v>
      </c>
      <c r="T1253" s="18">
        <v>800</v>
      </c>
      <c r="U1253" s="18">
        <v>350</v>
      </c>
      <c r="V1253" s="13" t="s">
        <v>10007</v>
      </c>
      <c r="X1253" s="132">
        <v>1242</v>
      </c>
      <c r="Y1253" s="6"/>
    </row>
    <row r="1254" spans="1:25" ht="15" customHeight="1" x14ac:dyDescent="0.25">
      <c r="A1254" s="12" t="s">
        <v>10015</v>
      </c>
      <c r="B1254" s="13" t="s">
        <v>4977</v>
      </c>
      <c r="C1254" s="14">
        <v>46537</v>
      </c>
      <c r="D1254" s="13" t="s">
        <v>1533</v>
      </c>
      <c r="E1254" s="6" t="s">
        <v>10016</v>
      </c>
      <c r="F1254" s="15" t="s">
        <v>10017</v>
      </c>
      <c r="G1254" s="6" t="s">
        <v>10018</v>
      </c>
      <c r="H1254" s="6" t="s">
        <v>10018</v>
      </c>
      <c r="I1254" s="13" t="s">
        <v>39</v>
      </c>
      <c r="J1254" s="13">
        <v>12</v>
      </c>
      <c r="K1254" s="13" t="s">
        <v>1714</v>
      </c>
      <c r="L1254" s="6" t="s">
        <v>10019</v>
      </c>
      <c r="M1254" s="108" t="s">
        <v>10020</v>
      </c>
      <c r="N1254" s="13" t="s">
        <v>10021</v>
      </c>
      <c r="O1254" s="13" t="s">
        <v>53</v>
      </c>
      <c r="P1254" s="13" t="s">
        <v>54</v>
      </c>
      <c r="Q1254" s="6" t="s">
        <v>10022</v>
      </c>
      <c r="R1254" s="69" t="s">
        <v>10023</v>
      </c>
      <c r="S1254" s="69" t="s">
        <v>10024</v>
      </c>
      <c r="T1254" s="18">
        <v>100</v>
      </c>
      <c r="U1254" s="18">
        <v>80</v>
      </c>
      <c r="V1254" s="13" t="s">
        <v>10025</v>
      </c>
      <c r="X1254" s="132">
        <v>1243</v>
      </c>
      <c r="Y1254" s="6"/>
    </row>
    <row r="1255" spans="1:25" ht="15" customHeight="1" x14ac:dyDescent="0.25">
      <c r="A1255" s="12" t="s">
        <v>10437</v>
      </c>
      <c r="B1255" s="79" t="s">
        <v>4977</v>
      </c>
      <c r="C1255" s="80">
        <v>46614</v>
      </c>
      <c r="D1255" s="79" t="s">
        <v>1533</v>
      </c>
      <c r="E1255" s="81" t="s">
        <v>10016</v>
      </c>
      <c r="F1255" s="82" t="s">
        <v>10438</v>
      </c>
      <c r="G1255" s="81" t="s">
        <v>10018</v>
      </c>
      <c r="H1255" s="81" t="s">
        <v>10018</v>
      </c>
      <c r="I1255" s="79" t="s">
        <v>39</v>
      </c>
      <c r="J1255" s="79">
        <v>12</v>
      </c>
      <c r="K1255" s="79" t="s">
        <v>1714</v>
      </c>
      <c r="L1255" s="81" t="s">
        <v>10019</v>
      </c>
      <c r="M1255" s="109" t="s">
        <v>10020</v>
      </c>
      <c r="N1255" s="79" t="s">
        <v>10021</v>
      </c>
      <c r="O1255" s="13" t="s">
        <v>53</v>
      </c>
      <c r="P1255" s="13" t="s">
        <v>54</v>
      </c>
      <c r="Q1255" s="81" t="s">
        <v>10022</v>
      </c>
      <c r="R1255" s="69" t="s">
        <v>10023</v>
      </c>
      <c r="S1255" s="69" t="s">
        <v>10024</v>
      </c>
      <c r="T1255" s="85">
        <v>100</v>
      </c>
      <c r="U1255" s="85">
        <v>80</v>
      </c>
      <c r="V1255" s="79" t="s">
        <v>10025</v>
      </c>
      <c r="W1255" s="81"/>
      <c r="X1255" s="132">
        <v>1244</v>
      </c>
      <c r="Y1255" s="6"/>
    </row>
    <row r="1256" spans="1:25" ht="15" customHeight="1" x14ac:dyDescent="0.25">
      <c r="A1256" s="12" t="s">
        <v>10026</v>
      </c>
      <c r="B1256" s="13" t="s">
        <v>4977</v>
      </c>
      <c r="C1256" s="14">
        <v>46537</v>
      </c>
      <c r="D1256" s="13" t="s">
        <v>33</v>
      </c>
      <c r="E1256" s="6" t="s">
        <v>10033</v>
      </c>
      <c r="F1256" s="15" t="s">
        <v>10027</v>
      </c>
      <c r="G1256" s="6" t="s">
        <v>10028</v>
      </c>
      <c r="H1256" s="6" t="s">
        <v>10028</v>
      </c>
      <c r="I1256" s="13" t="s">
        <v>25</v>
      </c>
      <c r="J1256" s="13">
        <v>3</v>
      </c>
      <c r="K1256" s="13" t="s">
        <v>1714</v>
      </c>
      <c r="L1256" s="6" t="s">
        <v>10029</v>
      </c>
      <c r="M1256" s="108" t="s">
        <v>10030</v>
      </c>
      <c r="N1256" s="13" t="s">
        <v>4613</v>
      </c>
      <c r="O1256" s="13" t="s">
        <v>8</v>
      </c>
      <c r="P1256" s="13" t="s">
        <v>9</v>
      </c>
      <c r="Q1256" s="6" t="s">
        <v>10117</v>
      </c>
      <c r="R1256" s="69" t="s">
        <v>10031</v>
      </c>
      <c r="S1256" s="30"/>
      <c r="T1256" s="18">
        <v>18</v>
      </c>
      <c r="U1256" s="18">
        <v>12</v>
      </c>
      <c r="V1256" s="13" t="s">
        <v>10032</v>
      </c>
      <c r="X1256" s="132">
        <v>1245</v>
      </c>
      <c r="Y1256" s="6"/>
    </row>
    <row r="1257" spans="1:25" ht="15" customHeight="1" x14ac:dyDescent="0.25">
      <c r="A1257" s="12" t="s">
        <v>10038</v>
      </c>
      <c r="B1257" s="92" t="s">
        <v>4978</v>
      </c>
      <c r="C1257" s="74">
        <v>47268</v>
      </c>
      <c r="D1257" s="13" t="s">
        <v>33</v>
      </c>
      <c r="E1257" s="6" t="s">
        <v>10039</v>
      </c>
      <c r="F1257" s="15" t="s">
        <v>10040</v>
      </c>
      <c r="G1257" s="6" t="s">
        <v>10041</v>
      </c>
      <c r="H1257" s="6" t="s">
        <v>10041</v>
      </c>
      <c r="I1257" s="13" t="s">
        <v>25</v>
      </c>
      <c r="J1257" s="13">
        <v>3</v>
      </c>
      <c r="K1257" s="13" t="s">
        <v>1714</v>
      </c>
      <c r="L1257" s="6" t="s">
        <v>10042</v>
      </c>
      <c r="M1257" s="108" t="s">
        <v>10043</v>
      </c>
      <c r="N1257" s="13" t="s">
        <v>2145</v>
      </c>
      <c r="O1257" s="13" t="s">
        <v>2146</v>
      </c>
      <c r="P1257" s="13" t="s">
        <v>68</v>
      </c>
      <c r="Q1257" s="6" t="s">
        <v>10044</v>
      </c>
      <c r="R1257" s="69" t="s">
        <v>10045</v>
      </c>
      <c r="S1257" s="69" t="s">
        <v>2853</v>
      </c>
      <c r="T1257" s="18">
        <v>40</v>
      </c>
      <c r="U1257" s="18">
        <v>13</v>
      </c>
      <c r="V1257" s="13" t="s">
        <v>10046</v>
      </c>
      <c r="X1257" s="132">
        <v>1246</v>
      </c>
      <c r="Y1257" s="6"/>
    </row>
    <row r="1258" spans="1:25" ht="15" customHeight="1" x14ac:dyDescent="0.25">
      <c r="A1258" s="12" t="s">
        <v>10072</v>
      </c>
      <c r="B1258" s="13" t="s">
        <v>4977</v>
      </c>
      <c r="C1258" s="14">
        <v>46554</v>
      </c>
      <c r="D1258" s="13" t="s">
        <v>1533</v>
      </c>
      <c r="E1258" s="6" t="s">
        <v>10073</v>
      </c>
      <c r="F1258" s="15" t="s">
        <v>10074</v>
      </c>
      <c r="G1258" s="6" t="s">
        <v>10075</v>
      </c>
      <c r="H1258" s="6" t="s">
        <v>10075</v>
      </c>
      <c r="I1258" s="13" t="s">
        <v>39</v>
      </c>
      <c r="J1258" s="13">
        <v>12</v>
      </c>
      <c r="K1258" s="13" t="s">
        <v>1714</v>
      </c>
      <c r="L1258" s="6" t="s">
        <v>10076</v>
      </c>
      <c r="M1258" s="108" t="s">
        <v>10077</v>
      </c>
      <c r="N1258" s="13" t="s">
        <v>445</v>
      </c>
      <c r="O1258" s="13" t="s">
        <v>445</v>
      </c>
      <c r="P1258" s="13" t="s">
        <v>16</v>
      </c>
      <c r="Q1258" s="6" t="s">
        <v>10078</v>
      </c>
      <c r="R1258" s="69" t="s">
        <v>10079</v>
      </c>
      <c r="S1258" s="30"/>
      <c r="T1258" s="18">
        <v>100</v>
      </c>
      <c r="U1258" s="18">
        <v>100</v>
      </c>
      <c r="V1258" s="13" t="s">
        <v>10080</v>
      </c>
      <c r="X1258" s="132">
        <v>1247</v>
      </c>
      <c r="Y1258" s="6"/>
    </row>
    <row r="1259" spans="1:25" ht="15" customHeight="1" x14ac:dyDescent="0.25">
      <c r="A1259" s="12" t="s">
        <v>10088</v>
      </c>
      <c r="B1259" s="13" t="s">
        <v>4977</v>
      </c>
      <c r="C1259" s="14">
        <v>46554</v>
      </c>
      <c r="D1259" s="13" t="s">
        <v>1533</v>
      </c>
      <c r="E1259" s="6" t="s">
        <v>10089</v>
      </c>
      <c r="F1259" s="15" t="s">
        <v>10090</v>
      </c>
      <c r="G1259" s="6" t="s">
        <v>10091</v>
      </c>
      <c r="H1259" s="6" t="s">
        <v>10091</v>
      </c>
      <c r="I1259" s="13" t="s">
        <v>39</v>
      </c>
      <c r="J1259" s="13">
        <v>12</v>
      </c>
      <c r="K1259" s="13" t="s">
        <v>1714</v>
      </c>
      <c r="L1259" s="6" t="s">
        <v>10093</v>
      </c>
      <c r="M1259" s="108" t="s">
        <v>10092</v>
      </c>
      <c r="N1259" s="13" t="s">
        <v>10098</v>
      </c>
      <c r="O1259" s="13" t="s">
        <v>21</v>
      </c>
      <c r="P1259" s="13" t="s">
        <v>9</v>
      </c>
      <c r="Q1259" s="6" t="s">
        <v>10094</v>
      </c>
      <c r="R1259" s="69" t="s">
        <v>10095</v>
      </c>
      <c r="S1259" s="69" t="s">
        <v>10096</v>
      </c>
      <c r="T1259" s="18">
        <v>500</v>
      </c>
      <c r="U1259" s="18">
        <v>300</v>
      </c>
      <c r="V1259" s="13" t="s">
        <v>10097</v>
      </c>
      <c r="X1259" s="132">
        <v>1248</v>
      </c>
      <c r="Y1259" s="6"/>
    </row>
    <row r="1260" spans="1:25" ht="15" customHeight="1" x14ac:dyDescent="0.25">
      <c r="A1260" s="12" t="s">
        <v>10101</v>
      </c>
      <c r="B1260" s="92" t="s">
        <v>4978</v>
      </c>
      <c r="C1260" s="74">
        <v>47285</v>
      </c>
      <c r="D1260" s="13" t="s">
        <v>1533</v>
      </c>
      <c r="E1260" s="6" t="s">
        <v>1752</v>
      </c>
      <c r="F1260" s="15" t="s">
        <v>8779</v>
      </c>
      <c r="G1260" s="6" t="s">
        <v>10102</v>
      </c>
      <c r="H1260" s="6" t="s">
        <v>10102</v>
      </c>
      <c r="I1260" s="13" t="s">
        <v>25</v>
      </c>
      <c r="J1260" s="13">
        <v>3</v>
      </c>
      <c r="K1260" s="13" t="s">
        <v>1714</v>
      </c>
      <c r="L1260" s="6" t="s">
        <v>10103</v>
      </c>
      <c r="M1260" s="108" t="s">
        <v>10104</v>
      </c>
      <c r="N1260" s="13" t="s">
        <v>8</v>
      </c>
      <c r="O1260" s="13" t="s">
        <v>8</v>
      </c>
      <c r="P1260" s="13" t="s">
        <v>9</v>
      </c>
      <c r="Q1260" s="6" t="s">
        <v>10105</v>
      </c>
      <c r="R1260" s="69" t="s">
        <v>10106</v>
      </c>
      <c r="S1260" s="30"/>
      <c r="T1260" s="18">
        <v>25</v>
      </c>
      <c r="U1260" s="18">
        <v>17</v>
      </c>
      <c r="V1260" s="13" t="s">
        <v>10107</v>
      </c>
      <c r="X1260" s="132">
        <v>1249</v>
      </c>
      <c r="Y1260" s="6"/>
    </row>
    <row r="1261" spans="1:25" ht="15" customHeight="1" x14ac:dyDescent="0.25">
      <c r="A1261" s="12" t="s">
        <v>10108</v>
      </c>
      <c r="B1261" s="92" t="s">
        <v>4978</v>
      </c>
      <c r="C1261" s="74">
        <v>47285</v>
      </c>
      <c r="D1261" s="13" t="s">
        <v>33</v>
      </c>
      <c r="E1261" s="6" t="s">
        <v>10116</v>
      </c>
      <c r="F1261" s="15" t="s">
        <v>10109</v>
      </c>
      <c r="G1261" s="6" t="s">
        <v>10110</v>
      </c>
      <c r="H1261" s="6" t="s">
        <v>10110</v>
      </c>
      <c r="I1261" s="13" t="s">
        <v>25</v>
      </c>
      <c r="J1261" s="13">
        <v>3</v>
      </c>
      <c r="K1261" s="13" t="s">
        <v>1714</v>
      </c>
      <c r="L1261" s="6" t="s">
        <v>10111</v>
      </c>
      <c r="M1261" s="108" t="s">
        <v>10112</v>
      </c>
      <c r="N1261" s="13" t="s">
        <v>7773</v>
      </c>
      <c r="O1261" s="13" t="s">
        <v>97</v>
      </c>
      <c r="P1261" s="13" t="s">
        <v>4</v>
      </c>
      <c r="Q1261" s="6" t="s">
        <v>10113</v>
      </c>
      <c r="R1261" s="69" t="s">
        <v>10114</v>
      </c>
      <c r="S1261" s="30"/>
      <c r="T1261" s="18">
        <v>19</v>
      </c>
      <c r="U1261" s="18">
        <v>17</v>
      </c>
      <c r="V1261" s="13" t="s">
        <v>10115</v>
      </c>
      <c r="X1261" s="132">
        <v>1250</v>
      </c>
      <c r="Y1261" s="6"/>
    </row>
    <row r="1262" spans="1:25" ht="15" customHeight="1" x14ac:dyDescent="0.25">
      <c r="A1262" s="12" t="s">
        <v>10141</v>
      </c>
      <c r="B1262" s="13" t="s">
        <v>4977</v>
      </c>
      <c r="C1262" s="14">
        <v>46554</v>
      </c>
      <c r="D1262" s="13" t="s">
        <v>1533</v>
      </c>
      <c r="E1262" s="6" t="s">
        <v>10192</v>
      </c>
      <c r="F1262" s="15" t="s">
        <v>10142</v>
      </c>
      <c r="G1262" s="6" t="s">
        <v>10143</v>
      </c>
      <c r="H1262" s="6" t="s">
        <v>10143</v>
      </c>
      <c r="I1262" s="13" t="s">
        <v>39</v>
      </c>
      <c r="J1262" s="13">
        <v>12</v>
      </c>
      <c r="K1262" s="13" t="s">
        <v>1714</v>
      </c>
      <c r="L1262" s="6" t="s">
        <v>10144</v>
      </c>
      <c r="M1262" s="108" t="s">
        <v>10145</v>
      </c>
      <c r="N1262" s="13" t="s">
        <v>4879</v>
      </c>
      <c r="O1262" s="13" t="s">
        <v>53</v>
      </c>
      <c r="P1262" s="13" t="s">
        <v>54</v>
      </c>
      <c r="Q1262" s="6" t="s">
        <v>10146</v>
      </c>
      <c r="R1262" s="69" t="s">
        <v>10147</v>
      </c>
      <c r="S1262" s="69" t="s">
        <v>10193</v>
      </c>
      <c r="T1262" s="18">
        <v>4766</v>
      </c>
      <c r="U1262" s="18">
        <v>4051</v>
      </c>
      <c r="V1262" s="13" t="s">
        <v>10148</v>
      </c>
      <c r="X1262" s="132">
        <v>1251</v>
      </c>
      <c r="Y1262" s="6"/>
    </row>
    <row r="1263" spans="1:25" ht="15" customHeight="1" x14ac:dyDescent="0.25">
      <c r="A1263" s="12" t="s">
        <v>10149</v>
      </c>
      <c r="B1263" s="13" t="s">
        <v>4977</v>
      </c>
      <c r="C1263" s="14">
        <v>46554</v>
      </c>
      <c r="D1263" s="13" t="s">
        <v>1533</v>
      </c>
      <c r="E1263" s="6" t="s">
        <v>10192</v>
      </c>
      <c r="F1263" s="15" t="s">
        <v>10150</v>
      </c>
      <c r="G1263" s="6" t="s">
        <v>10143</v>
      </c>
      <c r="H1263" s="6" t="s">
        <v>10143</v>
      </c>
      <c r="I1263" s="13" t="s">
        <v>39</v>
      </c>
      <c r="J1263" s="13">
        <v>12</v>
      </c>
      <c r="K1263" s="13" t="s">
        <v>1714</v>
      </c>
      <c r="L1263" s="6" t="s">
        <v>10144</v>
      </c>
      <c r="M1263" s="108" t="s">
        <v>10145</v>
      </c>
      <c r="N1263" s="13" t="s">
        <v>4879</v>
      </c>
      <c r="O1263" s="13" t="s">
        <v>53</v>
      </c>
      <c r="P1263" s="13" t="s">
        <v>54</v>
      </c>
      <c r="Q1263" s="6" t="s">
        <v>10146</v>
      </c>
      <c r="R1263" s="69" t="s">
        <v>10147</v>
      </c>
      <c r="S1263" s="69" t="s">
        <v>10193</v>
      </c>
      <c r="T1263" s="18">
        <v>110</v>
      </c>
      <c r="U1263" s="18">
        <v>55</v>
      </c>
      <c r="V1263" s="13" t="s">
        <v>10148</v>
      </c>
      <c r="X1263" s="132">
        <v>1252</v>
      </c>
      <c r="Y1263" s="6"/>
    </row>
    <row r="1264" spans="1:25" ht="15" customHeight="1" x14ac:dyDescent="0.25">
      <c r="A1264" s="12" t="s">
        <v>10151</v>
      </c>
      <c r="B1264" s="13" t="s">
        <v>4977</v>
      </c>
      <c r="C1264" s="14">
        <v>46554</v>
      </c>
      <c r="D1264" s="13" t="s">
        <v>1533</v>
      </c>
      <c r="E1264" s="6" t="s">
        <v>10192</v>
      </c>
      <c r="F1264" s="15" t="s">
        <v>10152</v>
      </c>
      <c r="G1264" s="6" t="s">
        <v>10143</v>
      </c>
      <c r="H1264" s="6" t="s">
        <v>10143</v>
      </c>
      <c r="I1264" s="13" t="s">
        <v>39</v>
      </c>
      <c r="J1264" s="13">
        <v>12</v>
      </c>
      <c r="K1264" s="13" t="s">
        <v>1714</v>
      </c>
      <c r="L1264" s="6" t="s">
        <v>10144</v>
      </c>
      <c r="M1264" s="108" t="s">
        <v>10145</v>
      </c>
      <c r="N1264" s="13" t="s">
        <v>4879</v>
      </c>
      <c r="O1264" s="13" t="s">
        <v>53</v>
      </c>
      <c r="P1264" s="13" t="s">
        <v>54</v>
      </c>
      <c r="Q1264" s="6" t="s">
        <v>10153</v>
      </c>
      <c r="R1264" s="69" t="s">
        <v>10147</v>
      </c>
      <c r="S1264" s="69" t="s">
        <v>10193</v>
      </c>
      <c r="T1264" s="18">
        <v>30</v>
      </c>
      <c r="U1264" s="18">
        <v>30</v>
      </c>
      <c r="V1264" s="13" t="s">
        <v>10148</v>
      </c>
      <c r="X1264" s="132">
        <v>1253</v>
      </c>
      <c r="Y1264" s="6"/>
    </row>
    <row r="1265" spans="1:25" ht="15" customHeight="1" x14ac:dyDescent="0.25">
      <c r="A1265" s="12" t="s">
        <v>10155</v>
      </c>
      <c r="B1265" s="13" t="s">
        <v>4977</v>
      </c>
      <c r="C1265" s="14">
        <v>46554</v>
      </c>
      <c r="D1265" s="13" t="s">
        <v>1533</v>
      </c>
      <c r="E1265" s="6" t="s">
        <v>10156</v>
      </c>
      <c r="F1265" s="15" t="s">
        <v>10180</v>
      </c>
      <c r="G1265" s="6" t="s">
        <v>10157</v>
      </c>
      <c r="H1265" s="6" t="s">
        <v>10157</v>
      </c>
      <c r="I1265" s="13" t="s">
        <v>39</v>
      </c>
      <c r="J1265" s="13">
        <v>12</v>
      </c>
      <c r="K1265" s="13" t="s">
        <v>1714</v>
      </c>
      <c r="L1265" s="6" t="s">
        <v>10161</v>
      </c>
      <c r="M1265" s="108" t="s">
        <v>10162</v>
      </c>
      <c r="N1265" s="13" t="s">
        <v>2145</v>
      </c>
      <c r="O1265" s="13" t="s">
        <v>2146</v>
      </c>
      <c r="P1265" s="13" t="s">
        <v>68</v>
      </c>
      <c r="Q1265" s="6" t="s">
        <v>10158</v>
      </c>
      <c r="R1265" s="69" t="s">
        <v>10159</v>
      </c>
      <c r="S1265" s="30"/>
      <c r="T1265" s="18">
        <v>45</v>
      </c>
      <c r="U1265" s="18">
        <v>45</v>
      </c>
      <c r="V1265" s="13" t="s">
        <v>10160</v>
      </c>
      <c r="X1265" s="132">
        <v>1254</v>
      </c>
      <c r="Y1265" s="6"/>
    </row>
    <row r="1266" spans="1:25" ht="15" customHeight="1" x14ac:dyDescent="0.25">
      <c r="A1266" s="19" t="s">
        <v>10181</v>
      </c>
      <c r="B1266" s="13" t="s">
        <v>4977</v>
      </c>
      <c r="C1266" s="14">
        <v>46568</v>
      </c>
      <c r="D1266" s="13" t="s">
        <v>1533</v>
      </c>
      <c r="E1266" s="6" t="s">
        <v>10182</v>
      </c>
      <c r="F1266" s="15" t="s">
        <v>10183</v>
      </c>
      <c r="G1266" s="6" t="s">
        <v>10184</v>
      </c>
      <c r="H1266" s="6" t="s">
        <v>10184</v>
      </c>
      <c r="I1266" s="13" t="s">
        <v>39</v>
      </c>
      <c r="J1266" s="13">
        <v>12</v>
      </c>
      <c r="K1266" s="13" t="s">
        <v>1714</v>
      </c>
      <c r="L1266" s="6" t="s">
        <v>10185</v>
      </c>
      <c r="M1266" s="108" t="s">
        <v>10186</v>
      </c>
      <c r="N1266" s="13" t="s">
        <v>2161</v>
      </c>
      <c r="O1266" s="13" t="s">
        <v>2146</v>
      </c>
      <c r="P1266" s="13" t="s">
        <v>68</v>
      </c>
      <c r="Q1266" s="6" t="s">
        <v>10187</v>
      </c>
      <c r="R1266" s="69" t="s">
        <v>10188</v>
      </c>
      <c r="S1266" s="30"/>
      <c r="T1266" s="18">
        <v>30</v>
      </c>
      <c r="U1266" s="18">
        <v>30</v>
      </c>
      <c r="V1266" s="13" t="s">
        <v>10189</v>
      </c>
      <c r="X1266" s="132">
        <v>1255</v>
      </c>
      <c r="Y1266" s="6"/>
    </row>
    <row r="1267" spans="1:25" ht="15" customHeight="1" x14ac:dyDescent="0.25">
      <c r="A1267" s="19" t="s">
        <v>10206</v>
      </c>
      <c r="B1267" s="79" t="s">
        <v>4977</v>
      </c>
      <c r="C1267" s="80">
        <v>46568</v>
      </c>
      <c r="D1267" s="79" t="s">
        <v>33</v>
      </c>
      <c r="E1267" s="81" t="s">
        <v>10207</v>
      </c>
      <c r="F1267" s="82" t="s">
        <v>10208</v>
      </c>
      <c r="G1267" s="81" t="s">
        <v>10209</v>
      </c>
      <c r="H1267" s="81" t="s">
        <v>10209</v>
      </c>
      <c r="I1267" s="79" t="s">
        <v>25</v>
      </c>
      <c r="J1267" s="79">
        <v>3</v>
      </c>
      <c r="K1267" s="79" t="s">
        <v>1714</v>
      </c>
      <c r="L1267" s="81" t="s">
        <v>10210</v>
      </c>
      <c r="M1267" s="109" t="s">
        <v>10211</v>
      </c>
      <c r="N1267" s="79" t="s">
        <v>8351</v>
      </c>
      <c r="O1267" s="13" t="s">
        <v>136</v>
      </c>
      <c r="P1267" s="13" t="s">
        <v>4</v>
      </c>
      <c r="Q1267" s="81" t="s">
        <v>10212</v>
      </c>
      <c r="R1267" s="69" t="s">
        <v>10213</v>
      </c>
      <c r="S1267" s="84"/>
      <c r="T1267" s="85">
        <v>18</v>
      </c>
      <c r="U1267" s="85">
        <v>18</v>
      </c>
      <c r="V1267" s="79" t="s">
        <v>10214</v>
      </c>
      <c r="W1267" s="81"/>
      <c r="X1267" s="132">
        <v>1256</v>
      </c>
      <c r="Y1267" s="6"/>
    </row>
    <row r="1268" spans="1:25" ht="15" customHeight="1" x14ac:dyDescent="0.25">
      <c r="A1268" s="12" t="s">
        <v>10225</v>
      </c>
      <c r="B1268" s="92" t="s">
        <v>4978</v>
      </c>
      <c r="C1268" s="102">
        <v>46584</v>
      </c>
      <c r="D1268" s="79" t="s">
        <v>33</v>
      </c>
      <c r="E1268" s="81" t="s">
        <v>10226</v>
      </c>
      <c r="F1268" s="15" t="s">
        <v>10234</v>
      </c>
      <c r="G1268" s="86" t="s">
        <v>10227</v>
      </c>
      <c r="H1268" s="81" t="s">
        <v>10227</v>
      </c>
      <c r="I1268" s="79" t="s">
        <v>25</v>
      </c>
      <c r="J1268" s="79">
        <v>3</v>
      </c>
      <c r="K1268" s="79" t="s">
        <v>1714</v>
      </c>
      <c r="L1268" s="81" t="s">
        <v>10228</v>
      </c>
      <c r="M1268" s="109" t="s">
        <v>10229</v>
      </c>
      <c r="N1268" s="79" t="s">
        <v>10230</v>
      </c>
      <c r="O1268" s="13" t="s">
        <v>1889</v>
      </c>
      <c r="P1268" s="13" t="s">
        <v>68</v>
      </c>
      <c r="Q1268" s="81" t="s">
        <v>10231</v>
      </c>
      <c r="R1268" s="89" t="s">
        <v>10232</v>
      </c>
      <c r="S1268" s="84"/>
      <c r="T1268" s="85">
        <v>14</v>
      </c>
      <c r="U1268" s="85">
        <v>10</v>
      </c>
      <c r="V1268" s="79" t="s">
        <v>10233</v>
      </c>
      <c r="W1268" s="81"/>
      <c r="X1268" s="132">
        <v>1257</v>
      </c>
      <c r="Y1268" s="6"/>
    </row>
    <row r="1269" spans="1:25" ht="15" customHeight="1" x14ac:dyDescent="0.25">
      <c r="A1269" s="12" t="s">
        <v>10239</v>
      </c>
      <c r="B1269" s="79" t="s">
        <v>4977</v>
      </c>
      <c r="C1269" s="80">
        <v>46584</v>
      </c>
      <c r="D1269" s="79" t="s">
        <v>1533</v>
      </c>
      <c r="E1269" s="81" t="s">
        <v>10240</v>
      </c>
      <c r="F1269" s="82" t="s">
        <v>10241</v>
      </c>
      <c r="G1269" s="81" t="s">
        <v>10242</v>
      </c>
      <c r="H1269" s="81" t="s">
        <v>10242</v>
      </c>
      <c r="I1269" s="79" t="s">
        <v>39</v>
      </c>
      <c r="J1269" s="79">
        <v>12</v>
      </c>
      <c r="K1269" s="79" t="s">
        <v>1714</v>
      </c>
      <c r="L1269" s="81" t="s">
        <v>10243</v>
      </c>
      <c r="M1269" s="109" t="s">
        <v>10244</v>
      </c>
      <c r="N1269" s="79" t="s">
        <v>9728</v>
      </c>
      <c r="O1269" s="13" t="s">
        <v>743</v>
      </c>
      <c r="P1269" s="13" t="s">
        <v>16</v>
      </c>
      <c r="Q1269" s="81" t="s">
        <v>10245</v>
      </c>
      <c r="R1269" s="69" t="s">
        <v>10246</v>
      </c>
      <c r="S1269" s="84"/>
      <c r="T1269" s="85">
        <v>500</v>
      </c>
      <c r="U1269" s="85">
        <v>150</v>
      </c>
      <c r="V1269" s="79" t="s">
        <v>10247</v>
      </c>
      <c r="W1269" s="81"/>
      <c r="X1269" s="132">
        <v>1258</v>
      </c>
      <c r="Y1269" s="6"/>
    </row>
    <row r="1270" spans="1:25" ht="15" customHeight="1" x14ac:dyDescent="0.25">
      <c r="A1270" s="12" t="s">
        <v>10259</v>
      </c>
      <c r="B1270" s="79" t="s">
        <v>4977</v>
      </c>
      <c r="C1270" s="80">
        <v>46584</v>
      </c>
      <c r="D1270" s="79" t="s">
        <v>1533</v>
      </c>
      <c r="E1270" s="81" t="s">
        <v>10260</v>
      </c>
      <c r="F1270" s="82" t="s">
        <v>10261</v>
      </c>
      <c r="G1270" s="81" t="s">
        <v>10262</v>
      </c>
      <c r="H1270" s="81" t="s">
        <v>10262</v>
      </c>
      <c r="I1270" s="79" t="s">
        <v>39</v>
      </c>
      <c r="J1270" s="79">
        <v>12</v>
      </c>
      <c r="K1270" s="79" t="s">
        <v>1714</v>
      </c>
      <c r="L1270" s="81" t="s">
        <v>10263</v>
      </c>
      <c r="M1270" s="109" t="s">
        <v>10264</v>
      </c>
      <c r="N1270" s="79" t="s">
        <v>10269</v>
      </c>
      <c r="O1270" s="13" t="s">
        <v>165</v>
      </c>
      <c r="P1270" s="13" t="s">
        <v>9</v>
      </c>
      <c r="Q1270" s="81" t="s">
        <v>10265</v>
      </c>
      <c r="R1270" s="69" t="s">
        <v>10266</v>
      </c>
      <c r="S1270" s="69" t="s">
        <v>10267</v>
      </c>
      <c r="T1270" s="85">
        <v>60</v>
      </c>
      <c r="U1270" s="85">
        <v>60</v>
      </c>
      <c r="V1270" s="79" t="s">
        <v>10268</v>
      </c>
      <c r="W1270" s="81"/>
      <c r="X1270" s="132">
        <v>1259</v>
      </c>
      <c r="Y1270" s="6"/>
    </row>
    <row r="1271" spans="1:25" ht="15" customHeight="1" x14ac:dyDescent="0.25">
      <c r="A1271" s="12" t="s">
        <v>10270</v>
      </c>
      <c r="B1271" s="79" t="s">
        <v>4977</v>
      </c>
      <c r="C1271" s="80">
        <v>46584</v>
      </c>
      <c r="D1271" s="79" t="s">
        <v>33</v>
      </c>
      <c r="E1271" s="81" t="s">
        <v>10271</v>
      </c>
      <c r="F1271" s="82" t="s">
        <v>10359</v>
      </c>
      <c r="G1271" s="81" t="s">
        <v>10272</v>
      </c>
      <c r="H1271" s="81" t="s">
        <v>10272</v>
      </c>
      <c r="I1271" s="79" t="s">
        <v>25</v>
      </c>
      <c r="J1271" s="79">
        <v>3</v>
      </c>
      <c r="K1271" s="79" t="s">
        <v>1714</v>
      </c>
      <c r="L1271" s="81" t="s">
        <v>10273</v>
      </c>
      <c r="M1271" s="109" t="s">
        <v>10274</v>
      </c>
      <c r="N1271" s="79" t="s">
        <v>10275</v>
      </c>
      <c r="O1271" s="13" t="s">
        <v>165</v>
      </c>
      <c r="P1271" s="13" t="s">
        <v>9</v>
      </c>
      <c r="Q1271" s="81" t="s">
        <v>10276</v>
      </c>
      <c r="R1271" s="69" t="s">
        <v>10277</v>
      </c>
      <c r="S1271" s="84"/>
      <c r="T1271" s="85">
        <v>12</v>
      </c>
      <c r="U1271" s="85">
        <v>10</v>
      </c>
      <c r="V1271" s="79" t="s">
        <v>10278</v>
      </c>
      <c r="W1271" s="81"/>
      <c r="X1271" s="132">
        <v>1260</v>
      </c>
      <c r="Y1271" s="6"/>
    </row>
    <row r="1272" spans="1:25" ht="15" customHeight="1" x14ac:dyDescent="0.25">
      <c r="A1272" s="12" t="s">
        <v>10279</v>
      </c>
      <c r="B1272" s="79" t="s">
        <v>4977</v>
      </c>
      <c r="C1272" s="80">
        <v>46584</v>
      </c>
      <c r="D1272" s="79" t="s">
        <v>1533</v>
      </c>
      <c r="E1272" s="6" t="s">
        <v>10288</v>
      </c>
      <c r="F1272" s="82" t="s">
        <v>10280</v>
      </c>
      <c r="G1272" s="81" t="s">
        <v>10281</v>
      </c>
      <c r="H1272" s="81" t="s">
        <v>10281</v>
      </c>
      <c r="I1272" s="79" t="s">
        <v>39</v>
      </c>
      <c r="J1272" s="79">
        <v>12</v>
      </c>
      <c r="K1272" s="79" t="s">
        <v>1714</v>
      </c>
      <c r="L1272" s="81" t="s">
        <v>10282</v>
      </c>
      <c r="M1272" s="109" t="s">
        <v>10283</v>
      </c>
      <c r="N1272" s="79" t="s">
        <v>10284</v>
      </c>
      <c r="O1272" s="13" t="s">
        <v>53</v>
      </c>
      <c r="P1272" s="13" t="s">
        <v>54</v>
      </c>
      <c r="Q1272" s="81" t="s">
        <v>10285</v>
      </c>
      <c r="R1272" s="69" t="s">
        <v>10286</v>
      </c>
      <c r="S1272" s="84"/>
      <c r="T1272" s="85">
        <v>30</v>
      </c>
      <c r="U1272" s="85">
        <v>30</v>
      </c>
      <c r="V1272" s="79" t="s">
        <v>10287</v>
      </c>
      <c r="W1272" s="81"/>
      <c r="X1272" s="132">
        <v>1261</v>
      </c>
      <c r="Y1272" s="6"/>
    </row>
    <row r="1273" spans="1:25" ht="15" customHeight="1" x14ac:dyDescent="0.25">
      <c r="A1273" s="12" t="s">
        <v>10289</v>
      </c>
      <c r="B1273" s="92" t="s">
        <v>4978</v>
      </c>
      <c r="C1273" s="102">
        <v>47315</v>
      </c>
      <c r="D1273" s="79" t="s">
        <v>33</v>
      </c>
      <c r="E1273" s="81" t="s">
        <v>10290</v>
      </c>
      <c r="F1273" s="82" t="s">
        <v>10291</v>
      </c>
      <c r="G1273" s="81" t="s">
        <v>10292</v>
      </c>
      <c r="H1273" s="81" t="s">
        <v>10292</v>
      </c>
      <c r="I1273" s="79" t="s">
        <v>25</v>
      </c>
      <c r="J1273" s="79">
        <v>3</v>
      </c>
      <c r="K1273" s="79" t="s">
        <v>1714</v>
      </c>
      <c r="L1273" s="81" t="s">
        <v>10293</v>
      </c>
      <c r="M1273" s="109" t="s">
        <v>10294</v>
      </c>
      <c r="N1273" s="79" t="s">
        <v>3141</v>
      </c>
      <c r="O1273" s="13" t="s">
        <v>97</v>
      </c>
      <c r="P1273" s="13" t="s">
        <v>4</v>
      </c>
      <c r="Q1273" s="81" t="s">
        <v>10295</v>
      </c>
      <c r="R1273" s="69" t="s">
        <v>10296</v>
      </c>
      <c r="S1273" s="84"/>
      <c r="T1273" s="85">
        <v>14</v>
      </c>
      <c r="U1273" s="85">
        <v>14</v>
      </c>
      <c r="V1273" s="79" t="s">
        <v>10297</v>
      </c>
      <c r="W1273" s="81"/>
      <c r="X1273" s="132">
        <v>1262</v>
      </c>
      <c r="Y1273" s="6"/>
    </row>
    <row r="1274" spans="1:25" ht="15" customHeight="1" x14ac:dyDescent="0.25">
      <c r="A1274" s="12" t="s">
        <v>10298</v>
      </c>
      <c r="B1274" s="79" t="s">
        <v>4977</v>
      </c>
      <c r="C1274" s="80">
        <v>46584</v>
      </c>
      <c r="D1274" s="79" t="s">
        <v>1533</v>
      </c>
      <c r="E1274" s="81" t="s">
        <v>10299</v>
      </c>
      <c r="F1274" s="82" t="s">
        <v>10300</v>
      </c>
      <c r="G1274" s="81" t="s">
        <v>10301</v>
      </c>
      <c r="H1274" s="81" t="s">
        <v>10301</v>
      </c>
      <c r="I1274" s="79" t="s">
        <v>39</v>
      </c>
      <c r="J1274" s="79">
        <v>12</v>
      </c>
      <c r="K1274" s="79" t="s">
        <v>1714</v>
      </c>
      <c r="L1274" s="81" t="s">
        <v>10302</v>
      </c>
      <c r="M1274" s="109" t="s">
        <v>10303</v>
      </c>
      <c r="N1274" s="79" t="s">
        <v>10304</v>
      </c>
      <c r="O1274" s="13" t="s">
        <v>11948</v>
      </c>
      <c r="P1274" s="13" t="s">
        <v>68</v>
      </c>
      <c r="Q1274" s="81" t="s">
        <v>10305</v>
      </c>
      <c r="R1274" s="69" t="s">
        <v>10306</v>
      </c>
      <c r="S1274" s="84"/>
      <c r="T1274" s="85">
        <v>30</v>
      </c>
      <c r="U1274" s="85">
        <v>30</v>
      </c>
      <c r="V1274" s="79" t="s">
        <v>10307</v>
      </c>
      <c r="W1274" s="81"/>
      <c r="X1274" s="132">
        <v>1263</v>
      </c>
      <c r="Y1274" s="6"/>
    </row>
    <row r="1275" spans="1:25" ht="15" customHeight="1" x14ac:dyDescent="0.25">
      <c r="A1275" s="12" t="s">
        <v>10323</v>
      </c>
      <c r="B1275" s="79" t="s">
        <v>4977</v>
      </c>
      <c r="C1275" s="80">
        <v>46584</v>
      </c>
      <c r="D1275" s="79" t="s">
        <v>33</v>
      </c>
      <c r="E1275" s="81" t="s">
        <v>10315</v>
      </c>
      <c r="F1275" s="15" t="s">
        <v>10324</v>
      </c>
      <c r="G1275" s="81" t="s">
        <v>10316</v>
      </c>
      <c r="H1275" s="81" t="s">
        <v>10316</v>
      </c>
      <c r="I1275" s="79" t="s">
        <v>25</v>
      </c>
      <c r="J1275" s="79">
        <v>3</v>
      </c>
      <c r="K1275" s="79" t="s">
        <v>1714</v>
      </c>
      <c r="L1275" s="81" t="s">
        <v>10317</v>
      </c>
      <c r="M1275" s="109" t="s">
        <v>10318</v>
      </c>
      <c r="N1275" s="79" t="s">
        <v>10319</v>
      </c>
      <c r="O1275" s="13" t="s">
        <v>165</v>
      </c>
      <c r="P1275" s="13" t="s">
        <v>9</v>
      </c>
      <c r="Q1275" s="81" t="s">
        <v>10320</v>
      </c>
      <c r="R1275" s="69" t="s">
        <v>10321</v>
      </c>
      <c r="S1275" s="84"/>
      <c r="T1275" s="85">
        <v>25</v>
      </c>
      <c r="U1275" s="85">
        <v>22</v>
      </c>
      <c r="V1275" s="79" t="s">
        <v>10322</v>
      </c>
      <c r="W1275" s="81"/>
      <c r="X1275" s="132">
        <v>1264</v>
      </c>
      <c r="Y1275" s="6"/>
    </row>
    <row r="1276" spans="1:25" ht="15" customHeight="1" x14ac:dyDescent="0.25">
      <c r="A1276" s="12" t="s">
        <v>10325</v>
      </c>
      <c r="B1276" s="92" t="s">
        <v>4978</v>
      </c>
      <c r="C1276" s="74">
        <v>47315</v>
      </c>
      <c r="D1276" s="13" t="s">
        <v>33</v>
      </c>
      <c r="E1276" s="6" t="s">
        <v>10315</v>
      </c>
      <c r="F1276" s="15" t="s">
        <v>10326</v>
      </c>
      <c r="G1276" s="6" t="s">
        <v>10327</v>
      </c>
      <c r="H1276" s="6" t="s">
        <v>10327</v>
      </c>
      <c r="I1276" s="13" t="s">
        <v>25</v>
      </c>
      <c r="J1276" s="13">
        <v>3</v>
      </c>
      <c r="K1276" s="13" t="s">
        <v>1714</v>
      </c>
      <c r="L1276" s="6" t="s">
        <v>10328</v>
      </c>
      <c r="M1276" s="108" t="s">
        <v>10329</v>
      </c>
      <c r="N1276" s="13" t="s">
        <v>10330</v>
      </c>
      <c r="O1276" s="13" t="s">
        <v>165</v>
      </c>
      <c r="P1276" s="13" t="s">
        <v>9</v>
      </c>
      <c r="Q1276" s="6" t="s">
        <v>10331</v>
      </c>
      <c r="R1276" s="69" t="s">
        <v>10321</v>
      </c>
      <c r="S1276" s="30"/>
      <c r="T1276" s="18">
        <v>21</v>
      </c>
      <c r="U1276" s="18">
        <v>20</v>
      </c>
      <c r="V1276" s="13" t="s">
        <v>10332</v>
      </c>
      <c r="X1276" s="132">
        <v>1265</v>
      </c>
      <c r="Y1276" s="6"/>
    </row>
    <row r="1277" spans="1:25" ht="15" customHeight="1" x14ac:dyDescent="0.25">
      <c r="A1277" s="12" t="s">
        <v>10333</v>
      </c>
      <c r="B1277" s="79" t="s">
        <v>4977</v>
      </c>
      <c r="C1277" s="80">
        <v>46584</v>
      </c>
      <c r="D1277" s="79" t="s">
        <v>33</v>
      </c>
      <c r="E1277" s="81" t="s">
        <v>10334</v>
      </c>
      <c r="F1277" s="82" t="s">
        <v>10335</v>
      </c>
      <c r="G1277" s="81" t="s">
        <v>10336</v>
      </c>
      <c r="H1277" s="81" t="s">
        <v>10336</v>
      </c>
      <c r="I1277" s="79" t="s">
        <v>25</v>
      </c>
      <c r="J1277" s="79">
        <v>3</v>
      </c>
      <c r="K1277" s="79" t="s">
        <v>1714</v>
      </c>
      <c r="L1277" s="81" t="s">
        <v>10337</v>
      </c>
      <c r="M1277" s="109" t="s">
        <v>10338</v>
      </c>
      <c r="N1277" s="79" t="s">
        <v>8351</v>
      </c>
      <c r="O1277" s="13" t="s">
        <v>136</v>
      </c>
      <c r="P1277" s="13" t="s">
        <v>4</v>
      </c>
      <c r="Q1277" s="81" t="s">
        <v>10339</v>
      </c>
      <c r="R1277" s="69" t="s">
        <v>10213</v>
      </c>
      <c r="S1277" s="84"/>
      <c r="T1277" s="85">
        <v>22</v>
      </c>
      <c r="U1277" s="85">
        <v>18</v>
      </c>
      <c r="V1277" s="79" t="s">
        <v>10340</v>
      </c>
      <c r="W1277" s="81"/>
      <c r="X1277" s="132">
        <v>1266</v>
      </c>
      <c r="Y1277" s="6"/>
    </row>
    <row r="1278" spans="1:25" ht="15" customHeight="1" x14ac:dyDescent="0.25">
      <c r="A1278" s="12" t="s">
        <v>10343</v>
      </c>
      <c r="B1278" s="92" t="s">
        <v>4978</v>
      </c>
      <c r="C1278" s="102">
        <v>47315</v>
      </c>
      <c r="D1278" s="79" t="s">
        <v>33</v>
      </c>
      <c r="E1278" s="81" t="s">
        <v>10344</v>
      </c>
      <c r="F1278" s="82" t="s">
        <v>10345</v>
      </c>
      <c r="G1278" s="81" t="s">
        <v>10346</v>
      </c>
      <c r="H1278" s="81" t="s">
        <v>10346</v>
      </c>
      <c r="I1278" s="79" t="s">
        <v>25</v>
      </c>
      <c r="J1278" s="79">
        <v>3</v>
      </c>
      <c r="K1278" s="79" t="s">
        <v>1714</v>
      </c>
      <c r="L1278" s="81" t="s">
        <v>10347</v>
      </c>
      <c r="M1278" s="109" t="s">
        <v>10348</v>
      </c>
      <c r="N1278" s="79" t="s">
        <v>240</v>
      </c>
      <c r="O1278" s="13" t="s">
        <v>240</v>
      </c>
      <c r="P1278" s="13" t="s">
        <v>16</v>
      </c>
      <c r="Q1278" s="81" t="s">
        <v>10349</v>
      </c>
      <c r="R1278" s="69" t="s">
        <v>10350</v>
      </c>
      <c r="S1278" s="84"/>
      <c r="T1278" s="85">
        <v>30</v>
      </c>
      <c r="U1278" s="85">
        <v>16</v>
      </c>
      <c r="V1278" s="79" t="s">
        <v>10351</v>
      </c>
      <c r="W1278" s="81"/>
      <c r="X1278" s="132">
        <v>1267</v>
      </c>
      <c r="Y1278" s="6"/>
    </row>
    <row r="1279" spans="1:25" ht="15" customHeight="1" x14ac:dyDescent="0.25">
      <c r="A1279" s="19" t="s">
        <v>10365</v>
      </c>
      <c r="B1279" s="92" t="s">
        <v>4978</v>
      </c>
      <c r="C1279" s="102">
        <v>47331</v>
      </c>
      <c r="D1279" s="79" t="s">
        <v>33</v>
      </c>
      <c r="E1279" s="81" t="s">
        <v>10366</v>
      </c>
      <c r="F1279" s="82" t="s">
        <v>10367</v>
      </c>
      <c r="G1279" s="81" t="s">
        <v>10368</v>
      </c>
      <c r="H1279" s="81" t="s">
        <v>10368</v>
      </c>
      <c r="I1279" s="79" t="s">
        <v>25</v>
      </c>
      <c r="J1279" s="79">
        <v>3</v>
      </c>
      <c r="K1279" s="79" t="s">
        <v>1714</v>
      </c>
      <c r="L1279" s="81" t="s">
        <v>10369</v>
      </c>
      <c r="M1279" s="109" t="s">
        <v>10370</v>
      </c>
      <c r="N1279" s="79" t="s">
        <v>2667</v>
      </c>
      <c r="O1279" s="13" t="s">
        <v>177</v>
      </c>
      <c r="P1279" s="13" t="s">
        <v>9</v>
      </c>
      <c r="Q1279" s="81" t="s">
        <v>10371</v>
      </c>
      <c r="R1279" s="69" t="s">
        <v>10372</v>
      </c>
      <c r="S1279" s="69" t="s">
        <v>10373</v>
      </c>
      <c r="T1279" s="85">
        <v>20</v>
      </c>
      <c r="U1279" s="85">
        <v>20</v>
      </c>
      <c r="V1279" s="13" t="s">
        <v>10374</v>
      </c>
      <c r="W1279" s="81"/>
      <c r="X1279" s="132">
        <v>1268</v>
      </c>
      <c r="Y1279" s="6"/>
    </row>
    <row r="1280" spans="1:25" ht="15" customHeight="1" x14ac:dyDescent="0.25">
      <c r="A1280" s="12" t="s">
        <v>12265</v>
      </c>
      <c r="B1280" s="145" t="s">
        <v>4978</v>
      </c>
      <c r="C1280" s="146">
        <v>47679</v>
      </c>
      <c r="D1280" s="145" t="s">
        <v>33</v>
      </c>
      <c r="E1280" s="147" t="s">
        <v>10366</v>
      </c>
      <c r="F1280" s="148" t="s">
        <v>10367</v>
      </c>
      <c r="G1280" s="147" t="s">
        <v>12266</v>
      </c>
      <c r="H1280" s="147" t="s">
        <v>12266</v>
      </c>
      <c r="I1280" s="145" t="s">
        <v>25</v>
      </c>
      <c r="J1280" s="145">
        <v>3</v>
      </c>
      <c r="K1280" s="145" t="s">
        <v>10388</v>
      </c>
      <c r="L1280" s="147" t="s">
        <v>12267</v>
      </c>
      <c r="M1280" s="149" t="s">
        <v>2665</v>
      </c>
      <c r="N1280" s="145" t="s">
        <v>2667</v>
      </c>
      <c r="O1280" s="145" t="s">
        <v>177</v>
      </c>
      <c r="P1280" s="145" t="s">
        <v>9</v>
      </c>
      <c r="Q1280" s="147" t="s">
        <v>12268</v>
      </c>
      <c r="R1280" s="69" t="s">
        <v>10372</v>
      </c>
      <c r="S1280" s="150"/>
      <c r="T1280" s="151">
        <v>24</v>
      </c>
      <c r="U1280" s="151">
        <v>19</v>
      </c>
      <c r="V1280" s="145" t="s">
        <v>10374</v>
      </c>
      <c r="W1280" s="147"/>
      <c r="X1280" s="152"/>
      <c r="Y1280" s="6"/>
    </row>
    <row r="1281" spans="1:25" ht="15" customHeight="1" x14ac:dyDescent="0.25">
      <c r="A1281" s="19" t="s">
        <v>10386</v>
      </c>
      <c r="B1281" s="92" t="s">
        <v>4978</v>
      </c>
      <c r="C1281" s="74">
        <v>47331</v>
      </c>
      <c r="D1281" s="13" t="s">
        <v>33</v>
      </c>
      <c r="E1281" s="6" t="s">
        <v>10392</v>
      </c>
      <c r="F1281" s="15" t="s">
        <v>10393</v>
      </c>
      <c r="G1281" t="s">
        <v>10387</v>
      </c>
      <c r="H1281" t="s">
        <v>10387</v>
      </c>
      <c r="I1281" s="13" t="s">
        <v>25</v>
      </c>
      <c r="J1281" s="13">
        <v>3</v>
      </c>
      <c r="K1281" s="13" t="s">
        <v>10388</v>
      </c>
      <c r="L1281" s="6" t="s">
        <v>10389</v>
      </c>
      <c r="M1281" s="108" t="s">
        <v>10390</v>
      </c>
      <c r="N1281" s="13" t="s">
        <v>4161</v>
      </c>
      <c r="O1281" s="13" t="s">
        <v>2085</v>
      </c>
      <c r="P1281" s="13" t="s">
        <v>68</v>
      </c>
      <c r="Q1281" s="6" t="s">
        <v>3786</v>
      </c>
      <c r="R1281" s="69" t="s">
        <v>4682</v>
      </c>
      <c r="S1281" s="30"/>
      <c r="T1281" s="18">
        <v>21</v>
      </c>
      <c r="U1281" s="18">
        <v>21</v>
      </c>
      <c r="V1281" s="13" t="s">
        <v>10391</v>
      </c>
      <c r="X1281" s="132">
        <v>1269</v>
      </c>
      <c r="Y1281" s="6"/>
    </row>
    <row r="1282" spans="1:25" ht="15" customHeight="1" x14ac:dyDescent="0.25">
      <c r="A1282" s="12" t="s">
        <v>10404</v>
      </c>
      <c r="B1282" s="92" t="s">
        <v>4978</v>
      </c>
      <c r="C1282" s="102">
        <v>47345</v>
      </c>
      <c r="D1282" s="79" t="s">
        <v>1533</v>
      </c>
      <c r="E1282" s="81" t="s">
        <v>10405</v>
      </c>
      <c r="F1282" s="82" t="s">
        <v>10405</v>
      </c>
      <c r="G1282" s="81" t="s">
        <v>10406</v>
      </c>
      <c r="H1282" s="81" t="s">
        <v>10406</v>
      </c>
      <c r="I1282" s="79" t="s">
        <v>25</v>
      </c>
      <c r="J1282" s="79">
        <v>6</v>
      </c>
      <c r="K1282" s="79" t="s">
        <v>1714</v>
      </c>
      <c r="L1282" s="81" t="s">
        <v>10407</v>
      </c>
      <c r="M1282" s="109" t="s">
        <v>10408</v>
      </c>
      <c r="N1282" s="79" t="s">
        <v>10409</v>
      </c>
      <c r="O1282" s="13" t="s">
        <v>204</v>
      </c>
      <c r="P1282" s="13" t="s">
        <v>9</v>
      </c>
      <c r="Q1282" s="81" t="s">
        <v>10410</v>
      </c>
      <c r="R1282" s="69" t="s">
        <v>10411</v>
      </c>
      <c r="S1282" s="84"/>
      <c r="T1282" s="85">
        <v>28</v>
      </c>
      <c r="U1282" s="85">
        <v>28</v>
      </c>
      <c r="V1282" s="79" t="s">
        <v>10412</v>
      </c>
      <c r="W1282" s="81"/>
      <c r="X1282" s="132">
        <v>1270</v>
      </c>
      <c r="Y1282" s="6"/>
    </row>
    <row r="1283" spans="1:25" ht="15" customHeight="1" x14ac:dyDescent="0.25">
      <c r="A1283" s="12" t="s">
        <v>10430</v>
      </c>
      <c r="B1283" s="92" t="s">
        <v>4978</v>
      </c>
      <c r="C1283" s="74">
        <v>47345</v>
      </c>
      <c r="D1283" s="13" t="s">
        <v>33</v>
      </c>
      <c r="E1283" s="6" t="s">
        <v>10431</v>
      </c>
      <c r="F1283" s="15" t="s">
        <v>10432</v>
      </c>
      <c r="G1283" s="6" t="s">
        <v>10433</v>
      </c>
      <c r="H1283" s="6" t="s">
        <v>10433</v>
      </c>
      <c r="I1283" s="13" t="s">
        <v>25</v>
      </c>
      <c r="J1283" s="13">
        <v>3</v>
      </c>
      <c r="K1283" s="13" t="s">
        <v>1714</v>
      </c>
      <c r="L1283" s="6" t="s">
        <v>4283</v>
      </c>
      <c r="M1283" s="108" t="s">
        <v>10434</v>
      </c>
      <c r="N1283" s="13" t="s">
        <v>8</v>
      </c>
      <c r="O1283" s="13" t="s">
        <v>8</v>
      </c>
      <c r="P1283" s="13" t="s">
        <v>9</v>
      </c>
      <c r="Q1283" s="6" t="s">
        <v>10435</v>
      </c>
      <c r="R1283" s="69" t="s">
        <v>1279</v>
      </c>
      <c r="S1283" s="69" t="s">
        <v>5453</v>
      </c>
      <c r="T1283" s="18">
        <v>25</v>
      </c>
      <c r="U1283" s="18">
        <v>14</v>
      </c>
      <c r="V1283" s="13" t="s">
        <v>10436</v>
      </c>
      <c r="X1283" s="132">
        <v>1271</v>
      </c>
      <c r="Y1283" s="6"/>
    </row>
    <row r="1284" spans="1:25" ht="15" customHeight="1" x14ac:dyDescent="0.25">
      <c r="A1284" s="12" t="s">
        <v>10448</v>
      </c>
      <c r="B1284" s="92" t="s">
        <v>4978</v>
      </c>
      <c r="C1284" s="102">
        <v>47359</v>
      </c>
      <c r="D1284" s="79" t="s">
        <v>33</v>
      </c>
      <c r="E1284" s="81" t="s">
        <v>10449</v>
      </c>
      <c r="F1284" s="82" t="s">
        <v>10450</v>
      </c>
      <c r="G1284" s="81" t="s">
        <v>10451</v>
      </c>
      <c r="H1284" s="81" t="s">
        <v>10451</v>
      </c>
      <c r="I1284" s="79" t="s">
        <v>25</v>
      </c>
      <c r="J1284" s="79">
        <v>3</v>
      </c>
      <c r="K1284" s="79" t="s">
        <v>1714</v>
      </c>
      <c r="L1284" s="81" t="s">
        <v>10452</v>
      </c>
      <c r="M1284" s="109" t="s">
        <v>10453</v>
      </c>
      <c r="N1284" s="79" t="s">
        <v>10454</v>
      </c>
      <c r="O1284" s="13" t="s">
        <v>293</v>
      </c>
      <c r="P1284" s="13" t="s">
        <v>16</v>
      </c>
      <c r="Q1284" s="81" t="s">
        <v>10455</v>
      </c>
      <c r="R1284" s="69" t="s">
        <v>10456</v>
      </c>
      <c r="S1284" s="84"/>
      <c r="T1284" s="85">
        <v>23</v>
      </c>
      <c r="U1284" s="85">
        <v>15</v>
      </c>
      <c r="V1284" s="79" t="s">
        <v>10457</v>
      </c>
      <c r="W1284" s="81"/>
      <c r="X1284" s="132">
        <v>1272</v>
      </c>
      <c r="Y1284" s="6"/>
    </row>
    <row r="1285" spans="1:25" ht="15" customHeight="1" x14ac:dyDescent="0.25">
      <c r="A1285" s="12" t="s">
        <v>10471</v>
      </c>
      <c r="B1285" s="79" t="s">
        <v>4977</v>
      </c>
      <c r="C1285" s="80">
        <v>46628</v>
      </c>
      <c r="D1285" s="79" t="s">
        <v>1533</v>
      </c>
      <c r="E1285" s="81" t="s">
        <v>10472</v>
      </c>
      <c r="F1285" s="82" t="s">
        <v>10473</v>
      </c>
      <c r="G1285" s="81" t="s">
        <v>10474</v>
      </c>
      <c r="H1285" s="81" t="s">
        <v>10474</v>
      </c>
      <c r="I1285" s="79" t="s">
        <v>39</v>
      </c>
      <c r="J1285" s="79">
        <v>12</v>
      </c>
      <c r="K1285" s="79" t="s">
        <v>1714</v>
      </c>
      <c r="L1285" s="81" t="s">
        <v>10475</v>
      </c>
      <c r="M1285" s="109" t="s">
        <v>10476</v>
      </c>
      <c r="N1285" s="79" t="s">
        <v>4205</v>
      </c>
      <c r="O1285" s="13" t="s">
        <v>1847</v>
      </c>
      <c r="P1285" s="13" t="s">
        <v>68</v>
      </c>
      <c r="Q1285" s="81" t="s">
        <v>10480</v>
      </c>
      <c r="R1285" s="69" t="s">
        <v>10477</v>
      </c>
      <c r="S1285" s="69" t="s">
        <v>10478</v>
      </c>
      <c r="T1285" s="85">
        <v>10</v>
      </c>
      <c r="U1285" s="85">
        <v>10</v>
      </c>
      <c r="V1285" s="79" t="s">
        <v>10479</v>
      </c>
      <c r="W1285" s="81"/>
      <c r="X1285" s="132">
        <v>1273</v>
      </c>
      <c r="Y1285" s="6"/>
    </row>
    <row r="1286" spans="1:25" ht="15" customHeight="1" x14ac:dyDescent="0.25">
      <c r="A1286" s="12" t="s">
        <v>10485</v>
      </c>
      <c r="B1286" s="79" t="s">
        <v>4977</v>
      </c>
      <c r="C1286" s="14">
        <v>46628</v>
      </c>
      <c r="D1286" s="79" t="s">
        <v>1533</v>
      </c>
      <c r="E1286" s="81" t="s">
        <v>10486</v>
      </c>
      <c r="F1286" s="82" t="s">
        <v>10486</v>
      </c>
      <c r="G1286" s="81" t="s">
        <v>10487</v>
      </c>
      <c r="H1286" s="81" t="s">
        <v>10487</v>
      </c>
      <c r="I1286" s="79" t="s">
        <v>39</v>
      </c>
      <c r="J1286" s="79">
        <v>12</v>
      </c>
      <c r="K1286" s="79" t="s">
        <v>1714</v>
      </c>
      <c r="L1286" s="81" t="s">
        <v>10489</v>
      </c>
      <c r="M1286" s="109" t="s">
        <v>10490</v>
      </c>
      <c r="N1286" s="79" t="s">
        <v>2199</v>
      </c>
      <c r="O1286" s="13" t="s">
        <v>36</v>
      </c>
      <c r="P1286" s="13" t="s">
        <v>4</v>
      </c>
      <c r="Q1286" s="81" t="s">
        <v>10488</v>
      </c>
      <c r="R1286" s="69" t="s">
        <v>10491</v>
      </c>
      <c r="S1286" s="69" t="s">
        <v>10492</v>
      </c>
      <c r="T1286" s="85">
        <v>50</v>
      </c>
      <c r="U1286" s="85">
        <v>24</v>
      </c>
      <c r="V1286" s="79" t="s">
        <v>10493</v>
      </c>
      <c r="W1286" s="81"/>
      <c r="X1286" s="132">
        <v>1274</v>
      </c>
      <c r="Y1286" s="6"/>
    </row>
    <row r="1287" spans="1:25" ht="15" customHeight="1" x14ac:dyDescent="0.25">
      <c r="A1287" s="12" t="s">
        <v>10494</v>
      </c>
      <c r="B1287" s="92" t="s">
        <v>4978</v>
      </c>
      <c r="C1287" s="102">
        <v>47406</v>
      </c>
      <c r="D1287" s="79" t="s">
        <v>33</v>
      </c>
      <c r="E1287" s="81" t="s">
        <v>10495</v>
      </c>
      <c r="F1287" s="82" t="s">
        <v>10496</v>
      </c>
      <c r="G1287" s="81" t="s">
        <v>10497</v>
      </c>
      <c r="H1287" s="81" t="s">
        <v>10497</v>
      </c>
      <c r="I1287" s="79" t="s">
        <v>25</v>
      </c>
      <c r="J1287" s="79">
        <v>3</v>
      </c>
      <c r="K1287" s="79" t="s">
        <v>1714</v>
      </c>
      <c r="L1287" s="81" t="s">
        <v>10498</v>
      </c>
      <c r="M1287" s="109" t="s">
        <v>10499</v>
      </c>
      <c r="N1287" s="79" t="s">
        <v>2123</v>
      </c>
      <c r="O1287" s="13" t="s">
        <v>15</v>
      </c>
      <c r="P1287" s="13" t="s">
        <v>16</v>
      </c>
      <c r="Q1287" s="81" t="s">
        <v>10500</v>
      </c>
      <c r="R1287" s="69" t="s">
        <v>10501</v>
      </c>
      <c r="S1287" s="84"/>
      <c r="T1287" s="85">
        <v>35</v>
      </c>
      <c r="U1287" s="85">
        <v>33</v>
      </c>
      <c r="V1287" s="79" t="s">
        <v>10502</v>
      </c>
      <c r="W1287" s="81"/>
      <c r="X1287" s="132">
        <v>1275</v>
      </c>
      <c r="Y1287" s="6"/>
    </row>
    <row r="1288" spans="1:25" ht="15" customHeight="1" x14ac:dyDescent="0.25">
      <c r="A1288" s="12" t="s">
        <v>10527</v>
      </c>
      <c r="B1288" s="92" t="s">
        <v>4978</v>
      </c>
      <c r="C1288" s="74">
        <v>47406</v>
      </c>
      <c r="D1288" s="13" t="s">
        <v>33</v>
      </c>
      <c r="E1288" s="6" t="s">
        <v>10528</v>
      </c>
      <c r="F1288" s="15" t="s">
        <v>8547</v>
      </c>
      <c r="G1288" s="6" t="s">
        <v>10529</v>
      </c>
      <c r="H1288" s="6" t="s">
        <v>10529</v>
      </c>
      <c r="I1288" s="13" t="s">
        <v>25</v>
      </c>
      <c r="J1288" s="13">
        <v>3</v>
      </c>
      <c r="K1288" s="13" t="s">
        <v>1714</v>
      </c>
      <c r="L1288" s="6" t="s">
        <v>10530</v>
      </c>
      <c r="M1288" s="108" t="s">
        <v>10531</v>
      </c>
      <c r="N1288" s="13" t="s">
        <v>2340</v>
      </c>
      <c r="O1288" s="13" t="s">
        <v>1055</v>
      </c>
      <c r="P1288" s="13" t="s">
        <v>16</v>
      </c>
      <c r="Q1288" s="6" t="s">
        <v>3786</v>
      </c>
      <c r="R1288" s="69" t="s">
        <v>10532</v>
      </c>
      <c r="S1288" s="30"/>
      <c r="T1288" s="18">
        <v>23</v>
      </c>
      <c r="U1288" s="18">
        <v>20</v>
      </c>
      <c r="V1288" s="13" t="s">
        <v>10533</v>
      </c>
      <c r="X1288" s="132">
        <v>1276</v>
      </c>
      <c r="Y1288" s="6"/>
    </row>
    <row r="1289" spans="1:25" ht="15" customHeight="1" x14ac:dyDescent="0.25">
      <c r="A1289" s="12" t="s">
        <v>10534</v>
      </c>
      <c r="B1289" s="92" t="s">
        <v>4978</v>
      </c>
      <c r="C1289" s="102">
        <v>47406</v>
      </c>
      <c r="D1289" s="79" t="s">
        <v>33</v>
      </c>
      <c r="E1289" s="81" t="s">
        <v>10535</v>
      </c>
      <c r="F1289" s="82" t="s">
        <v>10536</v>
      </c>
      <c r="G1289" s="81" t="s">
        <v>10537</v>
      </c>
      <c r="H1289" s="81" t="s">
        <v>10537</v>
      </c>
      <c r="I1289" s="79" t="s">
        <v>25</v>
      </c>
      <c r="J1289" s="79">
        <v>3</v>
      </c>
      <c r="K1289" s="79" t="s">
        <v>1714</v>
      </c>
      <c r="L1289" s="81" t="s">
        <v>10538</v>
      </c>
      <c r="M1289" s="109" t="s">
        <v>10539</v>
      </c>
      <c r="N1289" s="79" t="s">
        <v>445</v>
      </c>
      <c r="O1289" s="13" t="s">
        <v>445</v>
      </c>
      <c r="P1289" s="13" t="s">
        <v>16</v>
      </c>
      <c r="Q1289" s="81" t="s">
        <v>10540</v>
      </c>
      <c r="R1289" s="69" t="s">
        <v>10541</v>
      </c>
      <c r="S1289" s="84"/>
      <c r="T1289" s="85">
        <v>30</v>
      </c>
      <c r="U1289" s="85">
        <v>25</v>
      </c>
      <c r="V1289" s="79" t="s">
        <v>10542</v>
      </c>
      <c r="W1289" s="81"/>
      <c r="X1289" s="132">
        <v>1277</v>
      </c>
      <c r="Y1289" s="6"/>
    </row>
    <row r="1290" spans="1:25" ht="15" customHeight="1" x14ac:dyDescent="0.25">
      <c r="A1290" s="12" t="s">
        <v>10557</v>
      </c>
      <c r="B1290" s="92" t="s">
        <v>4978</v>
      </c>
      <c r="C1290" s="102">
        <v>47406</v>
      </c>
      <c r="D1290" s="79" t="s">
        <v>33</v>
      </c>
      <c r="E1290" s="81" t="s">
        <v>10558</v>
      </c>
      <c r="F1290" s="82" t="s">
        <v>10559</v>
      </c>
      <c r="G1290" s="81" t="s">
        <v>10560</v>
      </c>
      <c r="H1290" s="81" t="s">
        <v>10560</v>
      </c>
      <c r="I1290" s="79" t="s">
        <v>25</v>
      </c>
      <c r="J1290" s="79">
        <v>3</v>
      </c>
      <c r="K1290" s="79" t="s">
        <v>1714</v>
      </c>
      <c r="L1290" s="81" t="s">
        <v>10561</v>
      </c>
      <c r="M1290" s="109" t="s">
        <v>8041</v>
      </c>
      <c r="N1290" s="79" t="s">
        <v>8042</v>
      </c>
      <c r="O1290" s="13" t="s">
        <v>1847</v>
      </c>
      <c r="P1290" s="13" t="s">
        <v>68</v>
      </c>
      <c r="Q1290" s="81" t="s">
        <v>10562</v>
      </c>
      <c r="R1290" s="69" t="s">
        <v>10563</v>
      </c>
      <c r="S1290" s="69" t="s">
        <v>10564</v>
      </c>
      <c r="T1290" s="85">
        <v>18</v>
      </c>
      <c r="U1290" s="85">
        <v>16</v>
      </c>
      <c r="V1290" s="79" t="s">
        <v>10565</v>
      </c>
      <c r="W1290" s="81"/>
      <c r="X1290" s="132">
        <v>1278</v>
      </c>
      <c r="Y1290" s="6"/>
    </row>
    <row r="1291" spans="1:25" ht="15" customHeight="1" x14ac:dyDescent="0.25">
      <c r="A1291" s="12" t="s">
        <v>10566</v>
      </c>
      <c r="B1291" s="79" t="s">
        <v>4977</v>
      </c>
      <c r="C1291" s="80">
        <v>46675</v>
      </c>
      <c r="D1291" s="13" t="s">
        <v>1533</v>
      </c>
      <c r="E1291" s="81" t="s">
        <v>10567</v>
      </c>
      <c r="F1291" s="82" t="s">
        <v>10944</v>
      </c>
      <c r="G1291" s="81" t="s">
        <v>10568</v>
      </c>
      <c r="H1291" s="81" t="s">
        <v>10568</v>
      </c>
      <c r="I1291" s="79" t="s">
        <v>39</v>
      </c>
      <c r="J1291" s="79">
        <v>12</v>
      </c>
      <c r="K1291" s="79" t="s">
        <v>7032</v>
      </c>
      <c r="L1291" s="81" t="s">
        <v>10569</v>
      </c>
      <c r="M1291" s="109" t="s">
        <v>10570</v>
      </c>
      <c r="N1291" s="13" t="s">
        <v>54</v>
      </c>
      <c r="O1291" s="13" t="s">
        <v>53</v>
      </c>
      <c r="P1291" s="13" t="s">
        <v>54</v>
      </c>
      <c r="Q1291" s="81" t="s">
        <v>10571</v>
      </c>
      <c r="R1291" s="69" t="s">
        <v>10572</v>
      </c>
      <c r="S1291" s="69" t="s">
        <v>10573</v>
      </c>
      <c r="T1291" s="85">
        <v>480</v>
      </c>
      <c r="U1291" s="85">
        <v>420</v>
      </c>
      <c r="V1291" s="79" t="s">
        <v>10574</v>
      </c>
      <c r="W1291" s="81"/>
      <c r="X1291" s="132">
        <v>1279</v>
      </c>
      <c r="Y1291" s="6"/>
    </row>
    <row r="1292" spans="1:25" ht="15" customHeight="1" x14ac:dyDescent="0.25">
      <c r="A1292" s="12" t="s">
        <v>10576</v>
      </c>
      <c r="B1292" s="13" t="s">
        <v>4977</v>
      </c>
      <c r="C1292" s="14">
        <v>46675</v>
      </c>
      <c r="D1292" s="13" t="s">
        <v>1533</v>
      </c>
      <c r="E1292" s="6" t="s">
        <v>10577</v>
      </c>
      <c r="F1292" s="15" t="s">
        <v>10578</v>
      </c>
      <c r="G1292" s="6" t="s">
        <v>10579</v>
      </c>
      <c r="H1292" s="6" t="s">
        <v>10579</v>
      </c>
      <c r="I1292" s="13" t="s">
        <v>39</v>
      </c>
      <c r="J1292" s="13">
        <v>12</v>
      </c>
      <c r="K1292" s="13" t="s">
        <v>7032</v>
      </c>
      <c r="L1292" s="6" t="s">
        <v>10580</v>
      </c>
      <c r="M1292" s="108" t="s">
        <v>10581</v>
      </c>
      <c r="N1292" s="13" t="s">
        <v>10582</v>
      </c>
      <c r="O1292" s="13" t="s">
        <v>445</v>
      </c>
      <c r="P1292" s="13" t="s">
        <v>16</v>
      </c>
      <c r="Q1292" s="6" t="s">
        <v>10583</v>
      </c>
      <c r="R1292" s="69" t="s">
        <v>10584</v>
      </c>
      <c r="S1292" s="69" t="s">
        <v>10585</v>
      </c>
      <c r="T1292" s="18">
        <v>50</v>
      </c>
      <c r="U1292" s="18">
        <v>50</v>
      </c>
      <c r="V1292" s="13" t="s">
        <v>10586</v>
      </c>
      <c r="X1292" s="132">
        <v>1280</v>
      </c>
      <c r="Y1292" s="6"/>
    </row>
    <row r="1293" spans="1:25" ht="15" customHeight="1" x14ac:dyDescent="0.25">
      <c r="A1293" s="12" t="s">
        <v>10587</v>
      </c>
      <c r="B1293" s="13" t="s">
        <v>4977</v>
      </c>
      <c r="C1293" s="14">
        <v>46675</v>
      </c>
      <c r="D1293" s="13" t="s">
        <v>1533</v>
      </c>
      <c r="E1293" s="6" t="s">
        <v>10588</v>
      </c>
      <c r="F1293" s="15" t="s">
        <v>10589</v>
      </c>
      <c r="G1293" s="6" t="s">
        <v>10590</v>
      </c>
      <c r="H1293" s="6" t="s">
        <v>10590</v>
      </c>
      <c r="I1293" s="13" t="s">
        <v>13</v>
      </c>
      <c r="J1293" s="13">
        <v>8</v>
      </c>
      <c r="K1293" s="13" t="s">
        <v>1714</v>
      </c>
      <c r="L1293" s="6" t="s">
        <v>10591</v>
      </c>
      <c r="M1293" s="108" t="s">
        <v>10592</v>
      </c>
      <c r="N1293" s="13" t="s">
        <v>10593</v>
      </c>
      <c r="O1293" s="13" t="s">
        <v>11949</v>
      </c>
      <c r="P1293" s="13" t="s">
        <v>68</v>
      </c>
      <c r="Q1293" s="6" t="s">
        <v>10594</v>
      </c>
      <c r="R1293" s="69" t="s">
        <v>10595</v>
      </c>
      <c r="S1293" s="30"/>
      <c r="T1293" s="18">
        <v>25</v>
      </c>
      <c r="U1293" s="18">
        <v>20</v>
      </c>
      <c r="V1293" s="13" t="s">
        <v>10596</v>
      </c>
      <c r="X1293" s="132">
        <v>1281</v>
      </c>
      <c r="Y1293" s="6"/>
    </row>
    <row r="1294" spans="1:25" ht="15" customHeight="1" x14ac:dyDescent="0.25">
      <c r="A1294" s="12" t="s">
        <v>10606</v>
      </c>
      <c r="B1294" s="92" t="s">
        <v>4978</v>
      </c>
      <c r="C1294" s="74">
        <v>47406</v>
      </c>
      <c r="D1294" s="13" t="s">
        <v>33</v>
      </c>
      <c r="E1294" s="6" t="s">
        <v>10607</v>
      </c>
      <c r="F1294" s="15" t="s">
        <v>10608</v>
      </c>
      <c r="G1294" s="6" t="s">
        <v>10609</v>
      </c>
      <c r="H1294" s="6" t="s">
        <v>10609</v>
      </c>
      <c r="I1294" s="13" t="s">
        <v>25</v>
      </c>
      <c r="J1294" s="13">
        <v>3</v>
      </c>
      <c r="K1294" s="13" t="s">
        <v>1714</v>
      </c>
      <c r="L1294" s="6" t="s">
        <v>10610</v>
      </c>
      <c r="M1294" s="108" t="s">
        <v>9006</v>
      </c>
      <c r="N1294" s="13" t="s">
        <v>6709</v>
      </c>
      <c r="O1294" s="13" t="s">
        <v>177</v>
      </c>
      <c r="P1294" s="13" t="s">
        <v>9</v>
      </c>
      <c r="Q1294" s="6" t="s">
        <v>10611</v>
      </c>
      <c r="R1294" s="69" t="s">
        <v>10612</v>
      </c>
      <c r="S1294" s="69" t="s">
        <v>10613</v>
      </c>
      <c r="T1294" s="18">
        <v>15</v>
      </c>
      <c r="U1294" s="18">
        <v>15</v>
      </c>
      <c r="V1294" s="13" t="s">
        <v>10614</v>
      </c>
      <c r="X1294" s="132">
        <v>1282</v>
      </c>
      <c r="Y1294" s="6"/>
    </row>
    <row r="1295" spans="1:25" ht="15" customHeight="1" x14ac:dyDescent="0.25">
      <c r="A1295" s="12" t="s">
        <v>10617</v>
      </c>
      <c r="B1295" s="79" t="s">
        <v>4977</v>
      </c>
      <c r="C1295" s="80">
        <v>46675</v>
      </c>
      <c r="D1295" s="79" t="s">
        <v>1533</v>
      </c>
      <c r="E1295" s="81" t="s">
        <v>10618</v>
      </c>
      <c r="F1295" s="82" t="s">
        <v>10619</v>
      </c>
      <c r="G1295" s="81" t="s">
        <v>10620</v>
      </c>
      <c r="H1295" s="81" t="s">
        <v>10620</v>
      </c>
      <c r="I1295" s="79" t="s">
        <v>13</v>
      </c>
      <c r="J1295" s="79">
        <v>8</v>
      </c>
      <c r="K1295" s="79" t="s">
        <v>1714</v>
      </c>
      <c r="L1295" s="81" t="s">
        <v>10621</v>
      </c>
      <c r="M1295" s="109" t="s">
        <v>10622</v>
      </c>
      <c r="N1295" s="79" t="s">
        <v>10623</v>
      </c>
      <c r="O1295" s="13" t="s">
        <v>11948</v>
      </c>
      <c r="P1295" s="13" t="s">
        <v>68</v>
      </c>
      <c r="Q1295" s="81" t="s">
        <v>10624</v>
      </c>
      <c r="R1295" s="69" t="s">
        <v>10625</v>
      </c>
      <c r="S1295" s="69" t="s">
        <v>10626</v>
      </c>
      <c r="T1295" s="85">
        <v>60</v>
      </c>
      <c r="U1295" s="85">
        <v>60</v>
      </c>
      <c r="V1295" s="79" t="s">
        <v>10627</v>
      </c>
      <c r="W1295" s="81"/>
      <c r="X1295" s="132">
        <v>1283</v>
      </c>
      <c r="Y1295" s="6"/>
    </row>
    <row r="1296" spans="1:25" ht="15" customHeight="1" x14ac:dyDescent="0.25">
      <c r="A1296" s="12" t="s">
        <v>10628</v>
      </c>
      <c r="B1296" s="92" t="s">
        <v>4978</v>
      </c>
      <c r="C1296" s="74">
        <v>47406</v>
      </c>
      <c r="D1296" s="13" t="s">
        <v>33</v>
      </c>
      <c r="E1296" s="6" t="s">
        <v>4472</v>
      </c>
      <c r="F1296" s="15" t="s">
        <v>10629</v>
      </c>
      <c r="G1296" s="6" t="s">
        <v>10630</v>
      </c>
      <c r="H1296" s="6" t="s">
        <v>10630</v>
      </c>
      <c r="I1296" s="13" t="s">
        <v>25</v>
      </c>
      <c r="J1296" s="13">
        <v>3</v>
      </c>
      <c r="K1296" s="13" t="s">
        <v>1714</v>
      </c>
      <c r="L1296" s="6" t="s">
        <v>10631</v>
      </c>
      <c r="M1296" s="108" t="s">
        <v>10632</v>
      </c>
      <c r="N1296" s="13" t="s">
        <v>2229</v>
      </c>
      <c r="O1296" s="13" t="s">
        <v>36</v>
      </c>
      <c r="P1296" s="13" t="s">
        <v>4</v>
      </c>
      <c r="Q1296" s="6" t="s">
        <v>4474</v>
      </c>
      <c r="R1296" s="69" t="s">
        <v>775</v>
      </c>
      <c r="S1296" s="69" t="s">
        <v>2268</v>
      </c>
      <c r="T1296" s="18">
        <v>18</v>
      </c>
      <c r="U1296" s="18">
        <v>15</v>
      </c>
      <c r="V1296" s="13" t="s">
        <v>10633</v>
      </c>
      <c r="X1296" s="132">
        <v>1284</v>
      </c>
      <c r="Y1296" s="6"/>
    </row>
    <row r="1297" spans="1:25" ht="15" customHeight="1" x14ac:dyDescent="0.25">
      <c r="A1297" s="12" t="s">
        <v>10640</v>
      </c>
      <c r="B1297" s="13" t="s">
        <v>4977</v>
      </c>
      <c r="C1297" s="14">
        <v>46675</v>
      </c>
      <c r="D1297" s="13" t="s">
        <v>1533</v>
      </c>
      <c r="E1297" s="6" t="s">
        <v>10641</v>
      </c>
      <c r="F1297" s="15" t="s">
        <v>10642</v>
      </c>
      <c r="G1297" s="6" t="s">
        <v>10643</v>
      </c>
      <c r="H1297" s="6" t="s">
        <v>10643</v>
      </c>
      <c r="I1297" s="13" t="s">
        <v>25</v>
      </c>
      <c r="J1297" s="13">
        <v>6</v>
      </c>
      <c r="K1297" s="13" t="s">
        <v>1714</v>
      </c>
      <c r="L1297" s="6" t="s">
        <v>10644</v>
      </c>
      <c r="M1297" s="108" t="s">
        <v>10645</v>
      </c>
      <c r="N1297" s="13" t="s">
        <v>10646</v>
      </c>
      <c r="O1297" s="13" t="s">
        <v>27</v>
      </c>
      <c r="P1297" s="13" t="s">
        <v>9</v>
      </c>
      <c r="Q1297" s="6" t="s">
        <v>10647</v>
      </c>
      <c r="R1297" s="69" t="s">
        <v>10648</v>
      </c>
      <c r="S1297" s="30"/>
      <c r="T1297" s="18">
        <v>12</v>
      </c>
      <c r="U1297" s="18">
        <v>9</v>
      </c>
      <c r="V1297" s="13" t="s">
        <v>10649</v>
      </c>
      <c r="X1297" s="132">
        <v>1285</v>
      </c>
      <c r="Y1297" s="6"/>
    </row>
    <row r="1298" spans="1:25" ht="15" customHeight="1" x14ac:dyDescent="0.25">
      <c r="A1298" s="12" t="s">
        <v>10667</v>
      </c>
      <c r="B1298" s="92" t="s">
        <v>4978</v>
      </c>
      <c r="C1298" s="102">
        <v>47406</v>
      </c>
      <c r="D1298" s="79" t="s">
        <v>33</v>
      </c>
      <c r="E1298" s="81" t="s">
        <v>10668</v>
      </c>
      <c r="F1298" s="82" t="s">
        <v>10669</v>
      </c>
      <c r="G1298" s="81" t="s">
        <v>10670</v>
      </c>
      <c r="H1298" s="81" t="s">
        <v>10670</v>
      </c>
      <c r="I1298" s="79" t="s">
        <v>25</v>
      </c>
      <c r="J1298" s="79">
        <v>3</v>
      </c>
      <c r="K1298" s="79" t="s">
        <v>1714</v>
      </c>
      <c r="L1298" s="81" t="s">
        <v>10705</v>
      </c>
      <c r="M1298" s="109" t="s">
        <v>10704</v>
      </c>
      <c r="N1298" s="79" t="s">
        <v>3191</v>
      </c>
      <c r="O1298" s="13" t="s">
        <v>445</v>
      </c>
      <c r="P1298" s="13" t="s">
        <v>16</v>
      </c>
      <c r="Q1298" s="81" t="s">
        <v>10671</v>
      </c>
      <c r="R1298" s="69" t="s">
        <v>10672</v>
      </c>
      <c r="S1298" s="69" t="s">
        <v>10673</v>
      </c>
      <c r="T1298" s="85">
        <v>25</v>
      </c>
      <c r="U1298" s="85">
        <v>11</v>
      </c>
      <c r="V1298" s="79" t="s">
        <v>10674</v>
      </c>
      <c r="W1298" s="81"/>
      <c r="X1298" s="132">
        <v>1286</v>
      </c>
      <c r="Y1298" s="6"/>
    </row>
    <row r="1299" spans="1:25" ht="15" customHeight="1" x14ac:dyDescent="0.25">
      <c r="A1299" s="12" t="s">
        <v>10675</v>
      </c>
      <c r="B1299" s="92" t="s">
        <v>4978</v>
      </c>
      <c r="C1299" s="74">
        <v>47406</v>
      </c>
      <c r="D1299" s="13" t="s">
        <v>1533</v>
      </c>
      <c r="E1299" s="6" t="s">
        <v>10676</v>
      </c>
      <c r="F1299" s="15" t="s">
        <v>10676</v>
      </c>
      <c r="G1299" s="6" t="s">
        <v>10677</v>
      </c>
      <c r="H1299" s="6" t="s">
        <v>10677</v>
      </c>
      <c r="I1299" s="13" t="s">
        <v>25</v>
      </c>
      <c r="J1299" s="13">
        <v>6</v>
      </c>
      <c r="K1299" s="13" t="s">
        <v>1714</v>
      </c>
      <c r="L1299" s="6" t="s">
        <v>10678</v>
      </c>
      <c r="M1299" s="108" t="s">
        <v>7372</v>
      </c>
      <c r="N1299" s="13" t="s">
        <v>3972</v>
      </c>
      <c r="O1299" s="13" t="s">
        <v>97</v>
      </c>
      <c r="P1299" s="13" t="s">
        <v>4</v>
      </c>
      <c r="Q1299" s="6" t="s">
        <v>3557</v>
      </c>
      <c r="R1299" s="69" t="s">
        <v>10679</v>
      </c>
      <c r="S1299" s="69" t="s">
        <v>10680</v>
      </c>
      <c r="T1299" s="18">
        <v>29</v>
      </c>
      <c r="U1299" s="18">
        <v>9</v>
      </c>
      <c r="V1299" s="13" t="s">
        <v>10681</v>
      </c>
      <c r="X1299" s="132">
        <v>1287</v>
      </c>
      <c r="Y1299" s="6"/>
    </row>
    <row r="1300" spans="1:25" ht="15" customHeight="1" x14ac:dyDescent="0.25">
      <c r="A1300" s="12" t="s">
        <v>10686</v>
      </c>
      <c r="B1300" s="92" t="s">
        <v>4978</v>
      </c>
      <c r="C1300" s="102">
        <v>47406</v>
      </c>
      <c r="D1300" s="79" t="s">
        <v>33</v>
      </c>
      <c r="E1300" s="81" t="s">
        <v>10687</v>
      </c>
      <c r="F1300" s="82" t="s">
        <v>10688</v>
      </c>
      <c r="G1300" s="81" t="s">
        <v>10689</v>
      </c>
      <c r="H1300" s="81" t="s">
        <v>10689</v>
      </c>
      <c r="I1300" s="79" t="s">
        <v>25</v>
      </c>
      <c r="J1300" s="79">
        <v>3</v>
      </c>
      <c r="K1300" s="79" t="s">
        <v>1714</v>
      </c>
      <c r="L1300" s="81" t="s">
        <v>10690</v>
      </c>
      <c r="M1300" s="109" t="s">
        <v>10691</v>
      </c>
      <c r="N1300" s="79" t="s">
        <v>3716</v>
      </c>
      <c r="O1300" s="13" t="s">
        <v>21</v>
      </c>
      <c r="P1300" s="13" t="s">
        <v>9</v>
      </c>
      <c r="Q1300" s="81" t="s">
        <v>10692</v>
      </c>
      <c r="R1300" s="69" t="s">
        <v>10693</v>
      </c>
      <c r="S1300" s="69" t="s">
        <v>2853</v>
      </c>
      <c r="T1300" s="85">
        <v>29</v>
      </c>
      <c r="U1300" s="85">
        <v>8</v>
      </c>
      <c r="V1300" s="79" t="s">
        <v>10694</v>
      </c>
      <c r="W1300" s="81"/>
      <c r="X1300" s="132">
        <v>1288</v>
      </c>
      <c r="Y1300" s="6"/>
    </row>
    <row r="1301" spans="1:25" ht="15" customHeight="1" x14ac:dyDescent="0.25">
      <c r="A1301" s="12" t="s">
        <v>10695</v>
      </c>
      <c r="B1301" s="79" t="s">
        <v>4977</v>
      </c>
      <c r="C1301" s="80">
        <v>46675</v>
      </c>
      <c r="D1301" s="79" t="s">
        <v>1533</v>
      </c>
      <c r="E1301" s="81" t="s">
        <v>10696</v>
      </c>
      <c r="F1301" s="82" t="s">
        <v>10697</v>
      </c>
      <c r="G1301" s="81" t="s">
        <v>10698</v>
      </c>
      <c r="H1301" s="81" t="s">
        <v>10698</v>
      </c>
      <c r="I1301" s="79" t="s">
        <v>13</v>
      </c>
      <c r="J1301" s="79">
        <v>8</v>
      </c>
      <c r="K1301" s="79" t="s">
        <v>1714</v>
      </c>
      <c r="L1301" s="81" t="s">
        <v>10699</v>
      </c>
      <c r="M1301" s="109" t="s">
        <v>10700</v>
      </c>
      <c r="N1301" s="79" t="s">
        <v>445</v>
      </c>
      <c r="O1301" s="13" t="s">
        <v>445</v>
      </c>
      <c r="P1301" s="13" t="s">
        <v>16</v>
      </c>
      <c r="Q1301" s="81" t="s">
        <v>10701</v>
      </c>
      <c r="R1301" s="69" t="s">
        <v>10702</v>
      </c>
      <c r="S1301" s="69" t="s">
        <v>10776</v>
      </c>
      <c r="T1301" s="85">
        <v>75</v>
      </c>
      <c r="U1301" s="85">
        <v>75</v>
      </c>
      <c r="V1301" s="79" t="s">
        <v>10703</v>
      </c>
      <c r="W1301" s="81"/>
      <c r="X1301" s="132">
        <v>1289</v>
      </c>
      <c r="Y1301" s="6"/>
    </row>
    <row r="1302" spans="1:25" ht="15" customHeight="1" x14ac:dyDescent="0.25">
      <c r="A1302" s="12" t="s">
        <v>10724</v>
      </c>
      <c r="B1302" s="92" t="s">
        <v>4978</v>
      </c>
      <c r="C1302" s="102">
        <v>47406</v>
      </c>
      <c r="D1302" s="79" t="s">
        <v>33</v>
      </c>
      <c r="E1302" s="81" t="s">
        <v>10725</v>
      </c>
      <c r="F1302" s="82" t="s">
        <v>10726</v>
      </c>
      <c r="G1302" s="81" t="s">
        <v>10727</v>
      </c>
      <c r="H1302" s="81" t="s">
        <v>10727</v>
      </c>
      <c r="I1302" s="79" t="s">
        <v>25</v>
      </c>
      <c r="J1302" s="79">
        <v>3</v>
      </c>
      <c r="K1302" s="79" t="s">
        <v>1714</v>
      </c>
      <c r="L1302" s="81" t="s">
        <v>10728</v>
      </c>
      <c r="M1302" s="109" t="s">
        <v>10729</v>
      </c>
      <c r="N1302" s="79" t="s">
        <v>2667</v>
      </c>
      <c r="O1302" s="13" t="s">
        <v>177</v>
      </c>
      <c r="P1302" s="13" t="s">
        <v>9</v>
      </c>
      <c r="Q1302" s="81" t="s">
        <v>10730</v>
      </c>
      <c r="R1302" s="69" t="s">
        <v>10731</v>
      </c>
      <c r="S1302" s="84"/>
      <c r="T1302" s="85">
        <v>42</v>
      </c>
      <c r="U1302" s="85">
        <v>42</v>
      </c>
      <c r="V1302" s="79" t="s">
        <v>10732</v>
      </c>
      <c r="W1302" s="81"/>
      <c r="X1302" s="132">
        <v>1290</v>
      </c>
      <c r="Y1302" s="6"/>
    </row>
    <row r="1303" spans="1:25" ht="15" customHeight="1" x14ac:dyDescent="0.25">
      <c r="A1303" s="12" t="s">
        <v>10767</v>
      </c>
      <c r="B1303" s="92" t="s">
        <v>4978</v>
      </c>
      <c r="C1303" s="102">
        <v>47406</v>
      </c>
      <c r="D1303" s="79" t="s">
        <v>33</v>
      </c>
      <c r="E1303" s="81" t="s">
        <v>10768</v>
      </c>
      <c r="F1303" s="82" t="s">
        <v>10769</v>
      </c>
      <c r="G1303" s="81" t="s">
        <v>10770</v>
      </c>
      <c r="H1303" s="81" t="s">
        <v>10770</v>
      </c>
      <c r="I1303" s="79" t="s">
        <v>25</v>
      </c>
      <c r="J1303" s="79">
        <v>3</v>
      </c>
      <c r="K1303" s="79" t="s">
        <v>1714</v>
      </c>
      <c r="L1303" s="81" t="s">
        <v>10771</v>
      </c>
      <c r="M1303" s="109" t="s">
        <v>10772</v>
      </c>
      <c r="N1303" s="79" t="s">
        <v>136</v>
      </c>
      <c r="O1303" s="13" t="s">
        <v>136</v>
      </c>
      <c r="P1303" s="13" t="s">
        <v>4</v>
      </c>
      <c r="Q1303" s="81" t="s">
        <v>10773</v>
      </c>
      <c r="R1303" s="69" t="s">
        <v>3311</v>
      </c>
      <c r="S1303" s="84"/>
      <c r="T1303" s="85">
        <v>25</v>
      </c>
      <c r="U1303" s="85">
        <v>16</v>
      </c>
      <c r="V1303" s="79" t="s">
        <v>10774</v>
      </c>
      <c r="W1303" s="81"/>
      <c r="X1303" s="132">
        <v>1291</v>
      </c>
      <c r="Y1303" s="6"/>
    </row>
    <row r="1304" spans="1:25" ht="15" customHeight="1" x14ac:dyDescent="0.25">
      <c r="A1304" s="19" t="s">
        <v>10777</v>
      </c>
      <c r="B1304" s="13" t="s">
        <v>4977</v>
      </c>
      <c r="C1304" s="14">
        <v>46691</v>
      </c>
      <c r="D1304" s="13" t="s">
        <v>1533</v>
      </c>
      <c r="E1304" s="6" t="s">
        <v>10778</v>
      </c>
      <c r="F1304" s="15" t="s">
        <v>9346</v>
      </c>
      <c r="G1304" s="6" t="s">
        <v>10779</v>
      </c>
      <c r="H1304" s="6" t="s">
        <v>10779</v>
      </c>
      <c r="I1304" s="13" t="s">
        <v>13</v>
      </c>
      <c r="J1304" s="13">
        <v>8</v>
      </c>
      <c r="K1304" s="13" t="s">
        <v>1714</v>
      </c>
      <c r="L1304" s="6" t="s">
        <v>10780</v>
      </c>
      <c r="M1304" s="108" t="s">
        <v>10781</v>
      </c>
      <c r="N1304" s="13" t="s">
        <v>2766</v>
      </c>
      <c r="O1304" s="13" t="s">
        <v>165</v>
      </c>
      <c r="P1304" s="13" t="s">
        <v>9</v>
      </c>
      <c r="Q1304" s="6" t="s">
        <v>10782</v>
      </c>
      <c r="R1304" s="69" t="s">
        <v>10783</v>
      </c>
      <c r="S1304" s="30"/>
      <c r="T1304" s="18">
        <v>180</v>
      </c>
      <c r="U1304" s="18">
        <v>35</v>
      </c>
      <c r="V1304" s="13" t="s">
        <v>10784</v>
      </c>
      <c r="X1304" s="132">
        <v>1292</v>
      </c>
      <c r="Y1304" s="6"/>
    </row>
    <row r="1305" spans="1:25" ht="15" customHeight="1" x14ac:dyDescent="0.25">
      <c r="A1305" s="19" t="s">
        <v>10795</v>
      </c>
      <c r="B1305" s="92" t="s">
        <v>4978</v>
      </c>
      <c r="C1305" s="74">
        <v>47422</v>
      </c>
      <c r="D1305" s="13" t="s">
        <v>33</v>
      </c>
      <c r="E1305" s="6" t="s">
        <v>10796</v>
      </c>
      <c r="F1305" s="15" t="s">
        <v>10797</v>
      </c>
      <c r="G1305" s="6" t="s">
        <v>10798</v>
      </c>
      <c r="H1305" s="6" t="s">
        <v>10798</v>
      </c>
      <c r="I1305" s="13" t="s">
        <v>25</v>
      </c>
      <c r="J1305" s="13">
        <v>3</v>
      </c>
      <c r="K1305" s="13" t="s">
        <v>1714</v>
      </c>
      <c r="L1305" s="6" t="s">
        <v>10799</v>
      </c>
      <c r="M1305" s="108" t="s">
        <v>10800</v>
      </c>
      <c r="N1305" s="13" t="s">
        <v>10801</v>
      </c>
      <c r="O1305" s="13" t="s">
        <v>136</v>
      </c>
      <c r="P1305" s="13" t="s">
        <v>4</v>
      </c>
      <c r="Q1305" s="6" t="s">
        <v>10802</v>
      </c>
      <c r="R1305" s="69" t="s">
        <v>10803</v>
      </c>
      <c r="S1305" s="30"/>
      <c r="T1305" s="18">
        <v>22</v>
      </c>
      <c r="U1305" s="18">
        <v>18</v>
      </c>
      <c r="V1305" s="13" t="s">
        <v>10804</v>
      </c>
      <c r="X1305" s="132">
        <v>1293</v>
      </c>
      <c r="Y1305" s="6"/>
    </row>
    <row r="1306" spans="1:25" ht="15" customHeight="1" x14ac:dyDescent="0.25">
      <c r="A1306" s="19" t="s">
        <v>10812</v>
      </c>
      <c r="B1306" s="13" t="s">
        <v>4977</v>
      </c>
      <c r="C1306" s="14">
        <v>46691</v>
      </c>
      <c r="D1306" s="13" t="s">
        <v>1533</v>
      </c>
      <c r="E1306" s="6" t="s">
        <v>10813</v>
      </c>
      <c r="F1306" s="15" t="s">
        <v>10814</v>
      </c>
      <c r="G1306" s="6" t="s">
        <v>10815</v>
      </c>
      <c r="H1306" s="6" t="s">
        <v>10815</v>
      </c>
      <c r="I1306" s="13" t="s">
        <v>39</v>
      </c>
      <c r="J1306" s="13">
        <v>12</v>
      </c>
      <c r="K1306" s="13" t="s">
        <v>1714</v>
      </c>
      <c r="L1306" s="6" t="s">
        <v>10816</v>
      </c>
      <c r="M1306" s="108" t="s">
        <v>10817</v>
      </c>
      <c r="N1306" s="13" t="s">
        <v>8</v>
      </c>
      <c r="O1306" s="13" t="s">
        <v>8</v>
      </c>
      <c r="P1306" s="13" t="s">
        <v>9</v>
      </c>
      <c r="Q1306" s="6" t="s">
        <v>10818</v>
      </c>
      <c r="R1306" s="69" t="s">
        <v>10819</v>
      </c>
      <c r="S1306" s="30"/>
      <c r="T1306" s="18">
        <v>60</v>
      </c>
      <c r="U1306" s="18">
        <v>30</v>
      </c>
      <c r="V1306" s="13" t="s">
        <v>10820</v>
      </c>
      <c r="X1306" s="132">
        <v>1294</v>
      </c>
      <c r="Y1306" s="6"/>
    </row>
    <row r="1307" spans="1:25" ht="15" customHeight="1" x14ac:dyDescent="0.25">
      <c r="A1307" s="19" t="s">
        <v>10833</v>
      </c>
      <c r="B1307" s="79" t="s">
        <v>4977</v>
      </c>
      <c r="C1307" s="80">
        <v>46691</v>
      </c>
      <c r="D1307" s="79" t="s">
        <v>33</v>
      </c>
      <c r="E1307" s="6" t="s">
        <v>10839</v>
      </c>
      <c r="F1307" s="82" t="s">
        <v>6260</v>
      </c>
      <c r="G1307" s="81" t="s">
        <v>10834</v>
      </c>
      <c r="H1307" s="81" t="s">
        <v>10834</v>
      </c>
      <c r="I1307" s="79" t="s">
        <v>25</v>
      </c>
      <c r="J1307" s="79">
        <v>3</v>
      </c>
      <c r="K1307" s="79" t="s">
        <v>1714</v>
      </c>
      <c r="L1307" s="81" t="s">
        <v>10835</v>
      </c>
      <c r="M1307" s="109" t="s">
        <v>2531</v>
      </c>
      <c r="N1307" s="79" t="s">
        <v>2470</v>
      </c>
      <c r="O1307" s="13" t="s">
        <v>136</v>
      </c>
      <c r="P1307" s="13" t="s">
        <v>4</v>
      </c>
      <c r="Q1307" s="81" t="s">
        <v>10836</v>
      </c>
      <c r="R1307" s="69" t="s">
        <v>10837</v>
      </c>
      <c r="S1307" s="84"/>
      <c r="T1307" s="85">
        <v>31</v>
      </c>
      <c r="U1307" s="85">
        <v>0</v>
      </c>
      <c r="V1307" s="79" t="s">
        <v>10838</v>
      </c>
      <c r="W1307" s="81"/>
      <c r="X1307" s="132">
        <v>1295</v>
      </c>
      <c r="Y1307" s="6"/>
    </row>
    <row r="1308" spans="1:25" ht="15" customHeight="1" x14ac:dyDescent="0.25">
      <c r="A1308" s="19" t="s">
        <v>10845</v>
      </c>
      <c r="B1308" s="79" t="s">
        <v>4977</v>
      </c>
      <c r="C1308" s="80">
        <v>46691</v>
      </c>
      <c r="D1308" s="79" t="s">
        <v>1533</v>
      </c>
      <c r="E1308" s="81" t="s">
        <v>10846</v>
      </c>
      <c r="F1308" s="82" t="s">
        <v>10847</v>
      </c>
      <c r="G1308" s="81" t="s">
        <v>10848</v>
      </c>
      <c r="H1308" s="81" t="s">
        <v>10848</v>
      </c>
      <c r="I1308" s="79" t="s">
        <v>39</v>
      </c>
      <c r="J1308" s="79">
        <v>12</v>
      </c>
      <c r="K1308" s="79" t="s">
        <v>7032</v>
      </c>
      <c r="L1308" s="81" t="s">
        <v>10849</v>
      </c>
      <c r="M1308" s="109" t="s">
        <v>10874</v>
      </c>
      <c r="N1308" s="79" t="s">
        <v>10850</v>
      </c>
      <c r="O1308" s="13" t="s">
        <v>172</v>
      </c>
      <c r="P1308" s="13" t="s">
        <v>9</v>
      </c>
      <c r="Q1308" s="81" t="s">
        <v>10851</v>
      </c>
      <c r="R1308" s="69" t="s">
        <v>10852</v>
      </c>
      <c r="S1308" s="69" t="s">
        <v>10853</v>
      </c>
      <c r="T1308" s="85">
        <v>25</v>
      </c>
      <c r="U1308" s="85">
        <v>13</v>
      </c>
      <c r="V1308" s="79" t="s">
        <v>10854</v>
      </c>
      <c r="W1308" s="81"/>
      <c r="X1308" s="132">
        <v>1296</v>
      </c>
      <c r="Y1308" s="6"/>
    </row>
    <row r="1309" spans="1:25" ht="15" customHeight="1" x14ac:dyDescent="0.25">
      <c r="A1309" s="19" t="s">
        <v>10864</v>
      </c>
      <c r="B1309" s="92" t="s">
        <v>4978</v>
      </c>
      <c r="C1309" s="102">
        <v>47422</v>
      </c>
      <c r="D1309" s="79" t="s">
        <v>33</v>
      </c>
      <c r="E1309" s="81" t="s">
        <v>10865</v>
      </c>
      <c r="F1309" s="15" t="s">
        <v>10873</v>
      </c>
      <c r="G1309" s="81" t="s">
        <v>10866</v>
      </c>
      <c r="H1309" s="81" t="s">
        <v>10866</v>
      </c>
      <c r="I1309" s="79" t="s">
        <v>25</v>
      </c>
      <c r="J1309" s="79">
        <v>3</v>
      </c>
      <c r="K1309" s="79" t="s">
        <v>1714</v>
      </c>
      <c r="L1309" s="81" t="s">
        <v>10867</v>
      </c>
      <c r="M1309" s="109" t="s">
        <v>10868</v>
      </c>
      <c r="N1309" s="79" t="s">
        <v>3916</v>
      </c>
      <c r="O1309" s="13" t="s">
        <v>36</v>
      </c>
      <c r="P1309" s="13" t="s">
        <v>4</v>
      </c>
      <c r="Q1309" s="81" t="s">
        <v>10869</v>
      </c>
      <c r="R1309" s="69" t="s">
        <v>10870</v>
      </c>
      <c r="S1309" s="69" t="s">
        <v>10871</v>
      </c>
      <c r="T1309" s="85">
        <v>21</v>
      </c>
      <c r="U1309" s="85">
        <v>17</v>
      </c>
      <c r="V1309" s="79" t="s">
        <v>10872</v>
      </c>
      <c r="W1309" s="81"/>
      <c r="X1309" s="132">
        <v>1297</v>
      </c>
      <c r="Y1309" s="6"/>
    </row>
    <row r="1310" spans="1:25" ht="15" customHeight="1" x14ac:dyDescent="0.25">
      <c r="A1310" s="12" t="s">
        <v>10879</v>
      </c>
      <c r="B1310" s="92" t="s">
        <v>4978</v>
      </c>
      <c r="C1310" s="102">
        <v>47436</v>
      </c>
      <c r="D1310" s="79" t="s">
        <v>33</v>
      </c>
      <c r="E1310" s="81" t="s">
        <v>10880</v>
      </c>
      <c r="F1310" s="82" t="s">
        <v>10881</v>
      </c>
      <c r="G1310" s="81" t="s">
        <v>10882</v>
      </c>
      <c r="H1310" s="81" t="s">
        <v>10882</v>
      </c>
      <c r="I1310" s="79" t="s">
        <v>25</v>
      </c>
      <c r="J1310" s="79">
        <v>3</v>
      </c>
      <c r="K1310" s="79" t="s">
        <v>1714</v>
      </c>
      <c r="L1310" s="6" t="s">
        <v>10888</v>
      </c>
      <c r="M1310" s="109" t="s">
        <v>10883</v>
      </c>
      <c r="N1310" s="79" t="s">
        <v>3690</v>
      </c>
      <c r="O1310" s="13" t="s">
        <v>36</v>
      </c>
      <c r="P1310" s="13" t="s">
        <v>4</v>
      </c>
      <c r="Q1310" s="81" t="s">
        <v>10884</v>
      </c>
      <c r="R1310" s="69" t="s">
        <v>10885</v>
      </c>
      <c r="S1310" s="69" t="s">
        <v>10886</v>
      </c>
      <c r="T1310" s="85">
        <v>20</v>
      </c>
      <c r="U1310" s="85">
        <v>6</v>
      </c>
      <c r="V1310" s="79" t="s">
        <v>10887</v>
      </c>
      <c r="W1310" s="81"/>
      <c r="X1310" s="132">
        <v>1298</v>
      </c>
      <c r="Y1310" s="6"/>
    </row>
    <row r="1311" spans="1:25" ht="15" customHeight="1" x14ac:dyDescent="0.25">
      <c r="A1311" s="12" t="s">
        <v>10889</v>
      </c>
      <c r="B1311" s="13" t="s">
        <v>4977</v>
      </c>
      <c r="C1311" s="14">
        <v>46705</v>
      </c>
      <c r="D1311" s="13" t="s">
        <v>1533</v>
      </c>
      <c r="E1311" s="6" t="s">
        <v>10890</v>
      </c>
      <c r="F1311" s="15" t="s">
        <v>10891</v>
      </c>
      <c r="G1311" s="6" t="s">
        <v>10892</v>
      </c>
      <c r="H1311" s="6" t="s">
        <v>10892</v>
      </c>
      <c r="I1311" s="13" t="s">
        <v>39</v>
      </c>
      <c r="J1311" s="13">
        <v>12</v>
      </c>
      <c r="K1311" s="79" t="s">
        <v>7032</v>
      </c>
      <c r="L1311" s="6" t="s">
        <v>8934</v>
      </c>
      <c r="M1311" s="108"/>
      <c r="Q1311" s="6" t="s">
        <v>10893</v>
      </c>
      <c r="R1311" s="69" t="s">
        <v>10894</v>
      </c>
      <c r="S1311" s="69" t="s">
        <v>10896</v>
      </c>
      <c r="T1311" s="60">
        <v>455400</v>
      </c>
      <c r="U1311" s="60">
        <v>455400</v>
      </c>
      <c r="V1311" s="13" t="s">
        <v>10895</v>
      </c>
      <c r="X1311" s="132">
        <v>1299</v>
      </c>
      <c r="Y1311" s="6"/>
    </row>
    <row r="1312" spans="1:25" ht="15" customHeight="1" x14ac:dyDescent="0.25">
      <c r="A1312" s="12" t="s">
        <v>10900</v>
      </c>
      <c r="B1312" s="92" t="s">
        <v>4978</v>
      </c>
      <c r="C1312" s="102">
        <v>47436</v>
      </c>
      <c r="D1312" s="13" t="s">
        <v>33</v>
      </c>
      <c r="E1312" s="6" t="s">
        <v>10901</v>
      </c>
      <c r="F1312" s="15" t="s">
        <v>10902</v>
      </c>
      <c r="G1312" s="6" t="s">
        <v>10903</v>
      </c>
      <c r="H1312" s="6" t="s">
        <v>10903</v>
      </c>
      <c r="I1312" s="13" t="s">
        <v>25</v>
      </c>
      <c r="J1312" s="79">
        <v>3</v>
      </c>
      <c r="K1312" s="13" t="s">
        <v>1714</v>
      </c>
      <c r="L1312" s="6" t="s">
        <v>10909</v>
      </c>
      <c r="M1312" s="108" t="s">
        <v>10904</v>
      </c>
      <c r="N1312" s="13" t="s">
        <v>10905</v>
      </c>
      <c r="O1312" s="13" t="s">
        <v>2146</v>
      </c>
      <c r="P1312" s="13" t="s">
        <v>68</v>
      </c>
      <c r="Q1312" s="6" t="s">
        <v>10907</v>
      </c>
      <c r="R1312" s="69" t="s">
        <v>10908</v>
      </c>
      <c r="S1312" s="69" t="s">
        <v>10910</v>
      </c>
      <c r="T1312" s="87">
        <v>15</v>
      </c>
      <c r="U1312" s="87">
        <v>13</v>
      </c>
      <c r="V1312" s="79" t="s">
        <v>10906</v>
      </c>
      <c r="W1312" s="81"/>
      <c r="X1312" s="132">
        <v>1300</v>
      </c>
      <c r="Y1312" s="6"/>
    </row>
    <row r="1313" spans="1:25" ht="15" customHeight="1" x14ac:dyDescent="0.25">
      <c r="A1313" s="12" t="s">
        <v>10912</v>
      </c>
      <c r="B1313" s="13" t="s">
        <v>4977</v>
      </c>
      <c r="C1313" s="80">
        <v>46705</v>
      </c>
      <c r="D1313" s="13" t="s">
        <v>1533</v>
      </c>
      <c r="E1313" s="81" t="s">
        <v>10913</v>
      </c>
      <c r="F1313" s="15" t="s">
        <v>10915</v>
      </c>
      <c r="G1313" s="6" t="s">
        <v>10916</v>
      </c>
      <c r="H1313" s="6" t="s">
        <v>10916</v>
      </c>
      <c r="I1313" s="13" t="s">
        <v>39</v>
      </c>
      <c r="J1313" s="79">
        <v>12</v>
      </c>
      <c r="K1313" s="13" t="s">
        <v>1714</v>
      </c>
      <c r="L1313" s="6" t="s">
        <v>10917</v>
      </c>
      <c r="M1313" s="108" t="s">
        <v>10918</v>
      </c>
      <c r="N1313" s="13" t="s">
        <v>2340</v>
      </c>
      <c r="O1313" s="13" t="s">
        <v>1055</v>
      </c>
      <c r="P1313" s="13" t="s">
        <v>16</v>
      </c>
      <c r="Q1313" s="6" t="s">
        <v>10919</v>
      </c>
      <c r="R1313" s="69" t="s">
        <v>10920</v>
      </c>
      <c r="S1313" s="84"/>
      <c r="T1313" s="87">
        <v>80</v>
      </c>
      <c r="U1313" s="87">
        <v>80</v>
      </c>
      <c r="V1313" s="79" t="s">
        <v>10914</v>
      </c>
      <c r="W1313" s="81"/>
      <c r="X1313" s="132">
        <v>1301</v>
      </c>
      <c r="Y1313" s="6"/>
    </row>
    <row r="1314" spans="1:25" ht="15" customHeight="1" x14ac:dyDescent="0.25">
      <c r="A1314" s="12" t="s">
        <v>10934</v>
      </c>
      <c r="B1314" s="92" t="s">
        <v>4978</v>
      </c>
      <c r="C1314" s="102">
        <v>47436</v>
      </c>
      <c r="D1314" s="79" t="s">
        <v>33</v>
      </c>
      <c r="E1314" s="81" t="s">
        <v>10935</v>
      </c>
      <c r="F1314" s="82" t="s">
        <v>10936</v>
      </c>
      <c r="G1314" s="81" t="s">
        <v>10937</v>
      </c>
      <c r="H1314" s="81" t="s">
        <v>10937</v>
      </c>
      <c r="I1314" s="79" t="s">
        <v>25</v>
      </c>
      <c r="J1314" s="79">
        <v>3</v>
      </c>
      <c r="K1314" s="79" t="s">
        <v>1714</v>
      </c>
      <c r="L1314" s="81" t="s">
        <v>10938</v>
      </c>
      <c r="M1314" s="109" t="s">
        <v>10939</v>
      </c>
      <c r="N1314" s="79" t="s">
        <v>2229</v>
      </c>
      <c r="O1314" s="13" t="s">
        <v>36</v>
      </c>
      <c r="P1314" s="13" t="s">
        <v>4</v>
      </c>
      <c r="Q1314" s="81" t="s">
        <v>10940</v>
      </c>
      <c r="R1314" s="69" t="s">
        <v>10941</v>
      </c>
      <c r="S1314" s="69" t="s">
        <v>10942</v>
      </c>
      <c r="T1314" s="87">
        <v>18</v>
      </c>
      <c r="U1314" s="87">
        <v>13</v>
      </c>
      <c r="V1314" s="79" t="s">
        <v>10943</v>
      </c>
      <c r="W1314" s="81"/>
      <c r="X1314" s="132">
        <v>1302</v>
      </c>
      <c r="Y1314" s="6"/>
    </row>
    <row r="1315" spans="1:25" ht="15" customHeight="1" x14ac:dyDescent="0.25">
      <c r="A1315" s="12" t="s">
        <v>10951</v>
      </c>
      <c r="B1315" s="79" t="s">
        <v>4977</v>
      </c>
      <c r="C1315" s="80">
        <v>46719</v>
      </c>
      <c r="D1315" s="79" t="s">
        <v>1533</v>
      </c>
      <c r="E1315" s="81" t="s">
        <v>10952</v>
      </c>
      <c r="F1315" s="82" t="s">
        <v>10953</v>
      </c>
      <c r="G1315" s="81" t="s">
        <v>10954</v>
      </c>
      <c r="H1315" s="81" t="s">
        <v>10954</v>
      </c>
      <c r="I1315" s="79" t="s">
        <v>39</v>
      </c>
      <c r="J1315" s="79">
        <v>12</v>
      </c>
      <c r="K1315" s="79" t="s">
        <v>1714</v>
      </c>
      <c r="L1315" s="81" t="s">
        <v>10955</v>
      </c>
      <c r="M1315" s="109" t="s">
        <v>10956</v>
      </c>
      <c r="N1315" s="79" t="s">
        <v>8</v>
      </c>
      <c r="O1315" s="13" t="s">
        <v>8</v>
      </c>
      <c r="P1315" s="13" t="s">
        <v>9</v>
      </c>
      <c r="Q1315" s="81" t="s">
        <v>10957</v>
      </c>
      <c r="R1315" s="69" t="s">
        <v>9804</v>
      </c>
      <c r="S1315" s="84" t="s">
        <v>10958</v>
      </c>
      <c r="T1315" s="85">
        <v>597</v>
      </c>
      <c r="U1315" s="85">
        <v>107</v>
      </c>
      <c r="V1315" s="79" t="s">
        <v>10959</v>
      </c>
      <c r="W1315" s="81"/>
      <c r="X1315" s="132">
        <v>1303</v>
      </c>
      <c r="Y1315" s="6"/>
    </row>
    <row r="1316" spans="1:25" ht="15" customHeight="1" x14ac:dyDescent="0.25">
      <c r="A1316" s="12" t="s">
        <v>10966</v>
      </c>
      <c r="B1316" s="92" t="s">
        <v>4978</v>
      </c>
      <c r="C1316" s="102">
        <v>47450</v>
      </c>
      <c r="D1316" s="79" t="s">
        <v>33</v>
      </c>
      <c r="E1316" s="81" t="s">
        <v>10967</v>
      </c>
      <c r="F1316" s="82" t="s">
        <v>10968</v>
      </c>
      <c r="G1316" s="81" t="s">
        <v>10969</v>
      </c>
      <c r="H1316" s="81" t="s">
        <v>10969</v>
      </c>
      <c r="I1316" s="79" t="s">
        <v>25</v>
      </c>
      <c r="J1316" s="79">
        <v>3</v>
      </c>
      <c r="K1316" s="79" t="s">
        <v>1714</v>
      </c>
      <c r="L1316" s="81" t="s">
        <v>10970</v>
      </c>
      <c r="M1316" s="109" t="s">
        <v>10971</v>
      </c>
      <c r="N1316" s="79" t="s">
        <v>2507</v>
      </c>
      <c r="O1316" s="13" t="s">
        <v>61</v>
      </c>
      <c r="P1316" s="13" t="s">
        <v>9</v>
      </c>
      <c r="Q1316" s="81" t="s">
        <v>10972</v>
      </c>
      <c r="R1316" s="69" t="s">
        <v>10973</v>
      </c>
      <c r="S1316" s="84"/>
      <c r="T1316" s="85">
        <v>20</v>
      </c>
      <c r="U1316" s="85">
        <v>17</v>
      </c>
      <c r="V1316" s="79" t="s">
        <v>10974</v>
      </c>
      <c r="W1316" s="81"/>
      <c r="X1316" s="132">
        <v>1304</v>
      </c>
      <c r="Y1316" s="6"/>
    </row>
    <row r="1317" spans="1:25" ht="15" customHeight="1" x14ac:dyDescent="0.25">
      <c r="A1317" s="12" t="s">
        <v>10986</v>
      </c>
      <c r="B1317" s="92" t="s">
        <v>4978</v>
      </c>
      <c r="C1317" s="102">
        <v>47450</v>
      </c>
      <c r="D1317" s="79" t="s">
        <v>33</v>
      </c>
      <c r="E1317" s="81" t="s">
        <v>10987</v>
      </c>
      <c r="F1317" s="82" t="s">
        <v>10988</v>
      </c>
      <c r="G1317" s="81" t="s">
        <v>10989</v>
      </c>
      <c r="H1317" s="81" t="s">
        <v>10989</v>
      </c>
      <c r="I1317" s="79" t="s">
        <v>25</v>
      </c>
      <c r="J1317" s="79">
        <v>3</v>
      </c>
      <c r="K1317" s="79" t="s">
        <v>1714</v>
      </c>
      <c r="L1317" s="81" t="s">
        <v>10990</v>
      </c>
      <c r="M1317" s="109" t="s">
        <v>10991</v>
      </c>
      <c r="N1317" s="79" t="s">
        <v>10992</v>
      </c>
      <c r="O1317" s="13" t="s">
        <v>15</v>
      </c>
      <c r="P1317" s="13" t="s">
        <v>16</v>
      </c>
      <c r="Q1317" s="81" t="s">
        <v>10993</v>
      </c>
      <c r="R1317" s="69" t="s">
        <v>10994</v>
      </c>
      <c r="S1317" s="84"/>
      <c r="T1317" s="85">
        <v>12</v>
      </c>
      <c r="U1317" s="85">
        <v>3</v>
      </c>
      <c r="V1317" s="79" t="s">
        <v>10995</v>
      </c>
      <c r="W1317" s="81"/>
      <c r="X1317" s="132">
        <v>1305</v>
      </c>
      <c r="Y1317" s="6"/>
    </row>
    <row r="1318" spans="1:25" ht="15" customHeight="1" x14ac:dyDescent="0.25">
      <c r="A1318" s="12" t="s">
        <v>10996</v>
      </c>
      <c r="B1318" s="92" t="s">
        <v>4978</v>
      </c>
      <c r="C1318" s="102">
        <v>47450</v>
      </c>
      <c r="D1318" s="79" t="s">
        <v>33</v>
      </c>
      <c r="E1318" s="81" t="s">
        <v>10997</v>
      </c>
      <c r="F1318" s="82" t="s">
        <v>10998</v>
      </c>
      <c r="G1318" s="81" t="s">
        <v>10999</v>
      </c>
      <c r="H1318" s="81" t="s">
        <v>10999</v>
      </c>
      <c r="I1318" s="79" t="s">
        <v>25</v>
      </c>
      <c r="J1318" s="79">
        <v>3</v>
      </c>
      <c r="K1318" s="79" t="s">
        <v>1714</v>
      </c>
      <c r="L1318" s="81" t="s">
        <v>11000</v>
      </c>
      <c r="M1318" s="109" t="s">
        <v>11001</v>
      </c>
      <c r="N1318" s="79" t="s">
        <v>11002</v>
      </c>
      <c r="O1318" s="13" t="s">
        <v>21</v>
      </c>
      <c r="P1318" s="13" t="s">
        <v>9</v>
      </c>
      <c r="Q1318" s="81" t="s">
        <v>11003</v>
      </c>
      <c r="R1318" s="69" t="s">
        <v>11004</v>
      </c>
      <c r="S1318" s="84"/>
      <c r="T1318" s="85">
        <v>30</v>
      </c>
      <c r="U1318" s="85">
        <v>24</v>
      </c>
      <c r="V1318" s="79" t="s">
        <v>11005</v>
      </c>
      <c r="W1318" s="81"/>
      <c r="X1318" s="132">
        <v>1306</v>
      </c>
      <c r="Y1318" s="6"/>
    </row>
    <row r="1319" spans="1:25" ht="15" customHeight="1" x14ac:dyDescent="0.25">
      <c r="A1319" s="12" t="s">
        <v>11018</v>
      </c>
      <c r="B1319" s="79" t="s">
        <v>4977</v>
      </c>
      <c r="C1319" s="80">
        <v>46719</v>
      </c>
      <c r="D1319" s="79" t="s">
        <v>1533</v>
      </c>
      <c r="E1319" s="81" t="s">
        <v>11019</v>
      </c>
      <c r="F1319" s="82" t="s">
        <v>11020</v>
      </c>
      <c r="G1319" s="81" t="s">
        <v>11021</v>
      </c>
      <c r="H1319" s="81" t="s">
        <v>11021</v>
      </c>
      <c r="I1319" s="79" t="s">
        <v>39</v>
      </c>
      <c r="J1319" s="79">
        <v>12</v>
      </c>
      <c r="K1319" s="79" t="s">
        <v>1714</v>
      </c>
      <c r="L1319" s="81" t="s">
        <v>11022</v>
      </c>
      <c r="M1319" s="109" t="s">
        <v>5294</v>
      </c>
      <c r="N1319" s="79" t="s">
        <v>5415</v>
      </c>
      <c r="O1319" s="13" t="s">
        <v>21</v>
      </c>
      <c r="P1319" s="13" t="s">
        <v>9</v>
      </c>
      <c r="Q1319" s="81" t="s">
        <v>11023</v>
      </c>
      <c r="R1319" s="69" t="s">
        <v>11024</v>
      </c>
      <c r="S1319" s="69" t="s">
        <v>11025</v>
      </c>
      <c r="T1319" s="85">
        <v>45</v>
      </c>
      <c r="U1319" s="85">
        <v>23</v>
      </c>
      <c r="V1319" s="79" t="s">
        <v>11026</v>
      </c>
      <c r="W1319" s="81"/>
      <c r="X1319" s="132">
        <v>1307</v>
      </c>
      <c r="Y1319" s="6"/>
    </row>
    <row r="1320" spans="1:25" ht="15" customHeight="1" x14ac:dyDescent="0.25">
      <c r="A1320" s="12" t="s">
        <v>11046</v>
      </c>
      <c r="B1320" s="13" t="s">
        <v>4977</v>
      </c>
      <c r="C1320" s="14">
        <v>46733</v>
      </c>
      <c r="D1320" s="13" t="s">
        <v>1533</v>
      </c>
      <c r="E1320" s="6" t="s">
        <v>11047</v>
      </c>
      <c r="F1320" s="15" t="s">
        <v>11048</v>
      </c>
      <c r="G1320" s="6" t="s">
        <v>11049</v>
      </c>
      <c r="H1320" s="6" t="s">
        <v>11049</v>
      </c>
      <c r="I1320" s="13" t="s">
        <v>39</v>
      </c>
      <c r="J1320" s="13">
        <v>12</v>
      </c>
      <c r="K1320" s="13" t="s">
        <v>1714</v>
      </c>
      <c r="L1320" s="6" t="s">
        <v>11050</v>
      </c>
      <c r="M1320" s="108" t="s">
        <v>11051</v>
      </c>
      <c r="N1320" s="13" t="s">
        <v>8971</v>
      </c>
      <c r="O1320" s="13" t="s">
        <v>27</v>
      </c>
      <c r="P1320" s="13" t="s">
        <v>9</v>
      </c>
      <c r="Q1320" s="6" t="s">
        <v>10957</v>
      </c>
      <c r="R1320" s="69" t="s">
        <v>9804</v>
      </c>
      <c r="S1320" s="30"/>
      <c r="T1320" s="18">
        <v>25</v>
      </c>
      <c r="U1320" s="18">
        <v>3</v>
      </c>
      <c r="V1320" s="13" t="s">
        <v>11052</v>
      </c>
      <c r="X1320" s="132">
        <v>1308</v>
      </c>
      <c r="Y1320" s="6"/>
    </row>
    <row r="1321" spans="1:25" ht="15" customHeight="1" x14ac:dyDescent="0.25">
      <c r="A1321" s="12" t="s">
        <v>11060</v>
      </c>
      <c r="B1321" s="92" t="s">
        <v>4978</v>
      </c>
      <c r="C1321" s="102">
        <v>47464</v>
      </c>
      <c r="D1321" s="13" t="s">
        <v>1533</v>
      </c>
      <c r="E1321" s="6" t="s">
        <v>11063</v>
      </c>
      <c r="F1321" s="15" t="s">
        <v>11058</v>
      </c>
      <c r="G1321" s="6" t="s">
        <v>11059</v>
      </c>
      <c r="H1321" s="6" t="s">
        <v>11066</v>
      </c>
      <c r="I1321" s="79" t="s">
        <v>25</v>
      </c>
      <c r="J1321" s="79">
        <v>5</v>
      </c>
      <c r="K1321" s="13" t="s">
        <v>6603</v>
      </c>
      <c r="L1321" s="6" t="s">
        <v>11064</v>
      </c>
      <c r="M1321" s="108" t="s">
        <v>11065</v>
      </c>
      <c r="N1321" s="13" t="s">
        <v>8971</v>
      </c>
      <c r="O1321" s="13" t="s">
        <v>27</v>
      </c>
      <c r="P1321" s="13" t="s">
        <v>9</v>
      </c>
      <c r="Q1321" s="6" t="s">
        <v>11061</v>
      </c>
      <c r="R1321" s="69" t="s">
        <v>11062</v>
      </c>
      <c r="S1321" s="84"/>
      <c r="T1321" s="85">
        <v>30</v>
      </c>
      <c r="U1321" s="85">
        <v>28</v>
      </c>
      <c r="V1321" s="79" t="s">
        <v>10479</v>
      </c>
      <c r="W1321" s="81"/>
      <c r="X1321" s="132">
        <v>1309</v>
      </c>
      <c r="Y1321" s="6"/>
    </row>
    <row r="1322" spans="1:25" ht="15" customHeight="1" x14ac:dyDescent="0.25">
      <c r="A1322" s="12" t="s">
        <v>11070</v>
      </c>
      <c r="B1322" s="79" t="s">
        <v>4977</v>
      </c>
      <c r="C1322" s="80">
        <v>46733</v>
      </c>
      <c r="D1322" s="79" t="s">
        <v>1533</v>
      </c>
      <c r="E1322" s="81" t="s">
        <v>11071</v>
      </c>
      <c r="F1322" s="82" t="s">
        <v>11072</v>
      </c>
      <c r="G1322" s="81" t="s">
        <v>11073</v>
      </c>
      <c r="H1322" s="81" t="s">
        <v>11073</v>
      </c>
      <c r="I1322" s="79" t="s">
        <v>39</v>
      </c>
      <c r="J1322" s="79">
        <v>12</v>
      </c>
      <c r="K1322" s="79" t="s">
        <v>1714</v>
      </c>
      <c r="L1322" s="81" t="s">
        <v>8749</v>
      </c>
      <c r="M1322" s="109" t="s">
        <v>8750</v>
      </c>
      <c r="N1322" s="79" t="s">
        <v>8751</v>
      </c>
      <c r="O1322" s="13" t="s">
        <v>204</v>
      </c>
      <c r="P1322" s="13" t="s">
        <v>9</v>
      </c>
      <c r="Q1322" s="81" t="s">
        <v>8752</v>
      </c>
      <c r="R1322" s="69" t="s">
        <v>11074</v>
      </c>
      <c r="S1322" s="84" t="s">
        <v>11075</v>
      </c>
      <c r="T1322" s="85">
        <v>250</v>
      </c>
      <c r="U1322" s="85">
        <v>250</v>
      </c>
      <c r="V1322" s="79" t="s">
        <v>11076</v>
      </c>
      <c r="W1322" s="81"/>
      <c r="X1322" s="132">
        <v>1310</v>
      </c>
      <c r="Y1322" s="6"/>
    </row>
    <row r="1323" spans="1:25" ht="15" customHeight="1" x14ac:dyDescent="0.25">
      <c r="A1323" s="12" t="s">
        <v>11078</v>
      </c>
      <c r="B1323" s="79" t="s">
        <v>4977</v>
      </c>
      <c r="C1323" s="80">
        <v>46733</v>
      </c>
      <c r="D1323" s="79" t="s">
        <v>1533</v>
      </c>
      <c r="E1323" s="83" t="s">
        <v>11079</v>
      </c>
      <c r="F1323" s="82" t="s">
        <v>11080</v>
      </c>
      <c r="G1323" s="81" t="s">
        <v>11081</v>
      </c>
      <c r="H1323" s="81" t="s">
        <v>11081</v>
      </c>
      <c r="I1323" s="79" t="s">
        <v>39</v>
      </c>
      <c r="J1323" s="79">
        <v>12</v>
      </c>
      <c r="K1323" s="79" t="s">
        <v>1714</v>
      </c>
      <c r="L1323" s="81" t="s">
        <v>11082</v>
      </c>
      <c r="M1323" s="109" t="s">
        <v>11083</v>
      </c>
      <c r="N1323" s="79" t="s">
        <v>11084</v>
      </c>
      <c r="O1323" s="13" t="s">
        <v>53</v>
      </c>
      <c r="P1323" s="13" t="s">
        <v>54</v>
      </c>
      <c r="Q1323" s="81" t="s">
        <v>11085</v>
      </c>
      <c r="R1323" s="89" t="s">
        <v>11086</v>
      </c>
      <c r="S1323" s="89" t="s">
        <v>11087</v>
      </c>
      <c r="T1323" s="88">
        <v>180</v>
      </c>
      <c r="U1323" s="88">
        <v>180</v>
      </c>
      <c r="V1323" s="79" t="s">
        <v>11088</v>
      </c>
      <c r="W1323" s="81"/>
      <c r="X1323" s="132">
        <v>1311</v>
      </c>
      <c r="Y1323" s="6"/>
    </row>
    <row r="1324" spans="1:25" ht="15" customHeight="1" x14ac:dyDescent="0.25">
      <c r="A1324" s="12" t="s">
        <v>11089</v>
      </c>
      <c r="B1324" s="92" t="s">
        <v>4978</v>
      </c>
      <c r="C1324" s="74">
        <v>47464</v>
      </c>
      <c r="D1324" s="13" t="s">
        <v>33</v>
      </c>
      <c r="E1324" s="6" t="s">
        <v>11090</v>
      </c>
      <c r="F1324" s="15" t="s">
        <v>11091</v>
      </c>
      <c r="G1324" s="6" t="s">
        <v>11092</v>
      </c>
      <c r="H1324" s="6" t="s">
        <v>11092</v>
      </c>
      <c r="I1324" s="13" t="s">
        <v>25</v>
      </c>
      <c r="J1324" s="13">
        <v>3</v>
      </c>
      <c r="K1324" s="13" t="s">
        <v>1714</v>
      </c>
      <c r="L1324" s="6" t="s">
        <v>11093</v>
      </c>
      <c r="M1324" s="108" t="s">
        <v>6409</v>
      </c>
      <c r="N1324" s="13" t="s">
        <v>11094</v>
      </c>
      <c r="O1324" s="13" t="s">
        <v>136</v>
      </c>
      <c r="P1324" s="13" t="s">
        <v>4</v>
      </c>
      <c r="Q1324" s="6" t="s">
        <v>11095</v>
      </c>
      <c r="R1324" s="69" t="s">
        <v>11096</v>
      </c>
      <c r="S1324" s="30"/>
      <c r="T1324" s="18">
        <v>10</v>
      </c>
      <c r="U1324" s="18">
        <v>7</v>
      </c>
      <c r="V1324" s="13" t="s">
        <v>11097</v>
      </c>
      <c r="X1324" s="132">
        <v>1312</v>
      </c>
      <c r="Y1324" s="6"/>
    </row>
    <row r="1325" spans="1:25" ht="15" customHeight="1" x14ac:dyDescent="0.25">
      <c r="A1325" s="12" t="s">
        <v>11102</v>
      </c>
      <c r="B1325" s="79" t="s">
        <v>4977</v>
      </c>
      <c r="C1325" s="80">
        <v>46822</v>
      </c>
      <c r="D1325" s="79" t="s">
        <v>1533</v>
      </c>
      <c r="E1325" s="81" t="s">
        <v>11103</v>
      </c>
      <c r="F1325" s="82" t="s">
        <v>11104</v>
      </c>
      <c r="G1325" s="81" t="s">
        <v>11105</v>
      </c>
      <c r="H1325" s="81" t="s">
        <v>11105</v>
      </c>
      <c r="I1325" s="79" t="s">
        <v>39</v>
      </c>
      <c r="J1325" s="79">
        <v>12</v>
      </c>
      <c r="K1325" s="79" t="s">
        <v>1714</v>
      </c>
      <c r="L1325" s="81" t="s">
        <v>11106</v>
      </c>
      <c r="M1325" s="109" t="s">
        <v>8495</v>
      </c>
      <c r="N1325" s="79" t="s">
        <v>11107</v>
      </c>
      <c r="O1325" s="13" t="s">
        <v>445</v>
      </c>
      <c r="P1325" s="13" t="s">
        <v>16</v>
      </c>
      <c r="Q1325" s="81" t="s">
        <v>11108</v>
      </c>
      <c r="R1325" s="69" t="s">
        <v>11109</v>
      </c>
      <c r="S1325" s="69" t="s">
        <v>11110</v>
      </c>
      <c r="T1325" s="85">
        <v>42</v>
      </c>
      <c r="U1325" s="85">
        <v>30</v>
      </c>
      <c r="V1325" s="79" t="s">
        <v>11111</v>
      </c>
      <c r="W1325" s="81"/>
      <c r="X1325" s="132">
        <v>1313</v>
      </c>
      <c r="Y1325" s="6"/>
    </row>
    <row r="1326" spans="1:25" ht="15" customHeight="1" x14ac:dyDescent="0.25">
      <c r="A1326" s="12" t="s">
        <v>11112</v>
      </c>
      <c r="B1326" s="92" t="s">
        <v>4978</v>
      </c>
      <c r="C1326" s="102">
        <v>47552</v>
      </c>
      <c r="D1326" s="79" t="s">
        <v>33</v>
      </c>
      <c r="E1326" s="81" t="s">
        <v>11113</v>
      </c>
      <c r="F1326" s="82" t="s">
        <v>11114</v>
      </c>
      <c r="G1326" s="81" t="s">
        <v>11115</v>
      </c>
      <c r="H1326" s="81" t="s">
        <v>11115</v>
      </c>
      <c r="I1326" s="79" t="s">
        <v>25</v>
      </c>
      <c r="J1326" s="79">
        <v>3</v>
      </c>
      <c r="K1326" s="79" t="s">
        <v>1714</v>
      </c>
      <c r="L1326" s="6" t="s">
        <v>11120</v>
      </c>
      <c r="M1326" s="109" t="s">
        <v>11116</v>
      </c>
      <c r="N1326" s="79" t="s">
        <v>4486</v>
      </c>
      <c r="O1326" s="13" t="s">
        <v>136</v>
      </c>
      <c r="P1326" s="13" t="s">
        <v>4</v>
      </c>
      <c r="Q1326" s="81" t="s">
        <v>11117</v>
      </c>
      <c r="R1326" s="69" t="s">
        <v>11118</v>
      </c>
      <c r="S1326" s="84"/>
      <c r="T1326" s="85">
        <v>19</v>
      </c>
      <c r="U1326" s="85">
        <v>19</v>
      </c>
      <c r="V1326" s="79" t="s">
        <v>11119</v>
      </c>
      <c r="W1326" s="81"/>
      <c r="X1326" s="132">
        <v>1314</v>
      </c>
      <c r="Y1326" s="6"/>
    </row>
    <row r="1327" spans="1:25" ht="15" customHeight="1" x14ac:dyDescent="0.25">
      <c r="A1327" s="12" t="s">
        <v>11121</v>
      </c>
      <c r="B1327" s="92" t="s">
        <v>4978</v>
      </c>
      <c r="C1327" s="102">
        <v>47552</v>
      </c>
      <c r="D1327" s="79" t="s">
        <v>33</v>
      </c>
      <c r="E1327" s="81" t="s">
        <v>11122</v>
      </c>
      <c r="F1327" s="82" t="s">
        <v>11123</v>
      </c>
      <c r="G1327" s="81" t="s">
        <v>11124</v>
      </c>
      <c r="H1327" s="81" t="s">
        <v>11124</v>
      </c>
      <c r="I1327" s="79" t="s">
        <v>25</v>
      </c>
      <c r="J1327" s="79">
        <v>3</v>
      </c>
      <c r="K1327" s="79" t="s">
        <v>1714</v>
      </c>
      <c r="L1327" s="81" t="s">
        <v>11125</v>
      </c>
      <c r="M1327" s="109" t="s">
        <v>11126</v>
      </c>
      <c r="N1327" s="79" t="s">
        <v>2483</v>
      </c>
      <c r="O1327" s="13" t="s">
        <v>172</v>
      </c>
      <c r="P1327" s="13" t="s">
        <v>9</v>
      </c>
      <c r="Q1327" s="81" t="s">
        <v>11127</v>
      </c>
      <c r="R1327" s="69" t="s">
        <v>11128</v>
      </c>
      <c r="S1327" s="84"/>
      <c r="T1327" s="85">
        <v>26</v>
      </c>
      <c r="U1327" s="85">
        <v>23</v>
      </c>
      <c r="V1327" s="79" t="s">
        <v>11129</v>
      </c>
      <c r="W1327" s="81"/>
      <c r="X1327" s="132">
        <v>1315</v>
      </c>
      <c r="Y1327" s="6"/>
    </row>
    <row r="1328" spans="1:25" ht="15" customHeight="1" x14ac:dyDescent="0.25">
      <c r="A1328" s="12" t="s">
        <v>11133</v>
      </c>
      <c r="B1328" s="92" t="s">
        <v>4978</v>
      </c>
      <c r="C1328" s="102">
        <v>47552</v>
      </c>
      <c r="D1328" s="79" t="s">
        <v>33</v>
      </c>
      <c r="E1328" s="64" t="s">
        <v>11134</v>
      </c>
      <c r="F1328" s="15" t="s">
        <v>11135</v>
      </c>
      <c r="G1328" s="6" t="s">
        <v>11136</v>
      </c>
      <c r="H1328" s="81" t="s">
        <v>11136</v>
      </c>
      <c r="I1328" s="13" t="s">
        <v>25</v>
      </c>
      <c r="J1328" s="79">
        <v>3</v>
      </c>
      <c r="K1328" s="13" t="s">
        <v>1714</v>
      </c>
      <c r="L1328" s="6" t="s">
        <v>11137</v>
      </c>
      <c r="M1328" s="108" t="s">
        <v>11138</v>
      </c>
      <c r="N1328" s="13" t="s">
        <v>2845</v>
      </c>
      <c r="O1328" s="13" t="s">
        <v>1055</v>
      </c>
      <c r="P1328" s="13" t="s">
        <v>16</v>
      </c>
      <c r="Q1328" s="6" t="s">
        <v>11139</v>
      </c>
      <c r="R1328" s="69" t="s">
        <v>11140</v>
      </c>
      <c r="S1328" s="84"/>
      <c r="T1328" s="85">
        <v>52</v>
      </c>
      <c r="U1328" s="85">
        <v>9</v>
      </c>
      <c r="V1328" s="79" t="s">
        <v>11141</v>
      </c>
      <c r="W1328" s="81"/>
      <c r="X1328" s="132">
        <v>1316</v>
      </c>
      <c r="Y1328" s="6"/>
    </row>
    <row r="1329" spans="1:25" ht="15" customHeight="1" x14ac:dyDescent="0.25">
      <c r="A1329" s="12" t="s">
        <v>11142</v>
      </c>
      <c r="B1329" s="13" t="s">
        <v>4977</v>
      </c>
      <c r="C1329" s="14">
        <v>46822</v>
      </c>
      <c r="D1329" s="13" t="s">
        <v>1533</v>
      </c>
      <c r="E1329" s="6" t="s">
        <v>11143</v>
      </c>
      <c r="F1329" s="15" t="s">
        <v>11144</v>
      </c>
      <c r="G1329" s="6" t="s">
        <v>11145</v>
      </c>
      <c r="H1329" s="6" t="s">
        <v>11145</v>
      </c>
      <c r="I1329" s="13" t="s">
        <v>39</v>
      </c>
      <c r="J1329" s="13">
        <v>12</v>
      </c>
      <c r="K1329" s="13" t="s">
        <v>1714</v>
      </c>
      <c r="L1329" s="6" t="s">
        <v>11146</v>
      </c>
      <c r="M1329" s="108" t="s">
        <v>11147</v>
      </c>
      <c r="N1329" s="13" t="s">
        <v>2614</v>
      </c>
      <c r="O1329" s="13" t="s">
        <v>53</v>
      </c>
      <c r="P1329" s="13" t="s">
        <v>54</v>
      </c>
      <c r="Q1329" s="6" t="s">
        <v>11148</v>
      </c>
      <c r="R1329" s="69" t="s">
        <v>11149</v>
      </c>
      <c r="S1329" s="30" t="s">
        <v>11150</v>
      </c>
      <c r="T1329" s="18">
        <v>350</v>
      </c>
      <c r="U1329" s="18">
        <v>350</v>
      </c>
      <c r="V1329" s="13" t="s">
        <v>11151</v>
      </c>
      <c r="X1329" s="132">
        <v>1317</v>
      </c>
      <c r="Y1329" s="6"/>
    </row>
    <row r="1330" spans="1:25" ht="15" customHeight="1" x14ac:dyDescent="0.25">
      <c r="A1330" s="12" t="s">
        <v>11154</v>
      </c>
      <c r="B1330" s="79" t="s">
        <v>4977</v>
      </c>
      <c r="C1330" s="80">
        <v>46822</v>
      </c>
      <c r="D1330" s="79" t="s">
        <v>33</v>
      </c>
      <c r="E1330" s="81" t="s">
        <v>11155</v>
      </c>
      <c r="F1330" s="82" t="s">
        <v>11156</v>
      </c>
      <c r="G1330" s="81" t="s">
        <v>11157</v>
      </c>
      <c r="H1330" s="81" t="s">
        <v>11157</v>
      </c>
      <c r="I1330" s="79" t="s">
        <v>25</v>
      </c>
      <c r="J1330" s="79">
        <v>3</v>
      </c>
      <c r="K1330" s="79" t="s">
        <v>1714</v>
      </c>
      <c r="L1330" s="81" t="s">
        <v>11158</v>
      </c>
      <c r="M1330" s="109" t="s">
        <v>11159</v>
      </c>
      <c r="N1330" s="79" t="s">
        <v>11160</v>
      </c>
      <c r="O1330" s="13" t="s">
        <v>1847</v>
      </c>
      <c r="P1330" s="13" t="s">
        <v>68</v>
      </c>
      <c r="Q1330" s="81" t="s">
        <v>11161</v>
      </c>
      <c r="R1330" s="69" t="s">
        <v>11162</v>
      </c>
      <c r="S1330" s="84"/>
      <c r="T1330" s="85">
        <v>15</v>
      </c>
      <c r="U1330" s="85">
        <v>6</v>
      </c>
      <c r="V1330" s="79" t="s">
        <v>11163</v>
      </c>
      <c r="W1330" s="81"/>
      <c r="X1330" s="132">
        <v>1318</v>
      </c>
      <c r="Y1330" s="6"/>
    </row>
    <row r="1331" spans="1:25" ht="15" customHeight="1" x14ac:dyDescent="0.25">
      <c r="A1331" s="12" t="s">
        <v>11166</v>
      </c>
      <c r="B1331" s="79" t="s">
        <v>4977</v>
      </c>
      <c r="C1331" s="80">
        <v>46822</v>
      </c>
      <c r="D1331" s="79" t="s">
        <v>1533</v>
      </c>
      <c r="E1331" s="81" t="s">
        <v>11167</v>
      </c>
      <c r="F1331" s="82" t="s">
        <v>11168</v>
      </c>
      <c r="G1331" s="81" t="s">
        <v>11169</v>
      </c>
      <c r="H1331" s="81" t="s">
        <v>11169</v>
      </c>
      <c r="I1331" s="79" t="s">
        <v>13</v>
      </c>
      <c r="J1331" s="79">
        <v>8</v>
      </c>
      <c r="K1331" s="79" t="s">
        <v>1714</v>
      </c>
      <c r="L1331" s="81" t="s">
        <v>11170</v>
      </c>
      <c r="M1331" s="109" t="s">
        <v>8755</v>
      </c>
      <c r="N1331" s="79" t="s">
        <v>8756</v>
      </c>
      <c r="O1331" s="13" t="s">
        <v>445</v>
      </c>
      <c r="P1331" s="13" t="s">
        <v>16</v>
      </c>
      <c r="Q1331" s="81" t="s">
        <v>11171</v>
      </c>
      <c r="R1331" s="69" t="s">
        <v>11172</v>
      </c>
      <c r="S1331" s="84"/>
      <c r="T1331" s="85">
        <v>150</v>
      </c>
      <c r="U1331" s="85">
        <v>67</v>
      </c>
      <c r="V1331" s="79" t="s">
        <v>11173</v>
      </c>
      <c r="W1331" s="81"/>
      <c r="X1331" s="132">
        <v>1319</v>
      </c>
      <c r="Y1331" s="6"/>
    </row>
    <row r="1332" spans="1:25" ht="15" customHeight="1" x14ac:dyDescent="0.25">
      <c r="A1332" s="12" t="s">
        <v>11181</v>
      </c>
      <c r="B1332" s="79" t="s">
        <v>4977</v>
      </c>
      <c r="C1332" s="80">
        <v>46822</v>
      </c>
      <c r="D1332" s="79" t="s">
        <v>1533</v>
      </c>
      <c r="E1332" s="81" t="s">
        <v>11182</v>
      </c>
      <c r="F1332" s="82" t="s">
        <v>11183</v>
      </c>
      <c r="G1332" s="81" t="s">
        <v>11184</v>
      </c>
      <c r="H1332" s="81" t="s">
        <v>11184</v>
      </c>
      <c r="I1332" s="79" t="s">
        <v>39</v>
      </c>
      <c r="J1332" s="79">
        <v>12</v>
      </c>
      <c r="K1332" s="79" t="s">
        <v>1714</v>
      </c>
      <c r="L1332" s="81" t="s">
        <v>11185</v>
      </c>
      <c r="M1332" s="109" t="s">
        <v>11186</v>
      </c>
      <c r="N1332" s="79" t="s">
        <v>11187</v>
      </c>
      <c r="O1332" s="13" t="s">
        <v>11949</v>
      </c>
      <c r="P1332" s="13" t="s">
        <v>68</v>
      </c>
      <c r="Q1332" s="81" t="s">
        <v>11188</v>
      </c>
      <c r="R1332" s="69" t="s">
        <v>11189</v>
      </c>
      <c r="S1332" s="84"/>
      <c r="T1332" s="85">
        <v>100</v>
      </c>
      <c r="U1332" s="85">
        <v>80</v>
      </c>
      <c r="V1332" s="79" t="s">
        <v>11190</v>
      </c>
      <c r="W1332" s="81"/>
      <c r="X1332" s="132">
        <v>1320</v>
      </c>
      <c r="Y1332" s="6"/>
    </row>
    <row r="1333" spans="1:25" ht="15" customHeight="1" x14ac:dyDescent="0.25">
      <c r="A1333" s="12" t="s">
        <v>11197</v>
      </c>
      <c r="B1333" s="92" t="s">
        <v>4978</v>
      </c>
      <c r="C1333" s="102">
        <v>47552</v>
      </c>
      <c r="D1333" s="79" t="s">
        <v>33</v>
      </c>
      <c r="E1333" s="81" t="s">
        <v>11198</v>
      </c>
      <c r="F1333" s="82" t="s">
        <v>11199</v>
      </c>
      <c r="G1333" s="81" t="s">
        <v>11200</v>
      </c>
      <c r="H1333" s="81" t="s">
        <v>11200</v>
      </c>
      <c r="I1333" s="79" t="s">
        <v>25</v>
      </c>
      <c r="J1333" s="79">
        <v>3</v>
      </c>
      <c r="K1333" s="79" t="s">
        <v>1714</v>
      </c>
      <c r="L1333" s="6" t="s">
        <v>11206</v>
      </c>
      <c r="M1333" s="109" t="s">
        <v>11201</v>
      </c>
      <c r="N1333" s="79" t="s">
        <v>11202</v>
      </c>
      <c r="O1333" s="13" t="s">
        <v>128</v>
      </c>
      <c r="P1333" s="13" t="s">
        <v>16</v>
      </c>
      <c r="Q1333" s="81" t="s">
        <v>11203</v>
      </c>
      <c r="R1333" s="69" t="s">
        <v>11204</v>
      </c>
      <c r="S1333" s="84"/>
      <c r="T1333" s="85">
        <v>28</v>
      </c>
      <c r="U1333" s="85">
        <v>25</v>
      </c>
      <c r="V1333" s="79" t="s">
        <v>11205</v>
      </c>
      <c r="W1333" s="81"/>
      <c r="X1333" s="132">
        <v>1321</v>
      </c>
      <c r="Y1333" s="6"/>
    </row>
    <row r="1334" spans="1:25" ht="15" customHeight="1" x14ac:dyDescent="0.25">
      <c r="A1334" s="12" t="s">
        <v>11216</v>
      </c>
      <c r="B1334" s="79" t="s">
        <v>4977</v>
      </c>
      <c r="C1334" s="80">
        <v>46822</v>
      </c>
      <c r="D1334" s="79" t="s">
        <v>33</v>
      </c>
      <c r="E1334" s="6" t="s">
        <v>11207</v>
      </c>
      <c r="F1334" s="6" t="s">
        <v>11208</v>
      </c>
      <c r="G1334" s="81" t="s">
        <v>11209</v>
      </c>
      <c r="H1334" s="81" t="s">
        <v>11209</v>
      </c>
      <c r="I1334" s="79" t="s">
        <v>25</v>
      </c>
      <c r="J1334" s="79">
        <v>3</v>
      </c>
      <c r="K1334" s="79" t="s">
        <v>1714</v>
      </c>
      <c r="L1334" s="81" t="s">
        <v>11210</v>
      </c>
      <c r="M1334" s="109" t="s">
        <v>11211</v>
      </c>
      <c r="N1334" s="79" t="s">
        <v>11212</v>
      </c>
      <c r="O1334" s="13" t="s">
        <v>97</v>
      </c>
      <c r="P1334" s="13" t="s">
        <v>4</v>
      </c>
      <c r="Q1334" s="81" t="s">
        <v>11213</v>
      </c>
      <c r="R1334" s="69" t="s">
        <v>11214</v>
      </c>
      <c r="S1334" s="69" t="s">
        <v>2514</v>
      </c>
      <c r="T1334" s="85">
        <v>23</v>
      </c>
      <c r="U1334" s="85">
        <v>21</v>
      </c>
      <c r="V1334" s="79" t="s">
        <v>11215</v>
      </c>
      <c r="W1334" s="81"/>
      <c r="X1334" s="132">
        <v>1322</v>
      </c>
      <c r="Y1334" s="6"/>
    </row>
    <row r="1335" spans="1:25" ht="15" customHeight="1" x14ac:dyDescent="0.25">
      <c r="A1335" s="12" t="s">
        <v>11217</v>
      </c>
      <c r="B1335" s="92" t="s">
        <v>4978</v>
      </c>
      <c r="C1335" s="102">
        <v>47552</v>
      </c>
      <c r="D1335" s="79" t="s">
        <v>33</v>
      </c>
      <c r="E1335" s="81" t="s">
        <v>11218</v>
      </c>
      <c r="F1335" s="82" t="s">
        <v>11219</v>
      </c>
      <c r="G1335" s="81" t="s">
        <v>11220</v>
      </c>
      <c r="H1335" s="81" t="s">
        <v>11220</v>
      </c>
      <c r="I1335" s="79" t="s">
        <v>25</v>
      </c>
      <c r="J1335" s="79">
        <v>3</v>
      </c>
      <c r="K1335" s="79" t="s">
        <v>1714</v>
      </c>
      <c r="L1335" s="81" t="s">
        <v>11221</v>
      </c>
      <c r="M1335" s="109" t="s">
        <v>11222</v>
      </c>
      <c r="N1335" s="79" t="s">
        <v>11223</v>
      </c>
      <c r="O1335" s="13" t="s">
        <v>128</v>
      </c>
      <c r="P1335" s="13" t="s">
        <v>16</v>
      </c>
      <c r="Q1335" s="81" t="s">
        <v>3786</v>
      </c>
      <c r="R1335" s="69" t="s">
        <v>4682</v>
      </c>
      <c r="S1335" s="84"/>
      <c r="T1335" s="85">
        <v>20</v>
      </c>
      <c r="U1335" s="85">
        <v>16</v>
      </c>
      <c r="V1335" s="79" t="s">
        <v>11224</v>
      </c>
      <c r="W1335" s="81"/>
      <c r="X1335" s="132">
        <v>1323</v>
      </c>
      <c r="Y1335" s="6"/>
    </row>
    <row r="1336" spans="1:25" ht="15" customHeight="1" x14ac:dyDescent="0.25">
      <c r="A1336" s="12" t="s">
        <v>11225</v>
      </c>
      <c r="B1336" s="79" t="s">
        <v>4977</v>
      </c>
      <c r="C1336" s="80">
        <v>46822</v>
      </c>
      <c r="D1336" s="79" t="s">
        <v>33</v>
      </c>
      <c r="E1336" s="81" t="s">
        <v>11226</v>
      </c>
      <c r="F1336" s="82" t="s">
        <v>11227</v>
      </c>
      <c r="G1336" s="81" t="s">
        <v>11228</v>
      </c>
      <c r="H1336" s="81" t="s">
        <v>11228</v>
      </c>
      <c r="I1336" s="79" t="s">
        <v>39</v>
      </c>
      <c r="J1336" s="79">
        <v>12</v>
      </c>
      <c r="K1336" s="79" t="s">
        <v>1714</v>
      </c>
      <c r="L1336" s="81" t="s">
        <v>11229</v>
      </c>
      <c r="M1336" s="109" t="s">
        <v>11230</v>
      </c>
      <c r="N1336" s="79" t="s">
        <v>4879</v>
      </c>
      <c r="O1336" s="13" t="s">
        <v>53</v>
      </c>
      <c r="P1336" s="13" t="s">
        <v>54</v>
      </c>
      <c r="Q1336" s="81" t="s">
        <v>11231</v>
      </c>
      <c r="R1336" s="69" t="s">
        <v>11232</v>
      </c>
      <c r="S1336" s="69" t="s">
        <v>11233</v>
      </c>
      <c r="T1336" s="85">
        <v>100</v>
      </c>
      <c r="U1336" s="85">
        <v>100</v>
      </c>
      <c r="V1336" s="79" t="s">
        <v>11234</v>
      </c>
      <c r="W1336" s="81"/>
      <c r="X1336" s="132">
        <v>1324</v>
      </c>
      <c r="Y1336" s="6"/>
    </row>
    <row r="1337" spans="1:25" ht="15" customHeight="1" x14ac:dyDescent="0.25">
      <c r="A1337" s="12" t="s">
        <v>11235</v>
      </c>
      <c r="B1337" s="79" t="s">
        <v>4977</v>
      </c>
      <c r="C1337" s="80">
        <v>46822</v>
      </c>
      <c r="D1337" s="79" t="s">
        <v>33</v>
      </c>
      <c r="E1337" s="81" t="s">
        <v>11236</v>
      </c>
      <c r="F1337" s="82" t="s">
        <v>11242</v>
      </c>
      <c r="G1337" s="81" t="s">
        <v>11237</v>
      </c>
      <c r="H1337" s="81" t="s">
        <v>11237</v>
      </c>
      <c r="I1337" s="79" t="s">
        <v>25</v>
      </c>
      <c r="J1337" s="79">
        <v>6</v>
      </c>
      <c r="K1337" s="79" t="s">
        <v>1714</v>
      </c>
      <c r="L1337" s="81" t="s">
        <v>11238</v>
      </c>
      <c r="M1337" s="109" t="s">
        <v>11239</v>
      </c>
      <c r="N1337" s="79" t="s">
        <v>6027</v>
      </c>
      <c r="O1337" s="13" t="s">
        <v>1055</v>
      </c>
      <c r="P1337" s="13" t="s">
        <v>16</v>
      </c>
      <c r="Q1337" s="81" t="s">
        <v>11243</v>
      </c>
      <c r="R1337" s="69" t="s">
        <v>11240</v>
      </c>
      <c r="S1337" s="84"/>
      <c r="T1337" s="85">
        <v>16</v>
      </c>
      <c r="U1337" s="85">
        <v>16</v>
      </c>
      <c r="V1337" s="79" t="s">
        <v>11241</v>
      </c>
      <c r="W1337" s="81"/>
      <c r="X1337" s="132">
        <v>1325</v>
      </c>
      <c r="Y1337" s="6"/>
    </row>
    <row r="1338" spans="1:25" ht="15" customHeight="1" x14ac:dyDescent="0.25">
      <c r="A1338" s="12" t="s">
        <v>11257</v>
      </c>
      <c r="B1338" s="92" t="s">
        <v>4978</v>
      </c>
      <c r="C1338" s="74">
        <v>47552</v>
      </c>
      <c r="D1338" s="13" t="s">
        <v>33</v>
      </c>
      <c r="E1338" s="6" t="s">
        <v>11258</v>
      </c>
      <c r="F1338" s="15" t="s">
        <v>11259</v>
      </c>
      <c r="G1338" s="6" t="s">
        <v>11260</v>
      </c>
      <c r="H1338" s="6" t="s">
        <v>11260</v>
      </c>
      <c r="I1338" s="13" t="s">
        <v>25</v>
      </c>
      <c r="J1338" s="13">
        <v>3</v>
      </c>
      <c r="K1338" s="13" t="s">
        <v>1714</v>
      </c>
      <c r="L1338" s="6" t="s">
        <v>11261</v>
      </c>
      <c r="M1338" s="108" t="s">
        <v>11262</v>
      </c>
      <c r="N1338" s="13" t="s">
        <v>704</v>
      </c>
      <c r="O1338" s="13" t="s">
        <v>704</v>
      </c>
      <c r="P1338" s="13" t="s">
        <v>16</v>
      </c>
      <c r="Q1338" s="6" t="s">
        <v>11263</v>
      </c>
      <c r="R1338" s="69" t="s">
        <v>2590</v>
      </c>
      <c r="S1338" s="69" t="s">
        <v>2591</v>
      </c>
      <c r="T1338" s="18">
        <v>35</v>
      </c>
      <c r="U1338" s="18">
        <v>14</v>
      </c>
      <c r="V1338" s="13" t="s">
        <v>11264</v>
      </c>
      <c r="X1338" s="132">
        <v>1326</v>
      </c>
      <c r="Y1338" s="6"/>
    </row>
    <row r="1339" spans="1:25" ht="15" customHeight="1" x14ac:dyDescent="0.25">
      <c r="A1339" s="12" t="s">
        <v>11277</v>
      </c>
      <c r="B1339" s="79" t="s">
        <v>4977</v>
      </c>
      <c r="C1339" s="14">
        <v>46822</v>
      </c>
      <c r="D1339" s="79" t="s">
        <v>1533</v>
      </c>
      <c r="E1339" s="6" t="s">
        <v>11278</v>
      </c>
      <c r="F1339" t="s">
        <v>11307</v>
      </c>
      <c r="G1339" s="81" t="s">
        <v>11279</v>
      </c>
      <c r="H1339" s="81" t="s">
        <v>11279</v>
      </c>
      <c r="I1339" s="79" t="s">
        <v>39</v>
      </c>
      <c r="J1339" s="79">
        <v>12</v>
      </c>
      <c r="K1339" s="79" t="s">
        <v>1714</v>
      </c>
      <c r="L1339" s="81" t="s">
        <v>11280</v>
      </c>
      <c r="M1339" s="109" t="s">
        <v>11281</v>
      </c>
      <c r="N1339" s="79" t="s">
        <v>11282</v>
      </c>
      <c r="O1339" s="13" t="s">
        <v>177</v>
      </c>
      <c r="P1339" s="13" t="s">
        <v>9</v>
      </c>
      <c r="Q1339" s="81" t="s">
        <v>11283</v>
      </c>
      <c r="R1339" s="69" t="s">
        <v>11284</v>
      </c>
      <c r="S1339" s="84" t="s">
        <v>11285</v>
      </c>
      <c r="T1339" s="87">
        <v>4182</v>
      </c>
      <c r="U1339" s="87">
        <v>2699</v>
      </c>
      <c r="V1339" s="79" t="s">
        <v>11286</v>
      </c>
      <c r="W1339" s="81"/>
      <c r="X1339" s="132">
        <v>1327</v>
      </c>
      <c r="Y1339" s="6"/>
    </row>
    <row r="1340" spans="1:25" ht="15" customHeight="1" x14ac:dyDescent="0.25">
      <c r="A1340" s="12" t="s">
        <v>11294</v>
      </c>
      <c r="B1340" s="92" t="s">
        <v>4978</v>
      </c>
      <c r="C1340" s="102">
        <v>47552</v>
      </c>
      <c r="D1340" s="79" t="s">
        <v>33</v>
      </c>
      <c r="E1340" s="81" t="s">
        <v>11295</v>
      </c>
      <c r="F1340" s="15" t="s">
        <v>11302</v>
      </c>
      <c r="G1340" s="81" t="s">
        <v>11296</v>
      </c>
      <c r="H1340" s="81" t="s">
        <v>11296</v>
      </c>
      <c r="I1340" s="79" t="s">
        <v>25</v>
      </c>
      <c r="J1340" s="79">
        <v>3</v>
      </c>
      <c r="K1340" s="79" t="s">
        <v>1714</v>
      </c>
      <c r="L1340" s="81" t="s">
        <v>11297</v>
      </c>
      <c r="M1340" s="109" t="s">
        <v>11298</v>
      </c>
      <c r="N1340" s="79" t="s">
        <v>2667</v>
      </c>
      <c r="O1340" s="13" t="s">
        <v>177</v>
      </c>
      <c r="P1340" s="13" t="s">
        <v>9</v>
      </c>
      <c r="Q1340" s="81" t="s">
        <v>11299</v>
      </c>
      <c r="R1340" s="69" t="s">
        <v>11300</v>
      </c>
      <c r="S1340" s="84"/>
      <c r="T1340" s="85">
        <v>43</v>
      </c>
      <c r="U1340" s="85">
        <v>33</v>
      </c>
      <c r="V1340" s="79" t="s">
        <v>11301</v>
      </c>
      <c r="W1340" s="81"/>
      <c r="X1340" s="132">
        <v>1328</v>
      </c>
      <c r="Y1340" s="6"/>
    </row>
    <row r="1341" spans="1:25" ht="15" customHeight="1" x14ac:dyDescent="0.25">
      <c r="A1341" s="12" t="s">
        <v>11337</v>
      </c>
      <c r="B1341" s="79" t="s">
        <v>4977</v>
      </c>
      <c r="C1341" s="80">
        <v>46822</v>
      </c>
      <c r="D1341" s="79" t="s">
        <v>1533</v>
      </c>
      <c r="E1341" s="81" t="s">
        <v>11338</v>
      </c>
      <c r="F1341" s="82" t="s">
        <v>11345</v>
      </c>
      <c r="G1341" s="81" t="s">
        <v>11339</v>
      </c>
      <c r="H1341" s="81" t="s">
        <v>11339</v>
      </c>
      <c r="I1341" s="79" t="s">
        <v>39</v>
      </c>
      <c r="J1341" s="79">
        <v>12</v>
      </c>
      <c r="K1341" s="79" t="s">
        <v>1714</v>
      </c>
      <c r="L1341" s="81" t="s">
        <v>11340</v>
      </c>
      <c r="M1341" s="109" t="s">
        <v>11341</v>
      </c>
      <c r="N1341" s="79" t="s">
        <v>67</v>
      </c>
      <c r="O1341" s="13" t="s">
        <v>9664</v>
      </c>
      <c r="P1341" s="13" t="s">
        <v>68</v>
      </c>
      <c r="Q1341" s="81" t="s">
        <v>11342</v>
      </c>
      <c r="R1341" s="69" t="s">
        <v>11343</v>
      </c>
      <c r="S1341" s="84"/>
      <c r="T1341" s="85">
        <v>30</v>
      </c>
      <c r="U1341" s="85">
        <v>30</v>
      </c>
      <c r="V1341" s="79" t="s">
        <v>11344</v>
      </c>
      <c r="W1341" s="81"/>
      <c r="X1341" s="132">
        <v>1329</v>
      </c>
      <c r="Y1341" s="6"/>
    </row>
    <row r="1342" spans="1:25" ht="15" customHeight="1" x14ac:dyDescent="0.25">
      <c r="A1342" s="12" t="s">
        <v>11346</v>
      </c>
      <c r="B1342" s="92" t="s">
        <v>4978</v>
      </c>
      <c r="C1342" s="102">
        <v>47552</v>
      </c>
      <c r="D1342" s="79" t="s">
        <v>33</v>
      </c>
      <c r="E1342" s="81" t="s">
        <v>11347</v>
      </c>
      <c r="F1342" s="82" t="s">
        <v>11348</v>
      </c>
      <c r="G1342" s="81" t="s">
        <v>11349</v>
      </c>
      <c r="H1342" s="81" t="s">
        <v>11349</v>
      </c>
      <c r="I1342" s="79" t="s">
        <v>25</v>
      </c>
      <c r="J1342" s="79">
        <v>3</v>
      </c>
      <c r="K1342" s="79" t="s">
        <v>1714</v>
      </c>
      <c r="L1342" s="81" t="s">
        <v>11350</v>
      </c>
      <c r="M1342" s="109" t="s">
        <v>11351</v>
      </c>
      <c r="N1342" s="79" t="s">
        <v>11352</v>
      </c>
      <c r="O1342" s="13" t="s">
        <v>97</v>
      </c>
      <c r="P1342" s="13" t="s">
        <v>4</v>
      </c>
      <c r="Q1342" s="81" t="s">
        <v>11353</v>
      </c>
      <c r="R1342" s="69" t="s">
        <v>9081</v>
      </c>
      <c r="S1342" s="69" t="s">
        <v>9082</v>
      </c>
      <c r="T1342" s="85">
        <v>12</v>
      </c>
      <c r="U1342" s="85">
        <v>12</v>
      </c>
      <c r="V1342" s="79" t="s">
        <v>11354</v>
      </c>
      <c r="W1342" s="81"/>
      <c r="X1342" s="132">
        <v>1330</v>
      </c>
      <c r="Y1342" s="6"/>
    </row>
    <row r="1343" spans="1:25" ht="15" customHeight="1" x14ac:dyDescent="0.25">
      <c r="A1343" s="12" t="s">
        <v>11355</v>
      </c>
      <c r="B1343" s="79" t="s">
        <v>4977</v>
      </c>
      <c r="C1343" s="80">
        <v>46822</v>
      </c>
      <c r="D1343" s="79" t="s">
        <v>1533</v>
      </c>
      <c r="E1343" s="81" t="s">
        <v>11356</v>
      </c>
      <c r="F1343" s="82" t="s">
        <v>11357</v>
      </c>
      <c r="G1343" s="81" t="s">
        <v>11358</v>
      </c>
      <c r="H1343" s="81" t="s">
        <v>11358</v>
      </c>
      <c r="I1343" s="79" t="s">
        <v>39</v>
      </c>
      <c r="J1343" s="79">
        <v>12</v>
      </c>
      <c r="K1343" s="79" t="s">
        <v>1714</v>
      </c>
      <c r="L1343" s="81" t="s">
        <v>11359</v>
      </c>
      <c r="M1343" s="109" t="s">
        <v>11360</v>
      </c>
      <c r="N1343" s="79" t="s">
        <v>3338</v>
      </c>
      <c r="O1343" s="13" t="s">
        <v>1055</v>
      </c>
      <c r="P1343" s="13" t="s">
        <v>16</v>
      </c>
      <c r="Q1343" s="81" t="s">
        <v>11361</v>
      </c>
      <c r="R1343" s="69" t="s">
        <v>11362</v>
      </c>
      <c r="S1343" s="84" t="s">
        <v>11363</v>
      </c>
      <c r="T1343" s="85">
        <v>550</v>
      </c>
      <c r="U1343" s="85">
        <v>529</v>
      </c>
      <c r="V1343" s="79" t="s">
        <v>11364</v>
      </c>
      <c r="W1343" s="81"/>
      <c r="X1343" s="132">
        <v>1331</v>
      </c>
      <c r="Y1343" s="6"/>
    </row>
    <row r="1344" spans="1:25" ht="12.75" customHeight="1" x14ac:dyDescent="0.2">
      <c r="A1344" s="12" t="s">
        <v>11375</v>
      </c>
      <c r="B1344" s="92" t="s">
        <v>4978</v>
      </c>
      <c r="C1344" s="102">
        <v>47552</v>
      </c>
      <c r="D1344" s="79" t="s">
        <v>33</v>
      </c>
      <c r="E1344" s="81" t="s">
        <v>11376</v>
      </c>
      <c r="F1344" s="82" t="s">
        <v>7238</v>
      </c>
      <c r="G1344" s="81" t="s">
        <v>11377</v>
      </c>
      <c r="H1344" s="81" t="s">
        <v>11377</v>
      </c>
      <c r="I1344" s="79" t="s">
        <v>25</v>
      </c>
      <c r="J1344" s="79">
        <v>3</v>
      </c>
      <c r="K1344" s="79" t="s">
        <v>1714</v>
      </c>
      <c r="L1344" s="81" t="s">
        <v>11378</v>
      </c>
      <c r="M1344" s="109" t="s">
        <v>9335</v>
      </c>
      <c r="N1344" s="79" t="s">
        <v>2470</v>
      </c>
      <c r="O1344" s="13" t="s">
        <v>136</v>
      </c>
      <c r="P1344" s="13" t="s">
        <v>4</v>
      </c>
      <c r="Q1344" s="81" t="s">
        <v>11379</v>
      </c>
      <c r="R1344" s="84"/>
      <c r="S1344" s="84"/>
      <c r="T1344" s="85">
        <v>22</v>
      </c>
      <c r="U1344" s="85">
        <v>14</v>
      </c>
      <c r="V1344" s="79" t="s">
        <v>11380</v>
      </c>
      <c r="W1344" s="81"/>
      <c r="X1344" s="132">
        <v>1332</v>
      </c>
      <c r="Y1344" s="6"/>
    </row>
    <row r="1345" spans="1:25" ht="15" customHeight="1" x14ac:dyDescent="0.25">
      <c r="A1345" s="12" t="s">
        <v>11403</v>
      </c>
      <c r="B1345" s="79" t="s">
        <v>4977</v>
      </c>
      <c r="C1345" s="80">
        <v>46822</v>
      </c>
      <c r="D1345" s="79" t="s">
        <v>1533</v>
      </c>
      <c r="E1345" s="81" t="s">
        <v>11404</v>
      </c>
      <c r="F1345" s="82" t="s">
        <v>11405</v>
      </c>
      <c r="G1345" s="81" t="s">
        <v>11406</v>
      </c>
      <c r="H1345" s="81" t="s">
        <v>11406</v>
      </c>
      <c r="I1345" s="79" t="s">
        <v>39</v>
      </c>
      <c r="J1345" s="79">
        <v>12</v>
      </c>
      <c r="K1345" s="79" t="s">
        <v>1714</v>
      </c>
      <c r="L1345" s="81" t="s">
        <v>11407</v>
      </c>
      <c r="M1345" s="109" t="s">
        <v>11408</v>
      </c>
      <c r="N1345" s="79" t="s">
        <v>11409</v>
      </c>
      <c r="O1345" s="13" t="s">
        <v>9664</v>
      </c>
      <c r="P1345" s="13" t="s">
        <v>68</v>
      </c>
      <c r="Q1345" s="81" t="s">
        <v>11410</v>
      </c>
      <c r="R1345" s="69" t="s">
        <v>11411</v>
      </c>
      <c r="S1345" s="69" t="s">
        <v>11412</v>
      </c>
      <c r="T1345" s="85">
        <v>25</v>
      </c>
      <c r="U1345" s="85">
        <v>15</v>
      </c>
      <c r="V1345" s="79" t="s">
        <v>11413</v>
      </c>
      <c r="W1345" s="81"/>
      <c r="X1345" s="132">
        <v>1333</v>
      </c>
      <c r="Y1345" s="6"/>
    </row>
    <row r="1346" spans="1:25" ht="15" customHeight="1" x14ac:dyDescent="0.25">
      <c r="A1346" s="12" t="s">
        <v>11433</v>
      </c>
      <c r="B1346" s="13" t="s">
        <v>4978</v>
      </c>
      <c r="C1346" s="102">
        <v>47615</v>
      </c>
      <c r="D1346" s="79" t="s">
        <v>33</v>
      </c>
      <c r="E1346" s="81" t="s">
        <v>11434</v>
      </c>
      <c r="F1346" s="82" t="s">
        <v>11435</v>
      </c>
      <c r="G1346" s="81" t="s">
        <v>11436</v>
      </c>
      <c r="H1346" s="81" t="s">
        <v>11436</v>
      </c>
      <c r="I1346" s="79" t="s">
        <v>25</v>
      </c>
      <c r="J1346" s="79">
        <v>3</v>
      </c>
      <c r="K1346" s="79" t="s">
        <v>1714</v>
      </c>
      <c r="L1346" s="81" t="s">
        <v>11437</v>
      </c>
      <c r="M1346" s="109" t="s">
        <v>11438</v>
      </c>
      <c r="N1346" s="79" t="s">
        <v>2634</v>
      </c>
      <c r="O1346" s="13" t="s">
        <v>61</v>
      </c>
      <c r="P1346" s="13" t="s">
        <v>9</v>
      </c>
      <c r="Q1346" s="81" t="s">
        <v>11439</v>
      </c>
      <c r="R1346" s="69" t="s">
        <v>11441</v>
      </c>
      <c r="S1346" s="69" t="s">
        <v>11440</v>
      </c>
      <c r="T1346" s="85">
        <v>23</v>
      </c>
      <c r="U1346" s="85">
        <v>18</v>
      </c>
      <c r="V1346" s="79" t="s">
        <v>11442</v>
      </c>
      <c r="W1346" s="81"/>
      <c r="X1346" s="132">
        <v>1334</v>
      </c>
      <c r="Y1346" s="6"/>
    </row>
    <row r="1347" spans="1:25" ht="15" customHeight="1" x14ac:dyDescent="0.25">
      <c r="A1347" s="12" t="s">
        <v>11443</v>
      </c>
      <c r="B1347" s="79" t="s">
        <v>4977</v>
      </c>
      <c r="C1347" s="80">
        <v>46885</v>
      </c>
      <c r="D1347" s="79" t="s">
        <v>33</v>
      </c>
      <c r="E1347" s="81" t="s">
        <v>11444</v>
      </c>
      <c r="F1347" s="15" t="s">
        <v>11450</v>
      </c>
      <c r="G1347" s="81" t="s">
        <v>11445</v>
      </c>
      <c r="H1347" s="81" t="s">
        <v>11445</v>
      </c>
      <c r="I1347" s="79" t="s">
        <v>25</v>
      </c>
      <c r="J1347" s="79">
        <v>3</v>
      </c>
      <c r="K1347" s="79" t="s">
        <v>1714</v>
      </c>
      <c r="L1347" s="6" t="s">
        <v>11451</v>
      </c>
      <c r="M1347" s="109" t="s">
        <v>11446</v>
      </c>
      <c r="N1347" s="79" t="s">
        <v>11447</v>
      </c>
      <c r="O1347" s="13" t="s">
        <v>11948</v>
      </c>
      <c r="P1347" s="13" t="s">
        <v>68</v>
      </c>
      <c r="Q1347" s="81" t="s">
        <v>11448</v>
      </c>
      <c r="R1347" s="69" t="s">
        <v>2133</v>
      </c>
      <c r="S1347" s="84"/>
      <c r="T1347" s="85">
        <v>100</v>
      </c>
      <c r="U1347" s="85">
        <v>46</v>
      </c>
      <c r="V1347" s="79" t="s">
        <v>11449</v>
      </c>
      <c r="W1347" s="81"/>
      <c r="X1347" s="132">
        <v>1335</v>
      </c>
      <c r="Y1347" s="6"/>
    </row>
    <row r="1348" spans="1:25" ht="15" customHeight="1" x14ac:dyDescent="0.25">
      <c r="A1348" s="12" t="s">
        <v>11472</v>
      </c>
      <c r="B1348" s="92" t="s">
        <v>4978</v>
      </c>
      <c r="C1348" s="102">
        <v>47615</v>
      </c>
      <c r="D1348" s="79" t="s">
        <v>33</v>
      </c>
      <c r="E1348" s="81" t="s">
        <v>11473</v>
      </c>
      <c r="F1348" s="82" t="s">
        <v>9696</v>
      </c>
      <c r="G1348" s="81" t="s">
        <v>11474</v>
      </c>
      <c r="H1348" s="81" t="s">
        <v>11474</v>
      </c>
      <c r="I1348" s="79" t="s">
        <v>25</v>
      </c>
      <c r="J1348" s="79">
        <v>3</v>
      </c>
      <c r="K1348" s="79" t="s">
        <v>1714</v>
      </c>
      <c r="L1348" s="81" t="s">
        <v>11475</v>
      </c>
      <c r="M1348" s="109" t="s">
        <v>11476</v>
      </c>
      <c r="N1348" s="79" t="s">
        <v>3338</v>
      </c>
      <c r="O1348" s="13" t="s">
        <v>1055</v>
      </c>
      <c r="P1348" s="13" t="s">
        <v>16</v>
      </c>
      <c r="Q1348" s="81" t="s">
        <v>9701</v>
      </c>
      <c r="R1348" s="69" t="s">
        <v>11477</v>
      </c>
      <c r="S1348" s="84"/>
      <c r="T1348" s="85">
        <v>35</v>
      </c>
      <c r="U1348" s="85">
        <v>29</v>
      </c>
      <c r="V1348" s="79" t="s">
        <v>11478</v>
      </c>
      <c r="W1348" s="81"/>
      <c r="X1348" s="132">
        <v>1336</v>
      </c>
      <c r="Y1348" s="6"/>
    </row>
    <row r="1349" spans="1:25" ht="15" customHeight="1" x14ac:dyDescent="0.25">
      <c r="A1349" s="12" t="s">
        <v>11498</v>
      </c>
      <c r="B1349" s="79" t="s">
        <v>4977</v>
      </c>
      <c r="C1349" s="80">
        <v>46885</v>
      </c>
      <c r="D1349" s="79" t="s">
        <v>1533</v>
      </c>
      <c r="E1349" s="81" t="s">
        <v>11499</v>
      </c>
      <c r="F1349" s="82" t="s">
        <v>11500</v>
      </c>
      <c r="G1349" s="81" t="s">
        <v>11501</v>
      </c>
      <c r="H1349" s="81" t="s">
        <v>11501</v>
      </c>
      <c r="I1349" s="79" t="s">
        <v>39</v>
      </c>
      <c r="J1349" s="79">
        <v>12</v>
      </c>
      <c r="K1349" s="79" t="s">
        <v>1714</v>
      </c>
      <c r="L1349" s="81" t="s">
        <v>11502</v>
      </c>
      <c r="M1349" s="109" t="s">
        <v>11503</v>
      </c>
      <c r="N1349" s="79" t="s">
        <v>2312</v>
      </c>
      <c r="O1349" s="13" t="s">
        <v>15</v>
      </c>
      <c r="P1349" s="13" t="s">
        <v>16</v>
      </c>
      <c r="Q1349" s="81" t="s">
        <v>11504</v>
      </c>
      <c r="R1349" s="69" t="s">
        <v>11505</v>
      </c>
      <c r="S1349" s="84"/>
      <c r="T1349" s="85">
        <v>30</v>
      </c>
      <c r="U1349" s="85" t="s">
        <v>8995</v>
      </c>
      <c r="V1349" s="79" t="s">
        <v>11506</v>
      </c>
      <c r="W1349" s="81"/>
      <c r="X1349" s="132">
        <v>1337</v>
      </c>
      <c r="Y1349" s="6"/>
    </row>
    <row r="1350" spans="1:25" ht="15" customHeight="1" x14ac:dyDescent="0.25">
      <c r="A1350" s="12" t="s">
        <v>11507</v>
      </c>
      <c r="B1350" s="79" t="s">
        <v>4977</v>
      </c>
      <c r="C1350" s="80">
        <v>46885</v>
      </c>
      <c r="D1350" s="79" t="s">
        <v>33</v>
      </c>
      <c r="E1350" s="81" t="s">
        <v>11508</v>
      </c>
      <c r="F1350" s="82" t="s">
        <v>11509</v>
      </c>
      <c r="G1350" s="81" t="s">
        <v>11510</v>
      </c>
      <c r="H1350" s="81" t="s">
        <v>11510</v>
      </c>
      <c r="I1350" s="13" t="s">
        <v>25</v>
      </c>
      <c r="J1350" s="79">
        <v>3</v>
      </c>
      <c r="K1350" s="79" t="s">
        <v>1714</v>
      </c>
      <c r="L1350" s="81" t="s">
        <v>11511</v>
      </c>
      <c r="M1350" s="109" t="s">
        <v>11512</v>
      </c>
      <c r="N1350" s="79" t="s">
        <v>11513</v>
      </c>
      <c r="O1350" s="13" t="s">
        <v>27</v>
      </c>
      <c r="P1350" s="13" t="s">
        <v>9</v>
      </c>
      <c r="Q1350" s="81" t="s">
        <v>11514</v>
      </c>
      <c r="R1350" s="69" t="s">
        <v>11516</v>
      </c>
      <c r="S1350" s="84"/>
      <c r="T1350" s="85">
        <v>40</v>
      </c>
      <c r="U1350" s="85">
        <v>34</v>
      </c>
      <c r="V1350" s="79" t="s">
        <v>11515</v>
      </c>
      <c r="W1350" s="81"/>
      <c r="X1350" s="132">
        <v>1338</v>
      </c>
      <c r="Y1350" s="6"/>
    </row>
    <row r="1351" spans="1:25" ht="15" customHeight="1" x14ac:dyDescent="0.25">
      <c r="A1351" s="12" t="s">
        <v>11531</v>
      </c>
      <c r="B1351" s="79" t="s">
        <v>4977</v>
      </c>
      <c r="C1351" s="80">
        <v>46885</v>
      </c>
      <c r="D1351" s="79" t="s">
        <v>33</v>
      </c>
      <c r="E1351" s="81" t="s">
        <v>11532</v>
      </c>
      <c r="F1351" s="15" t="s">
        <v>11541</v>
      </c>
      <c r="G1351" s="81" t="s">
        <v>11533</v>
      </c>
      <c r="H1351" s="81" t="s">
        <v>11533</v>
      </c>
      <c r="I1351" s="79" t="s">
        <v>39</v>
      </c>
      <c r="J1351" s="79">
        <v>12</v>
      </c>
      <c r="K1351" s="79" t="s">
        <v>1714</v>
      </c>
      <c r="L1351" s="81" t="s">
        <v>11534</v>
      </c>
      <c r="M1351" s="109" t="s">
        <v>11535</v>
      </c>
      <c r="N1351" s="79" t="s">
        <v>11536</v>
      </c>
      <c r="O1351" s="13" t="s">
        <v>165</v>
      </c>
      <c r="P1351" s="13" t="s">
        <v>9</v>
      </c>
      <c r="Q1351" s="81" t="s">
        <v>11537</v>
      </c>
      <c r="R1351" s="69" t="s">
        <v>11538</v>
      </c>
      <c r="S1351" s="69" t="s">
        <v>11539</v>
      </c>
      <c r="T1351" s="85">
        <v>60</v>
      </c>
      <c r="U1351" s="85">
        <v>60</v>
      </c>
      <c r="V1351" s="79" t="s">
        <v>11540</v>
      </c>
      <c r="W1351" s="81"/>
      <c r="X1351" s="132">
        <v>1339</v>
      </c>
      <c r="Y1351" s="6"/>
    </row>
    <row r="1352" spans="1:25" ht="15" customHeight="1" x14ac:dyDescent="0.25">
      <c r="A1352" s="12" t="s">
        <v>11546</v>
      </c>
      <c r="B1352" s="79" t="s">
        <v>4977</v>
      </c>
      <c r="C1352" s="80">
        <v>46885</v>
      </c>
      <c r="D1352" s="79" t="s">
        <v>33</v>
      </c>
      <c r="E1352" s="81" t="s">
        <v>11547</v>
      </c>
      <c r="F1352" s="82" t="s">
        <v>11548</v>
      </c>
      <c r="G1352" s="81" t="s">
        <v>11549</v>
      </c>
      <c r="H1352" s="81" t="s">
        <v>11549</v>
      </c>
      <c r="I1352" s="79" t="s">
        <v>39</v>
      </c>
      <c r="J1352" s="79">
        <v>12</v>
      </c>
      <c r="K1352" s="79" t="s">
        <v>1714</v>
      </c>
      <c r="L1352" s="81" t="s">
        <v>11550</v>
      </c>
      <c r="M1352" s="109" t="s">
        <v>11551</v>
      </c>
      <c r="N1352" s="79" t="s">
        <v>11552</v>
      </c>
      <c r="O1352" s="13" t="s">
        <v>97</v>
      </c>
      <c r="P1352" s="13" t="s">
        <v>4</v>
      </c>
      <c r="Q1352" s="81"/>
      <c r="R1352" s="69" t="s">
        <v>11553</v>
      </c>
      <c r="S1352" s="84"/>
      <c r="T1352" s="85">
        <v>100</v>
      </c>
      <c r="U1352" s="85">
        <v>80</v>
      </c>
      <c r="V1352" s="79" t="s">
        <v>11554</v>
      </c>
      <c r="W1352" s="81"/>
      <c r="X1352" s="132">
        <v>1340</v>
      </c>
      <c r="Y1352" s="6"/>
    </row>
    <row r="1353" spans="1:25" ht="15" customHeight="1" x14ac:dyDescent="0.25">
      <c r="A1353" s="12" t="s">
        <v>11572</v>
      </c>
      <c r="B1353" s="92" t="s">
        <v>4978</v>
      </c>
      <c r="C1353" s="103">
        <v>47615</v>
      </c>
      <c r="D1353" s="92" t="s">
        <v>33</v>
      </c>
      <c r="E1353" s="94" t="s">
        <v>11573</v>
      </c>
      <c r="F1353" s="95" t="s">
        <v>11574</v>
      </c>
      <c r="G1353" s="94" t="s">
        <v>11575</v>
      </c>
      <c r="H1353" s="94" t="s">
        <v>11575</v>
      </c>
      <c r="I1353" s="92" t="s">
        <v>25</v>
      </c>
      <c r="J1353" s="92">
        <v>3</v>
      </c>
      <c r="K1353" s="92" t="s">
        <v>1714</v>
      </c>
      <c r="L1353" s="94" t="s">
        <v>11576</v>
      </c>
      <c r="M1353" s="113" t="s">
        <v>11577</v>
      </c>
      <c r="N1353" s="92" t="s">
        <v>3888</v>
      </c>
      <c r="O1353" s="13" t="s">
        <v>53</v>
      </c>
      <c r="P1353" s="13" t="s">
        <v>54</v>
      </c>
      <c r="Q1353" s="94" t="s">
        <v>11578</v>
      </c>
      <c r="R1353" s="69" t="s">
        <v>11579</v>
      </c>
      <c r="S1353" s="96"/>
      <c r="T1353" s="97">
        <v>20</v>
      </c>
      <c r="U1353" s="97">
        <v>17</v>
      </c>
      <c r="V1353" s="92" t="s">
        <v>11580</v>
      </c>
      <c r="W1353" s="94"/>
      <c r="X1353" s="132">
        <v>1341</v>
      </c>
      <c r="Y1353" s="6"/>
    </row>
    <row r="1354" spans="1:25" ht="15" customHeight="1" x14ac:dyDescent="0.25">
      <c r="A1354" s="12" t="s">
        <v>11581</v>
      </c>
      <c r="B1354" s="13" t="s">
        <v>4977</v>
      </c>
      <c r="C1354" s="14">
        <v>46885</v>
      </c>
      <c r="D1354" s="13" t="s">
        <v>1533</v>
      </c>
      <c r="E1354" s="6" t="s">
        <v>11582</v>
      </c>
      <c r="F1354" s="15" t="s">
        <v>11583</v>
      </c>
      <c r="G1354" s="6" t="s">
        <v>11584</v>
      </c>
      <c r="H1354" s="6" t="s">
        <v>11584</v>
      </c>
      <c r="I1354" s="13" t="s">
        <v>39</v>
      </c>
      <c r="J1354" s="13">
        <v>12</v>
      </c>
      <c r="K1354" s="13" t="s">
        <v>1714</v>
      </c>
      <c r="L1354" s="6" t="s">
        <v>11585</v>
      </c>
      <c r="M1354" s="108" t="s">
        <v>11586</v>
      </c>
      <c r="N1354" s="13" t="s">
        <v>4879</v>
      </c>
      <c r="O1354" s="13" t="s">
        <v>53</v>
      </c>
      <c r="P1354" s="13" t="s">
        <v>54</v>
      </c>
      <c r="Q1354" s="6" t="s">
        <v>11587</v>
      </c>
      <c r="R1354" s="69" t="s">
        <v>11588</v>
      </c>
      <c r="S1354" s="30" t="s">
        <v>11589</v>
      </c>
      <c r="T1354" s="18">
        <v>90</v>
      </c>
      <c r="U1354" s="18">
        <v>90</v>
      </c>
      <c r="V1354" s="13" t="s">
        <v>11590</v>
      </c>
      <c r="X1354" s="132">
        <v>1342</v>
      </c>
      <c r="Y1354" s="6"/>
    </row>
    <row r="1355" spans="1:25" ht="15" customHeight="1" x14ac:dyDescent="0.25">
      <c r="A1355" s="12" t="s">
        <v>11595</v>
      </c>
      <c r="B1355" s="92" t="s">
        <v>4978</v>
      </c>
      <c r="C1355" s="103">
        <v>47615</v>
      </c>
      <c r="D1355" s="92" t="s">
        <v>33</v>
      </c>
      <c r="E1355" s="94" t="s">
        <v>11596</v>
      </c>
      <c r="F1355" s="95" t="s">
        <v>11597</v>
      </c>
      <c r="G1355" s="94" t="s">
        <v>11598</v>
      </c>
      <c r="H1355" s="94" t="s">
        <v>11598</v>
      </c>
      <c r="I1355" s="92" t="s">
        <v>25</v>
      </c>
      <c r="J1355" s="92">
        <v>3</v>
      </c>
      <c r="K1355" s="92" t="s">
        <v>1714</v>
      </c>
      <c r="L1355" s="94" t="s">
        <v>11599</v>
      </c>
      <c r="M1355" s="113" t="s">
        <v>11600</v>
      </c>
      <c r="N1355" s="92" t="s">
        <v>11601</v>
      </c>
      <c r="O1355" s="13" t="s">
        <v>2146</v>
      </c>
      <c r="P1355" s="13" t="s">
        <v>68</v>
      </c>
      <c r="Q1355" s="94" t="s">
        <v>11602</v>
      </c>
      <c r="R1355" s="69" t="s">
        <v>11603</v>
      </c>
      <c r="S1355" s="96"/>
      <c r="T1355" s="97">
        <v>22</v>
      </c>
      <c r="U1355" s="97">
        <v>21</v>
      </c>
      <c r="V1355" s="92" t="s">
        <v>11604</v>
      </c>
      <c r="W1355" s="94"/>
      <c r="X1355" s="132">
        <v>1343</v>
      </c>
      <c r="Y1355" s="6"/>
    </row>
    <row r="1356" spans="1:25" ht="15" customHeight="1" x14ac:dyDescent="0.25">
      <c r="A1356" s="12" t="s">
        <v>11612</v>
      </c>
      <c r="B1356" s="92" t="s">
        <v>4978</v>
      </c>
      <c r="C1356" s="103">
        <v>47615</v>
      </c>
      <c r="D1356" s="92" t="s">
        <v>33</v>
      </c>
      <c r="E1356" s="94" t="s">
        <v>11613</v>
      </c>
      <c r="F1356" s="95" t="s">
        <v>11614</v>
      </c>
      <c r="G1356" s="94" t="s">
        <v>11615</v>
      </c>
      <c r="H1356" s="94" t="s">
        <v>11615</v>
      </c>
      <c r="I1356" s="92" t="s">
        <v>25</v>
      </c>
      <c r="J1356" s="92">
        <v>3</v>
      </c>
      <c r="K1356" s="92" t="s">
        <v>1714</v>
      </c>
      <c r="L1356" s="94" t="s">
        <v>7487</v>
      </c>
      <c r="M1356" s="113" t="s">
        <v>4738</v>
      </c>
      <c r="N1356" s="92" t="s">
        <v>2486</v>
      </c>
      <c r="O1356" s="13" t="s">
        <v>61</v>
      </c>
      <c r="P1356" s="13" t="s">
        <v>9</v>
      </c>
      <c r="Q1356" s="94" t="s">
        <v>7488</v>
      </c>
      <c r="R1356" s="69" t="s">
        <v>2291</v>
      </c>
      <c r="S1356" s="96"/>
      <c r="T1356" s="97">
        <v>28</v>
      </c>
      <c r="U1356" s="97">
        <v>21</v>
      </c>
      <c r="V1356" s="92" t="s">
        <v>11616</v>
      </c>
      <c r="W1356" s="94"/>
      <c r="X1356" s="132">
        <v>1344</v>
      </c>
      <c r="Y1356" s="6"/>
    </row>
    <row r="1357" spans="1:25" ht="15" customHeight="1" x14ac:dyDescent="0.25">
      <c r="A1357" s="12" t="s">
        <v>11619</v>
      </c>
      <c r="B1357" s="92" t="s">
        <v>4977</v>
      </c>
      <c r="C1357" s="93">
        <v>46885</v>
      </c>
      <c r="D1357" s="92" t="s">
        <v>33</v>
      </c>
      <c r="E1357" s="94" t="s">
        <v>11620</v>
      </c>
      <c r="F1357" s="95" t="s">
        <v>11621</v>
      </c>
      <c r="G1357" s="94" t="s">
        <v>11622</v>
      </c>
      <c r="H1357" s="94" t="s">
        <v>11622</v>
      </c>
      <c r="I1357" s="92" t="s">
        <v>25</v>
      </c>
      <c r="J1357" s="92">
        <v>3</v>
      </c>
      <c r="K1357" s="92" t="s">
        <v>1714</v>
      </c>
      <c r="L1357" s="94" t="s">
        <v>11623</v>
      </c>
      <c r="M1357" s="113" t="s">
        <v>11624</v>
      </c>
      <c r="N1357" s="92" t="s">
        <v>11625</v>
      </c>
      <c r="O1357" s="13" t="s">
        <v>21</v>
      </c>
      <c r="P1357" s="13" t="s">
        <v>9</v>
      </c>
      <c r="Q1357" s="94" t="s">
        <v>11626</v>
      </c>
      <c r="R1357" s="69" t="s">
        <v>11627</v>
      </c>
      <c r="S1357" s="96"/>
      <c r="T1357" s="97">
        <v>30</v>
      </c>
      <c r="U1357" s="97">
        <v>28</v>
      </c>
      <c r="V1357" s="92" t="s">
        <v>11628</v>
      </c>
      <c r="W1357" s="94"/>
      <c r="X1357" s="132">
        <v>1345</v>
      </c>
      <c r="Y1357" s="6"/>
    </row>
    <row r="1358" spans="1:25" ht="15" customHeight="1" x14ac:dyDescent="0.25">
      <c r="A1358" s="12" t="s">
        <v>11629</v>
      </c>
      <c r="B1358" s="92" t="s">
        <v>4978</v>
      </c>
      <c r="C1358" s="103">
        <v>47615</v>
      </c>
      <c r="D1358" s="92" t="s">
        <v>33</v>
      </c>
      <c r="E1358" s="94" t="s">
        <v>11630</v>
      </c>
      <c r="F1358" s="95" t="s">
        <v>11631</v>
      </c>
      <c r="G1358" s="94" t="s">
        <v>11632</v>
      </c>
      <c r="H1358" s="94" t="s">
        <v>11632</v>
      </c>
      <c r="I1358" s="92" t="s">
        <v>25</v>
      </c>
      <c r="J1358" s="92">
        <v>3</v>
      </c>
      <c r="K1358" s="92" t="s">
        <v>1714</v>
      </c>
      <c r="L1358" s="94" t="s">
        <v>11633</v>
      </c>
      <c r="M1358" s="113" t="s">
        <v>2531</v>
      </c>
      <c r="N1358" s="92" t="s">
        <v>2470</v>
      </c>
      <c r="O1358" s="13" t="s">
        <v>136</v>
      </c>
      <c r="P1358" s="13" t="s">
        <v>4</v>
      </c>
      <c r="Q1358" s="94" t="s">
        <v>11634</v>
      </c>
      <c r="R1358" s="69" t="s">
        <v>3592</v>
      </c>
      <c r="S1358" s="96"/>
      <c r="T1358" s="97">
        <v>30</v>
      </c>
      <c r="U1358" s="97">
        <v>14</v>
      </c>
      <c r="V1358" s="92" t="s">
        <v>11635</v>
      </c>
      <c r="W1358" s="94"/>
      <c r="X1358" s="132">
        <v>1346</v>
      </c>
      <c r="Y1358" s="6"/>
    </row>
    <row r="1359" spans="1:25" ht="15" customHeight="1" x14ac:dyDescent="0.25">
      <c r="A1359" s="12" t="s">
        <v>11636</v>
      </c>
      <c r="B1359" s="92" t="s">
        <v>4978</v>
      </c>
      <c r="C1359" s="103">
        <v>47615</v>
      </c>
      <c r="D1359" s="92" t="s">
        <v>33</v>
      </c>
      <c r="E1359" s="94" t="s">
        <v>11637</v>
      </c>
      <c r="F1359" s="95" t="s">
        <v>11638</v>
      </c>
      <c r="G1359" s="94" t="s">
        <v>11639</v>
      </c>
      <c r="H1359" s="94" t="s">
        <v>11639</v>
      </c>
      <c r="I1359" s="92" t="s">
        <v>25</v>
      </c>
      <c r="J1359" s="92">
        <v>3</v>
      </c>
      <c r="K1359" s="92" t="s">
        <v>1714</v>
      </c>
      <c r="L1359" s="94" t="s">
        <v>11640</v>
      </c>
      <c r="M1359" s="113" t="s">
        <v>11641</v>
      </c>
      <c r="N1359" s="92" t="s">
        <v>11642</v>
      </c>
      <c r="O1359" s="13" t="s">
        <v>1889</v>
      </c>
      <c r="P1359" s="13" t="s">
        <v>68</v>
      </c>
      <c r="Q1359" s="94" t="s">
        <v>11643</v>
      </c>
      <c r="R1359" s="89" t="s">
        <v>11644</v>
      </c>
      <c r="S1359" s="96"/>
      <c r="T1359" s="97">
        <v>12</v>
      </c>
      <c r="U1359" s="97">
        <v>4</v>
      </c>
      <c r="V1359" s="92" t="s">
        <v>11645</v>
      </c>
      <c r="W1359" s="94"/>
      <c r="X1359" s="132">
        <v>1347</v>
      </c>
      <c r="Y1359" s="6"/>
    </row>
    <row r="1360" spans="1:25" x14ac:dyDescent="0.25">
      <c r="A1360" s="12" t="s">
        <v>11968</v>
      </c>
      <c r="B1360" s="92" t="s">
        <v>4977</v>
      </c>
      <c r="C1360" s="93">
        <v>46885</v>
      </c>
      <c r="D1360" s="92" t="s">
        <v>1533</v>
      </c>
      <c r="E1360" s="94" t="s">
        <v>11969</v>
      </c>
      <c r="F1360" s="95" t="s">
        <v>11970</v>
      </c>
      <c r="G1360" s="94" t="s">
        <v>11971</v>
      </c>
      <c r="H1360" s="94" t="s">
        <v>11971</v>
      </c>
      <c r="I1360" s="92" t="s">
        <v>39</v>
      </c>
      <c r="J1360" s="92">
        <v>12</v>
      </c>
      <c r="K1360" s="92" t="s">
        <v>1714</v>
      </c>
      <c r="L1360" s="144" t="s">
        <v>11972</v>
      </c>
      <c r="M1360" s="113" t="s">
        <v>11973</v>
      </c>
      <c r="N1360" s="92" t="s">
        <v>36</v>
      </c>
      <c r="O1360" s="92" t="s">
        <v>36</v>
      </c>
      <c r="P1360" s="92" t="s">
        <v>4</v>
      </c>
      <c r="Q1360" s="92" t="s">
        <v>11974</v>
      </c>
      <c r="R1360" s="69" t="s">
        <v>11975</v>
      </c>
      <c r="S1360" s="96" t="s">
        <v>11976</v>
      </c>
      <c r="T1360" s="97">
        <v>30</v>
      </c>
      <c r="U1360" s="97">
        <v>18</v>
      </c>
      <c r="V1360" s="92" t="s">
        <v>11977</v>
      </c>
      <c r="W1360" s="94"/>
      <c r="X1360" s="143"/>
      <c r="Y1360" s="129"/>
    </row>
    <row r="1361" spans="1:25" x14ac:dyDescent="0.25">
      <c r="A1361" s="12" t="s">
        <v>11993</v>
      </c>
      <c r="B1361" s="13" t="s">
        <v>4978</v>
      </c>
      <c r="C1361" s="14">
        <v>47642</v>
      </c>
      <c r="D1361" s="13" t="s">
        <v>33</v>
      </c>
      <c r="E1361" s="6" t="s">
        <v>11994</v>
      </c>
      <c r="F1361" s="15" t="s">
        <v>773</v>
      </c>
      <c r="G1361" s="6" t="s">
        <v>11995</v>
      </c>
      <c r="H1361" s="6" t="s">
        <v>11995</v>
      </c>
      <c r="I1361" s="13" t="s">
        <v>25</v>
      </c>
      <c r="J1361" s="13">
        <v>3</v>
      </c>
      <c r="K1361" s="13" t="s">
        <v>1714</v>
      </c>
      <c r="L1361" s="16" t="s">
        <v>11996</v>
      </c>
      <c r="M1361" s="108" t="s">
        <v>2266</v>
      </c>
      <c r="N1361" s="13" t="s">
        <v>2229</v>
      </c>
      <c r="O1361" s="13" t="s">
        <v>36</v>
      </c>
      <c r="P1361" s="13" t="s">
        <v>4</v>
      </c>
      <c r="Q1361" s="13" t="s">
        <v>4474</v>
      </c>
      <c r="R1361" s="69" t="s">
        <v>775</v>
      </c>
      <c r="S1361" s="30" t="s">
        <v>11997</v>
      </c>
      <c r="T1361" s="18">
        <v>20</v>
      </c>
      <c r="U1361" s="18">
        <v>16</v>
      </c>
      <c r="V1361" s="13" t="s">
        <v>11998</v>
      </c>
      <c r="X1361" s="132"/>
      <c r="Y1361" s="129"/>
    </row>
    <row r="1362" spans="1:25" x14ac:dyDescent="0.25">
      <c r="A1362" s="12" t="s">
        <v>12010</v>
      </c>
      <c r="B1362" s="92" t="s">
        <v>4977</v>
      </c>
      <c r="C1362" s="93">
        <v>46912</v>
      </c>
      <c r="D1362" s="92" t="s">
        <v>1533</v>
      </c>
      <c r="E1362" s="94" t="s">
        <v>12011</v>
      </c>
      <c r="F1362" s="95" t="s">
        <v>12012</v>
      </c>
      <c r="G1362" s="94" t="s">
        <v>12013</v>
      </c>
      <c r="H1362" s="94" t="s">
        <v>12013</v>
      </c>
      <c r="I1362" s="92" t="s">
        <v>39</v>
      </c>
      <c r="J1362" s="92">
        <v>12</v>
      </c>
      <c r="K1362" s="92" t="s">
        <v>1714</v>
      </c>
      <c r="L1362" s="144" t="s">
        <v>12014</v>
      </c>
      <c r="M1362" s="113" t="s">
        <v>12015</v>
      </c>
      <c r="N1362" s="92" t="s">
        <v>2145</v>
      </c>
      <c r="O1362" s="92" t="s">
        <v>2146</v>
      </c>
      <c r="P1362" s="92" t="s">
        <v>68</v>
      </c>
      <c r="Q1362" s="92" t="s">
        <v>12016</v>
      </c>
      <c r="R1362" s="69" t="s">
        <v>10079</v>
      </c>
      <c r="S1362" s="96"/>
      <c r="T1362" s="97">
        <v>50</v>
      </c>
      <c r="U1362" s="97">
        <v>50</v>
      </c>
      <c r="V1362" s="92" t="s">
        <v>12017</v>
      </c>
      <c r="W1362" s="94"/>
      <c r="X1362" s="143"/>
      <c r="Y1362" s="129"/>
    </row>
    <row r="1363" spans="1:25" x14ac:dyDescent="0.25">
      <c r="A1363" s="12" t="s">
        <v>12018</v>
      </c>
      <c r="B1363" s="92" t="s">
        <v>4978</v>
      </c>
      <c r="C1363" s="93">
        <v>47642</v>
      </c>
      <c r="D1363" s="92" t="s">
        <v>33</v>
      </c>
      <c r="E1363" s="94" t="s">
        <v>12019</v>
      </c>
      <c r="F1363" s="95" t="s">
        <v>12020</v>
      </c>
      <c r="G1363" s="94" t="s">
        <v>12021</v>
      </c>
      <c r="H1363" s="94" t="s">
        <v>12021</v>
      </c>
      <c r="I1363" s="92" t="s">
        <v>25</v>
      </c>
      <c r="J1363" s="92">
        <v>3</v>
      </c>
      <c r="K1363" s="92" t="s">
        <v>1714</v>
      </c>
      <c r="L1363" s="144" t="s">
        <v>12022</v>
      </c>
      <c r="M1363" s="113" t="s">
        <v>12023</v>
      </c>
      <c r="N1363" s="92" t="s">
        <v>12024</v>
      </c>
      <c r="O1363" s="92" t="s">
        <v>2146</v>
      </c>
      <c r="P1363" s="92" t="s">
        <v>68</v>
      </c>
      <c r="Q1363" s="92" t="s">
        <v>12025</v>
      </c>
      <c r="R1363" s="69" t="s">
        <v>12026</v>
      </c>
      <c r="S1363" s="96"/>
      <c r="T1363" s="97">
        <v>13</v>
      </c>
      <c r="U1363" s="97">
        <v>12</v>
      </c>
      <c r="V1363" s="92" t="s">
        <v>12027</v>
      </c>
      <c r="W1363" s="94"/>
      <c r="X1363" s="143"/>
      <c r="Y1363" s="129"/>
    </row>
    <row r="1364" spans="1:25" x14ac:dyDescent="0.25">
      <c r="A1364" s="12" t="s">
        <v>12036</v>
      </c>
      <c r="B1364" s="92" t="s">
        <v>4977</v>
      </c>
      <c r="C1364" s="93">
        <v>46912</v>
      </c>
      <c r="D1364" s="92" t="s">
        <v>33</v>
      </c>
      <c r="E1364" s="94" t="s">
        <v>12037</v>
      </c>
      <c r="F1364" s="95" t="s">
        <v>12038</v>
      </c>
      <c r="G1364" s="94" t="s">
        <v>12039</v>
      </c>
      <c r="H1364" s="94" t="s">
        <v>12039</v>
      </c>
      <c r="I1364" s="92" t="s">
        <v>25</v>
      </c>
      <c r="J1364" s="92">
        <v>3</v>
      </c>
      <c r="K1364" s="92" t="s">
        <v>1714</v>
      </c>
      <c r="L1364" s="144" t="s">
        <v>12040</v>
      </c>
      <c r="M1364" s="113" t="s">
        <v>12041</v>
      </c>
      <c r="N1364" s="92" t="s">
        <v>2483</v>
      </c>
      <c r="O1364" s="92" t="s">
        <v>172</v>
      </c>
      <c r="P1364" s="92" t="s">
        <v>9</v>
      </c>
      <c r="Q1364" s="92" t="s">
        <v>12042</v>
      </c>
      <c r="R1364" s="69" t="s">
        <v>12043</v>
      </c>
      <c r="S1364" s="96"/>
      <c r="T1364" s="97">
        <v>20</v>
      </c>
      <c r="U1364" s="97">
        <v>11</v>
      </c>
      <c r="V1364" s="92" t="s">
        <v>12044</v>
      </c>
      <c r="W1364" s="94"/>
      <c r="X1364" s="143"/>
      <c r="Y1364" s="129"/>
    </row>
    <row r="1365" spans="1:25" x14ac:dyDescent="0.25">
      <c r="A1365" s="12" t="s">
        <v>12051</v>
      </c>
      <c r="B1365" s="13" t="s">
        <v>4977</v>
      </c>
      <c r="C1365" s="14">
        <v>46912</v>
      </c>
      <c r="D1365" s="13" t="s">
        <v>1533</v>
      </c>
      <c r="E1365" s="6" t="s">
        <v>12052</v>
      </c>
      <c r="F1365" s="15" t="s">
        <v>12071</v>
      </c>
      <c r="G1365" s="6" t="s">
        <v>12053</v>
      </c>
      <c r="H1365" s="6" t="s">
        <v>12053</v>
      </c>
      <c r="I1365" s="13" t="s">
        <v>39</v>
      </c>
      <c r="J1365" s="13">
        <v>12</v>
      </c>
      <c r="K1365" s="13" t="s">
        <v>1714</v>
      </c>
      <c r="L1365" s="16" t="s">
        <v>12054</v>
      </c>
      <c r="M1365" s="108" t="s">
        <v>12055</v>
      </c>
      <c r="N1365" s="13" t="s">
        <v>12056</v>
      </c>
      <c r="O1365" s="13" t="s">
        <v>27</v>
      </c>
      <c r="P1365" s="13" t="s">
        <v>9</v>
      </c>
      <c r="Q1365" s="13" t="s">
        <v>12057</v>
      </c>
      <c r="R1365" s="69" t="s">
        <v>12058</v>
      </c>
      <c r="S1365" s="30"/>
      <c r="T1365" s="18">
        <v>50</v>
      </c>
      <c r="U1365" s="18">
        <v>30</v>
      </c>
      <c r="V1365" s="13" t="s">
        <v>12059</v>
      </c>
      <c r="X1365" s="132"/>
      <c r="Y1365" s="129"/>
    </row>
    <row r="1366" spans="1:25" x14ac:dyDescent="0.25">
      <c r="A1366" s="12" t="s">
        <v>12060</v>
      </c>
      <c r="B1366" s="92" t="s">
        <v>4977</v>
      </c>
      <c r="C1366" s="93">
        <v>46912</v>
      </c>
      <c r="D1366" s="92" t="s">
        <v>1533</v>
      </c>
      <c r="E1366" s="94" t="s">
        <v>12061</v>
      </c>
      <c r="F1366" s="95" t="s">
        <v>12062</v>
      </c>
      <c r="G1366" s="94" t="s">
        <v>12063</v>
      </c>
      <c r="H1366" s="94" t="s">
        <v>12063</v>
      </c>
      <c r="I1366" s="92" t="s">
        <v>39</v>
      </c>
      <c r="J1366" s="92">
        <v>12</v>
      </c>
      <c r="K1366" s="92" t="s">
        <v>7032</v>
      </c>
      <c r="L1366" s="144" t="s">
        <v>12064</v>
      </c>
      <c r="M1366" s="113" t="s">
        <v>12065</v>
      </c>
      <c r="N1366" s="92" t="s">
        <v>12066</v>
      </c>
      <c r="O1366" s="92" t="s">
        <v>11949</v>
      </c>
      <c r="P1366" s="92" t="s">
        <v>68</v>
      </c>
      <c r="Q1366" s="92" t="s">
        <v>12067</v>
      </c>
      <c r="R1366" s="69" t="s">
        <v>12068</v>
      </c>
      <c r="S1366" s="96" t="s">
        <v>12069</v>
      </c>
      <c r="T1366" s="97">
        <v>180</v>
      </c>
      <c r="U1366" s="97">
        <v>60</v>
      </c>
      <c r="V1366" s="92" t="s">
        <v>12070</v>
      </c>
      <c r="W1366" s="94"/>
      <c r="X1366" s="143"/>
      <c r="Y1366" s="129"/>
    </row>
    <row r="1367" spans="1:25" x14ac:dyDescent="0.25">
      <c r="A1367" s="12" t="s">
        <v>12076</v>
      </c>
      <c r="B1367" s="92" t="s">
        <v>4978</v>
      </c>
      <c r="C1367" s="93">
        <v>47642</v>
      </c>
      <c r="D1367" s="92" t="s">
        <v>33</v>
      </c>
      <c r="E1367" s="94" t="s">
        <v>12077</v>
      </c>
      <c r="F1367" s="95" t="s">
        <v>12078</v>
      </c>
      <c r="G1367" s="94" t="s">
        <v>12079</v>
      </c>
      <c r="H1367" s="94" t="s">
        <v>12080</v>
      </c>
      <c r="I1367" s="92" t="s">
        <v>25</v>
      </c>
      <c r="J1367" s="92">
        <v>3</v>
      </c>
      <c r="K1367" s="92" t="s">
        <v>1714</v>
      </c>
      <c r="L1367" s="144" t="s">
        <v>12081</v>
      </c>
      <c r="M1367" s="113" t="s">
        <v>12082</v>
      </c>
      <c r="N1367" s="92" t="s">
        <v>12083</v>
      </c>
      <c r="O1367" s="92" t="s">
        <v>204</v>
      </c>
      <c r="P1367" s="92" t="s">
        <v>9</v>
      </c>
      <c r="Q1367" s="92" t="s">
        <v>12084</v>
      </c>
      <c r="R1367" s="69" t="s">
        <v>12085</v>
      </c>
      <c r="S1367" s="96" t="s">
        <v>12086</v>
      </c>
      <c r="T1367" s="97">
        <v>21</v>
      </c>
      <c r="U1367" s="97">
        <v>21</v>
      </c>
      <c r="V1367" s="92" t="s">
        <v>12087</v>
      </c>
      <c r="W1367" s="94"/>
      <c r="X1367" s="143"/>
      <c r="Y1367" s="129"/>
    </row>
    <row r="1368" spans="1:25" x14ac:dyDescent="0.25">
      <c r="A1368" s="12" t="s">
        <v>12095</v>
      </c>
      <c r="B1368" s="145" t="s">
        <v>4977</v>
      </c>
      <c r="C1368" s="146">
        <v>46912</v>
      </c>
      <c r="D1368" s="145" t="s">
        <v>33</v>
      </c>
      <c r="E1368" s="147" t="s">
        <v>12106</v>
      </c>
      <c r="F1368" s="148" t="s">
        <v>12096</v>
      </c>
      <c r="G1368" s="6" t="s">
        <v>12097</v>
      </c>
      <c r="H1368" s="147" t="s">
        <v>12097</v>
      </c>
      <c r="I1368" s="145" t="s">
        <v>25</v>
      </c>
      <c r="J1368" s="145">
        <v>3</v>
      </c>
      <c r="K1368" s="145" t="s">
        <v>1714</v>
      </c>
      <c r="L1368" s="153" t="s">
        <v>12103</v>
      </c>
      <c r="M1368" s="149" t="s">
        <v>12098</v>
      </c>
      <c r="N1368" s="145" t="s">
        <v>2116</v>
      </c>
      <c r="O1368" s="145" t="s">
        <v>53</v>
      </c>
      <c r="P1368" s="145" t="s">
        <v>54</v>
      </c>
      <c r="Q1368" s="145" t="s">
        <v>12099</v>
      </c>
      <c r="R1368" s="69" t="s">
        <v>12100</v>
      </c>
      <c r="S1368" s="150" t="s">
        <v>12101</v>
      </c>
      <c r="T1368" s="151">
        <v>42</v>
      </c>
      <c r="U1368" s="151">
        <v>9</v>
      </c>
      <c r="V1368" s="145" t="s">
        <v>12102</v>
      </c>
      <c r="W1368" s="147"/>
      <c r="X1368" s="152"/>
      <c r="Y1368" s="129"/>
    </row>
    <row r="1369" spans="1:25" x14ac:dyDescent="0.25">
      <c r="A1369" s="12" t="s">
        <v>12104</v>
      </c>
      <c r="B1369" s="145" t="s">
        <v>4978</v>
      </c>
      <c r="C1369" s="146">
        <v>47642</v>
      </c>
      <c r="D1369" s="145" t="s">
        <v>33</v>
      </c>
      <c r="E1369" s="147" t="s">
        <v>12105</v>
      </c>
      <c r="F1369" s="148" t="s">
        <v>12107</v>
      </c>
      <c r="G1369" s="147" t="s">
        <v>3342</v>
      </c>
      <c r="H1369" s="147" t="s">
        <v>3342</v>
      </c>
      <c r="I1369" s="145" t="s">
        <v>25</v>
      </c>
      <c r="J1369" s="145">
        <v>3</v>
      </c>
      <c r="K1369" s="145" t="s">
        <v>1714</v>
      </c>
      <c r="L1369" s="153" t="s">
        <v>3345</v>
      </c>
      <c r="M1369" s="149" t="s">
        <v>2661</v>
      </c>
      <c r="N1369" s="145" t="s">
        <v>136</v>
      </c>
      <c r="O1369" s="145" t="s">
        <v>136</v>
      </c>
      <c r="P1369" s="145" t="s">
        <v>4</v>
      </c>
      <c r="Q1369" s="145" t="s">
        <v>12108</v>
      </c>
      <c r="R1369" s="69" t="s">
        <v>12109</v>
      </c>
      <c r="S1369" s="150"/>
      <c r="T1369" s="151">
        <v>24</v>
      </c>
      <c r="U1369" s="151">
        <v>21</v>
      </c>
      <c r="V1369" s="145" t="s">
        <v>12110</v>
      </c>
      <c r="W1369" s="147"/>
      <c r="X1369" s="152"/>
      <c r="Y1369" s="129"/>
    </row>
    <row r="1370" spans="1:25" x14ac:dyDescent="0.25">
      <c r="A1370" s="12" t="s">
        <v>12112</v>
      </c>
      <c r="B1370" s="13" t="s">
        <v>4977</v>
      </c>
      <c r="C1370" s="14">
        <v>46949</v>
      </c>
      <c r="D1370" s="13" t="s">
        <v>1533</v>
      </c>
      <c r="E1370" s="6" t="s">
        <v>12113</v>
      </c>
      <c r="F1370" s="15" t="s">
        <v>12114</v>
      </c>
      <c r="G1370" s="6" t="s">
        <v>12115</v>
      </c>
      <c r="H1370" s="6" t="s">
        <v>12115</v>
      </c>
      <c r="I1370" s="13" t="s">
        <v>39</v>
      </c>
      <c r="J1370" s="13">
        <v>12</v>
      </c>
      <c r="K1370" s="13" t="s">
        <v>1714</v>
      </c>
      <c r="L1370" s="16" t="s">
        <v>12116</v>
      </c>
      <c r="M1370" s="108" t="s">
        <v>12117</v>
      </c>
      <c r="N1370" s="13" t="s">
        <v>12118</v>
      </c>
      <c r="O1370" s="13" t="s">
        <v>743</v>
      </c>
      <c r="P1370" s="13" t="s">
        <v>16</v>
      </c>
      <c r="Q1370" s="13" t="s">
        <v>12119</v>
      </c>
      <c r="R1370" s="69" t="s">
        <v>12120</v>
      </c>
      <c r="S1370" s="30" t="s">
        <v>12121</v>
      </c>
      <c r="T1370" s="18">
        <v>120</v>
      </c>
      <c r="U1370" s="18">
        <v>120</v>
      </c>
      <c r="V1370" s="13" t="s">
        <v>12122</v>
      </c>
      <c r="X1370" s="132"/>
      <c r="Y1370" s="129"/>
    </row>
    <row r="1371" spans="1:25" x14ac:dyDescent="0.25">
      <c r="A1371" s="12" t="s">
        <v>12137</v>
      </c>
      <c r="B1371" s="145" t="s">
        <v>4978</v>
      </c>
      <c r="C1371" s="146">
        <v>47679</v>
      </c>
      <c r="D1371" s="145" t="s">
        <v>33</v>
      </c>
      <c r="E1371" s="147" t="s">
        <v>12138</v>
      </c>
      <c r="F1371" s="148" t="s">
        <v>12139</v>
      </c>
      <c r="G1371" s="147" t="s">
        <v>12140</v>
      </c>
      <c r="H1371" s="147" t="s">
        <v>12141</v>
      </c>
      <c r="I1371" s="145" t="s">
        <v>25</v>
      </c>
      <c r="J1371" s="145">
        <v>3</v>
      </c>
      <c r="K1371" s="145" t="s">
        <v>1714</v>
      </c>
      <c r="L1371" s="153" t="s">
        <v>12142</v>
      </c>
      <c r="M1371" s="149" t="s">
        <v>12143</v>
      </c>
      <c r="N1371" s="145" t="s">
        <v>12144</v>
      </c>
      <c r="O1371" s="145" t="s">
        <v>97</v>
      </c>
      <c r="P1371" s="145" t="s">
        <v>4</v>
      </c>
      <c r="Q1371" s="145" t="s">
        <v>12145</v>
      </c>
      <c r="R1371" s="69" t="s">
        <v>12146</v>
      </c>
      <c r="S1371" s="150"/>
      <c r="T1371" s="151">
        <v>11</v>
      </c>
      <c r="U1371" s="151">
        <v>11</v>
      </c>
      <c r="V1371" s="145" t="s">
        <v>12147</v>
      </c>
      <c r="W1371" s="147"/>
      <c r="X1371" s="152"/>
      <c r="Y1371" s="129"/>
    </row>
    <row r="1372" spans="1:25" x14ac:dyDescent="0.25">
      <c r="A1372" s="12" t="s">
        <v>12148</v>
      </c>
      <c r="B1372" s="13" t="s">
        <v>4977</v>
      </c>
      <c r="C1372" s="14">
        <v>46949</v>
      </c>
      <c r="D1372" s="13" t="s">
        <v>1533</v>
      </c>
      <c r="E1372" s="6" t="s">
        <v>12149</v>
      </c>
      <c r="F1372" s="15" t="s">
        <v>12150</v>
      </c>
      <c r="G1372" s="6" t="s">
        <v>12151</v>
      </c>
      <c r="H1372" s="6" t="s">
        <v>12151</v>
      </c>
      <c r="I1372" s="13" t="s">
        <v>13</v>
      </c>
      <c r="J1372" s="13">
        <v>8</v>
      </c>
      <c r="K1372" s="13" t="s">
        <v>1714</v>
      </c>
      <c r="L1372" s="16" t="s">
        <v>12152</v>
      </c>
      <c r="M1372" s="108" t="s">
        <v>12153</v>
      </c>
      <c r="N1372" s="13" t="s">
        <v>10623</v>
      </c>
      <c r="O1372" s="13" t="s">
        <v>12154</v>
      </c>
      <c r="P1372" s="13" t="s">
        <v>68</v>
      </c>
      <c r="Q1372" s="13" t="s">
        <v>12155</v>
      </c>
      <c r="R1372" s="69" t="s">
        <v>12156</v>
      </c>
      <c r="S1372" s="30" t="s">
        <v>12157</v>
      </c>
      <c r="T1372" s="18">
        <v>30</v>
      </c>
      <c r="U1372" s="18">
        <v>25</v>
      </c>
      <c r="V1372" s="13" t="s">
        <v>12158</v>
      </c>
      <c r="X1372" s="132"/>
      <c r="Y1372" s="129"/>
    </row>
    <row r="1373" spans="1:25" x14ac:dyDescent="0.25">
      <c r="A1373" s="12" t="s">
        <v>12165</v>
      </c>
      <c r="B1373" s="13" t="s">
        <v>4977</v>
      </c>
      <c r="C1373" s="14">
        <v>46949</v>
      </c>
      <c r="D1373" s="13" t="s">
        <v>1533</v>
      </c>
      <c r="E1373" s="6" t="s">
        <v>12166</v>
      </c>
      <c r="F1373" s="15" t="s">
        <v>12167</v>
      </c>
      <c r="G1373" s="6" t="s">
        <v>12168</v>
      </c>
      <c r="H1373" s="6" t="s">
        <v>12168</v>
      </c>
      <c r="I1373" s="13" t="s">
        <v>39</v>
      </c>
      <c r="J1373" s="13">
        <v>12</v>
      </c>
      <c r="K1373" s="13" t="s">
        <v>1714</v>
      </c>
      <c r="L1373" s="13" t="s">
        <v>12169</v>
      </c>
      <c r="M1373" s="108" t="s">
        <v>12170</v>
      </c>
      <c r="N1373" s="13" t="s">
        <v>4205</v>
      </c>
      <c r="O1373" s="13" t="s">
        <v>1847</v>
      </c>
      <c r="P1373" s="13" t="s">
        <v>68</v>
      </c>
      <c r="Q1373" s="13" t="s">
        <v>12171</v>
      </c>
      <c r="R1373" s="69" t="s">
        <v>12172</v>
      </c>
      <c r="S1373" s="30" t="s">
        <v>12173</v>
      </c>
      <c r="T1373" s="18">
        <v>500</v>
      </c>
      <c r="U1373" s="18">
        <v>500</v>
      </c>
      <c r="V1373" s="13" t="s">
        <v>12174</v>
      </c>
      <c r="X1373" s="132"/>
      <c r="Y1373" s="129"/>
    </row>
    <row r="1374" spans="1:25" x14ac:dyDescent="0.25">
      <c r="A1374" s="12" t="s">
        <v>12175</v>
      </c>
      <c r="B1374" s="145" t="s">
        <v>4977</v>
      </c>
      <c r="C1374" s="146">
        <v>46949</v>
      </c>
      <c r="D1374" s="145" t="s">
        <v>1533</v>
      </c>
      <c r="E1374" s="147" t="s">
        <v>12176</v>
      </c>
      <c r="F1374" s="148" t="s">
        <v>12177</v>
      </c>
      <c r="G1374" s="147" t="s">
        <v>12178</v>
      </c>
      <c r="H1374" s="147" t="s">
        <v>12178</v>
      </c>
      <c r="I1374" s="145" t="s">
        <v>39</v>
      </c>
      <c r="J1374" s="145">
        <v>12</v>
      </c>
      <c r="K1374" s="145" t="s">
        <v>7032</v>
      </c>
      <c r="L1374" s="153" t="s">
        <v>12179</v>
      </c>
      <c r="M1374" s="149" t="s">
        <v>12180</v>
      </c>
      <c r="N1374" s="145" t="s">
        <v>12181</v>
      </c>
      <c r="O1374" s="145" t="s">
        <v>97</v>
      </c>
      <c r="P1374" s="145" t="s">
        <v>4</v>
      </c>
      <c r="Q1374" s="145" t="s">
        <v>12182</v>
      </c>
      <c r="R1374" s="69" t="s">
        <v>12183</v>
      </c>
      <c r="S1374" s="150" t="s">
        <v>12184</v>
      </c>
      <c r="T1374" s="151">
        <v>60</v>
      </c>
      <c r="U1374" s="151">
        <v>30</v>
      </c>
      <c r="V1374" s="145" t="s">
        <v>12185</v>
      </c>
      <c r="W1374" s="147"/>
      <c r="X1374" s="152"/>
      <c r="Y1374" s="129"/>
    </row>
    <row r="1375" spans="1:25" x14ac:dyDescent="0.25">
      <c r="A1375" s="12" t="s">
        <v>12186</v>
      </c>
      <c r="B1375" s="145" t="s">
        <v>4977</v>
      </c>
      <c r="C1375" s="146">
        <v>46949</v>
      </c>
      <c r="D1375" s="145" t="s">
        <v>1533</v>
      </c>
      <c r="E1375" s="147" t="s">
        <v>12187</v>
      </c>
      <c r="F1375" s="148" t="s">
        <v>12188</v>
      </c>
      <c r="G1375" s="147" t="s">
        <v>12189</v>
      </c>
      <c r="H1375" s="147" t="s">
        <v>12189</v>
      </c>
      <c r="I1375" s="145" t="s">
        <v>39</v>
      </c>
      <c r="J1375" s="145">
        <v>12</v>
      </c>
      <c r="K1375" s="145" t="s">
        <v>1714</v>
      </c>
      <c r="L1375" s="153" t="s">
        <v>12190</v>
      </c>
      <c r="M1375" s="149" t="s">
        <v>12191</v>
      </c>
      <c r="N1375" s="145" t="s">
        <v>12192</v>
      </c>
      <c r="O1375" s="145" t="s">
        <v>53</v>
      </c>
      <c r="P1375" s="145" t="s">
        <v>54</v>
      </c>
      <c r="Q1375" s="145" t="s">
        <v>12193</v>
      </c>
      <c r="R1375" s="69" t="s">
        <v>12194</v>
      </c>
      <c r="S1375" s="150" t="s">
        <v>12195</v>
      </c>
      <c r="T1375" s="151">
        <v>50</v>
      </c>
      <c r="U1375" s="151">
        <v>50</v>
      </c>
      <c r="V1375" s="145" t="s">
        <v>12196</v>
      </c>
      <c r="W1375" s="147"/>
      <c r="X1375" s="152"/>
      <c r="Y1375" s="129"/>
    </row>
    <row r="1376" spans="1:25" x14ac:dyDescent="0.25">
      <c r="A1376" s="12" t="s">
        <v>12197</v>
      </c>
      <c r="B1376" s="13" t="s">
        <v>4977</v>
      </c>
      <c r="C1376" s="14">
        <v>46949</v>
      </c>
      <c r="D1376" s="13" t="s">
        <v>1533</v>
      </c>
      <c r="E1376" s="6" t="s">
        <v>12187</v>
      </c>
      <c r="F1376" s="15" t="s">
        <v>12198</v>
      </c>
      <c r="G1376" s="6" t="s">
        <v>12189</v>
      </c>
      <c r="H1376" s="6" t="s">
        <v>12189</v>
      </c>
      <c r="I1376" s="13" t="s">
        <v>39</v>
      </c>
      <c r="J1376" s="13">
        <v>12</v>
      </c>
      <c r="K1376" s="13" t="s">
        <v>1714</v>
      </c>
      <c r="L1376" s="16" t="s">
        <v>12190</v>
      </c>
      <c r="M1376" s="108" t="s">
        <v>12191</v>
      </c>
      <c r="N1376" s="13" t="s">
        <v>12192</v>
      </c>
      <c r="O1376" s="13" t="s">
        <v>53</v>
      </c>
      <c r="P1376" s="13" t="s">
        <v>54</v>
      </c>
      <c r="Q1376" s="13" t="s">
        <v>12193</v>
      </c>
      <c r="R1376" s="69" t="s">
        <v>12194</v>
      </c>
      <c r="S1376" s="30" t="s">
        <v>12195</v>
      </c>
      <c r="T1376" s="18">
        <v>50</v>
      </c>
      <c r="U1376" s="18">
        <v>50</v>
      </c>
      <c r="V1376" s="145" t="s">
        <v>12196</v>
      </c>
      <c r="X1376" s="132"/>
      <c r="Y1376" s="129"/>
    </row>
    <row r="1377" spans="1:25" x14ac:dyDescent="0.25">
      <c r="A1377" s="12" t="s">
        <v>12217</v>
      </c>
      <c r="B1377" s="145" t="s">
        <v>4977</v>
      </c>
      <c r="C1377" s="146">
        <v>46949</v>
      </c>
      <c r="D1377" s="145" t="s">
        <v>33</v>
      </c>
      <c r="E1377" s="147" t="s">
        <v>12218</v>
      </c>
      <c r="F1377" s="148" t="s">
        <v>12219</v>
      </c>
      <c r="G1377" s="147" t="s">
        <v>12220</v>
      </c>
      <c r="H1377" s="147" t="s">
        <v>12220</v>
      </c>
      <c r="I1377" s="145" t="s">
        <v>25</v>
      </c>
      <c r="J1377" s="145">
        <v>3</v>
      </c>
      <c r="K1377" s="145" t="s">
        <v>1714</v>
      </c>
      <c r="L1377" s="153" t="s">
        <v>12221</v>
      </c>
      <c r="M1377" s="149" t="s">
        <v>12222</v>
      </c>
      <c r="N1377" s="145" t="s">
        <v>2389</v>
      </c>
      <c r="O1377" s="145" t="s">
        <v>15</v>
      </c>
      <c r="P1377" s="145" t="s">
        <v>16</v>
      </c>
      <c r="Q1377" s="145" t="s">
        <v>12223</v>
      </c>
      <c r="R1377" s="69" t="s">
        <v>12224</v>
      </c>
      <c r="S1377" s="150"/>
      <c r="T1377" s="151">
        <v>17</v>
      </c>
      <c r="U1377" s="151">
        <v>15</v>
      </c>
      <c r="V1377" s="145" t="s">
        <v>12225</v>
      </c>
      <c r="W1377" s="147"/>
      <c r="X1377" s="152"/>
      <c r="Y1377" s="129"/>
    </row>
    <row r="1378" spans="1:25" x14ac:dyDescent="0.25">
      <c r="A1378" s="12" t="s">
        <v>12229</v>
      </c>
      <c r="B1378" s="145" t="s">
        <v>4977</v>
      </c>
      <c r="C1378" s="146">
        <v>46949</v>
      </c>
      <c r="D1378" s="145" t="s">
        <v>1533</v>
      </c>
      <c r="E1378" s="147" t="s">
        <v>12230</v>
      </c>
      <c r="F1378" s="148" t="s">
        <v>12231</v>
      </c>
      <c r="G1378" s="147" t="s">
        <v>12232</v>
      </c>
      <c r="H1378" s="147" t="s">
        <v>12232</v>
      </c>
      <c r="I1378" s="145" t="s">
        <v>39</v>
      </c>
      <c r="J1378" s="145">
        <v>12</v>
      </c>
      <c r="K1378" s="145" t="s">
        <v>7032</v>
      </c>
      <c r="L1378" s="145" t="s">
        <v>12233</v>
      </c>
      <c r="M1378" s="149" t="s">
        <v>12234</v>
      </c>
      <c r="N1378" s="145" t="s">
        <v>12235</v>
      </c>
      <c r="O1378" s="145" t="s">
        <v>704</v>
      </c>
      <c r="P1378" s="145" t="s">
        <v>16</v>
      </c>
      <c r="Q1378" s="145" t="s">
        <v>12236</v>
      </c>
      <c r="R1378" s="69" t="s">
        <v>12239</v>
      </c>
      <c r="S1378" s="150" t="s">
        <v>12237</v>
      </c>
      <c r="T1378" s="151">
        <v>100</v>
      </c>
      <c r="U1378" s="151">
        <v>70</v>
      </c>
      <c r="V1378" s="145" t="s">
        <v>12238</v>
      </c>
      <c r="W1378" s="147"/>
      <c r="X1378" s="152"/>
      <c r="Y1378" s="129"/>
    </row>
    <row r="1379" spans="1:25" x14ac:dyDescent="0.25">
      <c r="A1379" s="12" t="s">
        <v>12242</v>
      </c>
      <c r="B1379" s="13" t="s">
        <v>4978</v>
      </c>
      <c r="C1379" s="14">
        <v>47679</v>
      </c>
      <c r="D1379" s="13" t="s">
        <v>33</v>
      </c>
      <c r="E1379" s="6" t="s">
        <v>12243</v>
      </c>
      <c r="F1379" s="15" t="s">
        <v>12244</v>
      </c>
      <c r="G1379" s="6" t="s">
        <v>12245</v>
      </c>
      <c r="H1379" s="6" t="s">
        <v>12245</v>
      </c>
      <c r="I1379" s="13" t="s">
        <v>25</v>
      </c>
      <c r="J1379" s="13">
        <v>3</v>
      </c>
      <c r="K1379" s="13" t="s">
        <v>1714</v>
      </c>
      <c r="L1379" s="16" t="s">
        <v>12246</v>
      </c>
      <c r="M1379" s="108" t="s">
        <v>12247</v>
      </c>
      <c r="N1379" s="13" t="s">
        <v>12248</v>
      </c>
      <c r="O1379" s="13" t="s">
        <v>1847</v>
      </c>
      <c r="P1379" s="13" t="s">
        <v>68</v>
      </c>
      <c r="Q1379" s="13" t="s">
        <v>12249</v>
      </c>
      <c r="R1379" s="69" t="s">
        <v>12250</v>
      </c>
      <c r="S1379" s="30"/>
      <c r="T1379" s="18">
        <v>15</v>
      </c>
      <c r="U1379" s="18">
        <v>14</v>
      </c>
      <c r="V1379" s="13" t="s">
        <v>12251</v>
      </c>
      <c r="X1379" s="132"/>
      <c r="Y1379" s="129"/>
    </row>
    <row r="1380" spans="1:25" x14ac:dyDescent="0.25">
      <c r="A1380" s="12" t="s">
        <v>12255</v>
      </c>
      <c r="B1380" s="145" t="s">
        <v>4978</v>
      </c>
      <c r="C1380" s="146">
        <v>47679</v>
      </c>
      <c r="D1380" s="145" t="s">
        <v>1533</v>
      </c>
      <c r="E1380" s="147" t="s">
        <v>12256</v>
      </c>
      <c r="F1380" s="148" t="s">
        <v>12257</v>
      </c>
      <c r="G1380" s="147" t="s">
        <v>12258</v>
      </c>
      <c r="H1380" s="147" t="s">
        <v>12258</v>
      </c>
      <c r="I1380" s="145" t="s">
        <v>13</v>
      </c>
      <c r="J1380" s="145">
        <v>7</v>
      </c>
      <c r="K1380" s="145" t="s">
        <v>6603</v>
      </c>
      <c r="L1380" s="153" t="s">
        <v>12259</v>
      </c>
      <c r="M1380" s="149" t="s">
        <v>12260</v>
      </c>
      <c r="N1380" s="145" t="s">
        <v>12261</v>
      </c>
      <c r="O1380" s="145" t="s">
        <v>445</v>
      </c>
      <c r="P1380" s="145" t="s">
        <v>16</v>
      </c>
      <c r="Q1380" s="145" t="s">
        <v>12262</v>
      </c>
      <c r="R1380" s="69" t="s">
        <v>12263</v>
      </c>
      <c r="S1380" s="150"/>
      <c r="T1380" s="151">
        <v>100</v>
      </c>
      <c r="U1380" s="151">
        <v>100</v>
      </c>
      <c r="V1380" s="145" t="s">
        <v>12264</v>
      </c>
      <c r="W1380" s="147"/>
      <c r="X1380" s="152"/>
      <c r="Y1380" s="129"/>
    </row>
    <row r="1381" spans="1:25" x14ac:dyDescent="0.25">
      <c r="A1381" s="12" t="s">
        <v>12276</v>
      </c>
      <c r="B1381" s="145" t="s">
        <v>4977</v>
      </c>
      <c r="C1381" s="146">
        <v>46949</v>
      </c>
      <c r="D1381" s="145" t="s">
        <v>1533</v>
      </c>
      <c r="E1381" s="147" t="s">
        <v>12277</v>
      </c>
      <c r="F1381" s="148" t="s">
        <v>12278</v>
      </c>
      <c r="G1381" s="147" t="s">
        <v>12279</v>
      </c>
      <c r="H1381" s="147" t="s">
        <v>12280</v>
      </c>
      <c r="I1381" s="145" t="s">
        <v>13</v>
      </c>
      <c r="J1381" s="145">
        <v>8</v>
      </c>
      <c r="K1381" s="145" t="s">
        <v>1714</v>
      </c>
      <c r="L1381" s="153" t="s">
        <v>12281</v>
      </c>
      <c r="M1381" s="149" t="s">
        <v>12282</v>
      </c>
      <c r="N1381" s="145" t="s">
        <v>177</v>
      </c>
      <c r="O1381" s="145" t="s">
        <v>177</v>
      </c>
      <c r="P1381" s="145" t="s">
        <v>9</v>
      </c>
      <c r="Q1381" s="145" t="s">
        <v>12283</v>
      </c>
      <c r="R1381" s="69" t="s">
        <v>12284</v>
      </c>
      <c r="S1381" s="150" t="s">
        <v>12285</v>
      </c>
      <c r="T1381" s="151">
        <v>70</v>
      </c>
      <c r="U1381" s="151">
        <v>70</v>
      </c>
      <c r="V1381" s="145" t="s">
        <v>12286</v>
      </c>
      <c r="W1381" s="147"/>
      <c r="X1381" s="152"/>
      <c r="Y1381" s="129"/>
    </row>
    <row r="1382" spans="1:25" x14ac:dyDescent="0.25">
      <c r="A1382" s="12" t="s">
        <v>12287</v>
      </c>
      <c r="B1382" s="13" t="s">
        <v>4978</v>
      </c>
      <c r="C1382" s="14">
        <v>47679</v>
      </c>
      <c r="D1382" s="13" t="s">
        <v>33</v>
      </c>
      <c r="E1382" s="6" t="s">
        <v>12316</v>
      </c>
      <c r="F1382" s="15" t="s">
        <v>12288</v>
      </c>
      <c r="G1382" s="6" t="s">
        <v>12289</v>
      </c>
      <c r="H1382" s="6" t="s">
        <v>12289</v>
      </c>
      <c r="I1382" s="13" t="s">
        <v>25</v>
      </c>
      <c r="J1382" s="13">
        <v>3</v>
      </c>
      <c r="K1382" s="13" t="s">
        <v>1714</v>
      </c>
      <c r="L1382" s="16" t="s">
        <v>12290</v>
      </c>
      <c r="M1382" s="108" t="s">
        <v>12291</v>
      </c>
      <c r="N1382" s="13" t="s">
        <v>61</v>
      </c>
      <c r="O1382" s="13" t="s">
        <v>61</v>
      </c>
      <c r="P1382" s="13" t="s">
        <v>9</v>
      </c>
      <c r="Q1382" s="13" t="s">
        <v>12292</v>
      </c>
      <c r="R1382" s="69" t="s">
        <v>9018</v>
      </c>
      <c r="S1382" s="30"/>
      <c r="T1382" s="18">
        <v>24</v>
      </c>
      <c r="U1382" s="18">
        <v>22</v>
      </c>
      <c r="V1382" s="13" t="s">
        <v>12293</v>
      </c>
      <c r="X1382" s="132"/>
      <c r="Y1382" s="129"/>
    </row>
    <row r="1383" spans="1:25" x14ac:dyDescent="0.25">
      <c r="A1383" s="12" t="s">
        <v>12303</v>
      </c>
      <c r="B1383" s="145" t="s">
        <v>4977</v>
      </c>
      <c r="C1383" s="146">
        <v>46949</v>
      </c>
      <c r="D1383" s="145" t="s">
        <v>1533</v>
      </c>
      <c r="E1383" s="147" t="s">
        <v>12317</v>
      </c>
      <c r="F1383" s="148" t="s">
        <v>12304</v>
      </c>
      <c r="G1383" s="147" t="s">
        <v>12305</v>
      </c>
      <c r="H1383" s="147" t="s">
        <v>12305</v>
      </c>
      <c r="I1383" s="145" t="s">
        <v>39</v>
      </c>
      <c r="J1383" s="145">
        <v>12</v>
      </c>
      <c r="K1383" s="145" t="s">
        <v>1714</v>
      </c>
      <c r="L1383" s="153" t="s">
        <v>12306</v>
      </c>
      <c r="M1383" s="149" t="s">
        <v>12307</v>
      </c>
      <c r="N1383" s="145" t="s">
        <v>2187</v>
      </c>
      <c r="O1383" s="145" t="s">
        <v>53</v>
      </c>
      <c r="P1383" s="145" t="s">
        <v>54</v>
      </c>
      <c r="Q1383" s="145" t="s">
        <v>12308</v>
      </c>
      <c r="R1383" s="69" t="s">
        <v>12309</v>
      </c>
      <c r="S1383" s="150" t="s">
        <v>12310</v>
      </c>
      <c r="T1383" s="151">
        <v>50</v>
      </c>
      <c r="U1383" s="151">
        <v>50</v>
      </c>
      <c r="V1383" s="145" t="s">
        <v>12311</v>
      </c>
      <c r="W1383" s="147"/>
      <c r="X1383" s="152"/>
      <c r="Y1383" s="129"/>
    </row>
    <row r="1384" spans="1:25" x14ac:dyDescent="0.25">
      <c r="A1384" s="154" t="s">
        <v>12338</v>
      </c>
      <c r="B1384" s="145" t="s">
        <v>4978</v>
      </c>
      <c r="C1384" s="146"/>
      <c r="D1384" s="145" t="s">
        <v>33</v>
      </c>
      <c r="E1384" s="147" t="s">
        <v>12339</v>
      </c>
      <c r="F1384" s="148" t="s">
        <v>12340</v>
      </c>
      <c r="G1384" s="147" t="s">
        <v>12341</v>
      </c>
      <c r="H1384" s="147" t="s">
        <v>12341</v>
      </c>
      <c r="I1384" s="145" t="s">
        <v>25</v>
      </c>
      <c r="J1384" s="145">
        <v>3</v>
      </c>
      <c r="K1384" s="145" t="s">
        <v>1714</v>
      </c>
      <c r="L1384" s="153" t="s">
        <v>12342</v>
      </c>
      <c r="M1384" s="149" t="s">
        <v>10746</v>
      </c>
      <c r="N1384" s="145" t="s">
        <v>4316</v>
      </c>
      <c r="O1384" s="145" t="s">
        <v>293</v>
      </c>
      <c r="P1384" s="145" t="s">
        <v>16</v>
      </c>
      <c r="Q1384" s="145" t="s">
        <v>12343</v>
      </c>
      <c r="R1384" s="69" t="s">
        <v>12344</v>
      </c>
      <c r="S1384" s="150"/>
      <c r="T1384" s="151">
        <v>14</v>
      </c>
      <c r="U1384" s="151">
        <v>12</v>
      </c>
      <c r="V1384" s="145" t="s">
        <v>12345</v>
      </c>
      <c r="W1384" s="147"/>
      <c r="X1384" s="152"/>
      <c r="Y1384" s="129"/>
    </row>
    <row r="1385" spans="1:25" x14ac:dyDescent="0.25">
      <c r="A1385" s="154" t="s">
        <v>12349</v>
      </c>
      <c r="B1385" s="145" t="s">
        <v>4977</v>
      </c>
      <c r="C1385" s="146"/>
      <c r="D1385" s="145" t="s">
        <v>1533</v>
      </c>
      <c r="E1385" s="147" t="s">
        <v>12350</v>
      </c>
      <c r="F1385" s="148" t="s">
        <v>12351</v>
      </c>
      <c r="G1385" s="147" t="s">
        <v>12352</v>
      </c>
      <c r="H1385" s="147" t="s">
        <v>12352</v>
      </c>
      <c r="I1385" s="145" t="s">
        <v>39</v>
      </c>
      <c r="J1385" s="145">
        <v>12</v>
      </c>
      <c r="K1385" s="145" t="s">
        <v>1714</v>
      </c>
      <c r="L1385" s="153" t="s">
        <v>12353</v>
      </c>
      <c r="M1385" s="149" t="s">
        <v>12354</v>
      </c>
      <c r="N1385" s="145" t="s">
        <v>9728</v>
      </c>
      <c r="O1385" s="145" t="s">
        <v>12325</v>
      </c>
      <c r="P1385" s="145" t="s">
        <v>9</v>
      </c>
      <c r="Q1385" s="145" t="s">
        <v>12355</v>
      </c>
      <c r="R1385" s="69" t="s">
        <v>12356</v>
      </c>
      <c r="S1385" s="150"/>
      <c r="T1385" s="151">
        <v>20</v>
      </c>
      <c r="U1385" s="151">
        <v>20</v>
      </c>
      <c r="V1385" s="145" t="s">
        <v>12357</v>
      </c>
      <c r="W1385" s="147"/>
      <c r="X1385" s="152"/>
      <c r="Y1385" s="129"/>
    </row>
    <row r="1386" spans="1:25" x14ac:dyDescent="0.25">
      <c r="A1386" s="154" t="s">
        <v>12358</v>
      </c>
      <c r="B1386" s="145" t="s">
        <v>4977</v>
      </c>
      <c r="C1386" s="146"/>
      <c r="D1386" s="145" t="s">
        <v>1533</v>
      </c>
      <c r="E1386" s="147" t="s">
        <v>12359</v>
      </c>
      <c r="F1386" s="148" t="s">
        <v>12360</v>
      </c>
      <c r="G1386" s="147" t="s">
        <v>12361</v>
      </c>
      <c r="H1386" s="147" t="s">
        <v>12361</v>
      </c>
      <c r="I1386" s="145" t="s">
        <v>39</v>
      </c>
      <c r="J1386" s="156">
        <v>12</v>
      </c>
      <c r="K1386" s="145" t="s">
        <v>1714</v>
      </c>
      <c r="L1386" s="145" t="s">
        <v>12362</v>
      </c>
      <c r="M1386" s="149" t="s">
        <v>12363</v>
      </c>
      <c r="N1386" s="145" t="s">
        <v>2443</v>
      </c>
      <c r="O1386" s="145" t="s">
        <v>36</v>
      </c>
      <c r="P1386" s="145" t="s">
        <v>4</v>
      </c>
      <c r="Q1386" s="145" t="s">
        <v>12364</v>
      </c>
      <c r="R1386" s="69" t="s">
        <v>12365</v>
      </c>
      <c r="S1386" s="150" t="s">
        <v>12366</v>
      </c>
      <c r="T1386" s="151">
        <v>100</v>
      </c>
      <c r="U1386" s="151">
        <v>50</v>
      </c>
      <c r="V1386" s="145" t="s">
        <v>12367</v>
      </c>
      <c r="W1386" s="147"/>
      <c r="X1386" s="152"/>
      <c r="Y1386" s="129"/>
    </row>
    <row r="1387" spans="1:25" x14ac:dyDescent="0.25">
      <c r="A1387" s="154" t="s">
        <v>12368</v>
      </c>
      <c r="B1387" s="145" t="s">
        <v>4978</v>
      </c>
      <c r="C1387" s="146"/>
      <c r="D1387" s="145" t="s">
        <v>33</v>
      </c>
      <c r="E1387" s="147" t="s">
        <v>12369</v>
      </c>
      <c r="F1387" s="148" t="s">
        <v>12370</v>
      </c>
      <c r="G1387" s="147" t="s">
        <v>12371</v>
      </c>
      <c r="H1387" s="147" t="s">
        <v>12371</v>
      </c>
      <c r="I1387" s="145" t="s">
        <v>25</v>
      </c>
      <c r="J1387" s="156">
        <v>3</v>
      </c>
      <c r="K1387" s="145" t="s">
        <v>1714</v>
      </c>
      <c r="L1387" s="153" t="s">
        <v>12372</v>
      </c>
      <c r="M1387" s="149" t="s">
        <v>10539</v>
      </c>
      <c r="N1387" s="145" t="s">
        <v>445</v>
      </c>
      <c r="O1387" s="145" t="s">
        <v>445</v>
      </c>
      <c r="P1387" s="145" t="s">
        <v>16</v>
      </c>
      <c r="Q1387" s="145" t="s">
        <v>12373</v>
      </c>
      <c r="R1387" s="69" t="s">
        <v>12374</v>
      </c>
      <c r="S1387" s="150"/>
      <c r="T1387" s="151">
        <v>35</v>
      </c>
      <c r="U1387" s="151">
        <v>25</v>
      </c>
      <c r="V1387" s="145" t="s">
        <v>12375</v>
      </c>
      <c r="W1387" s="147"/>
      <c r="X1387" s="152"/>
      <c r="Y1387" s="129"/>
    </row>
    <row r="1388" spans="1:25" x14ac:dyDescent="0.25">
      <c r="B1388" s="13"/>
      <c r="D1388" s="13"/>
      <c r="N1388" s="16"/>
      <c r="R1388" s="69"/>
      <c r="S1388" s="69"/>
      <c r="T1388" s="18"/>
      <c r="U1388" s="18"/>
      <c r="V1388" s="13"/>
      <c r="Y1388" s="129"/>
    </row>
    <row r="1389" spans="1:25" x14ac:dyDescent="0.25">
      <c r="B1389" s="13"/>
      <c r="D1389" s="13"/>
      <c r="N1389" s="16"/>
      <c r="R1389" s="69"/>
      <c r="S1389" s="69"/>
      <c r="T1389" s="18"/>
      <c r="U1389" s="18"/>
      <c r="V1389" s="13"/>
      <c r="Y1389" s="129"/>
    </row>
    <row r="1390" spans="1:25" x14ac:dyDescent="0.25">
      <c r="B1390" s="13"/>
      <c r="D1390" s="13"/>
      <c r="N1390" s="16"/>
      <c r="R1390" s="69"/>
      <c r="S1390" s="69"/>
      <c r="T1390" s="18"/>
      <c r="U1390" s="18"/>
      <c r="V1390" s="13"/>
      <c r="Y1390" s="129"/>
    </row>
    <row r="1391" spans="1:25" x14ac:dyDescent="0.25">
      <c r="B1391" s="13"/>
      <c r="D1391" s="13"/>
      <c r="N1391" s="16"/>
      <c r="R1391" s="69"/>
      <c r="S1391" s="69"/>
      <c r="T1391" s="18"/>
      <c r="U1391" s="18"/>
      <c r="V1391" s="13"/>
      <c r="Y1391" s="129"/>
    </row>
    <row r="1392" spans="1:25" ht="15.75" thickBot="1" x14ac:dyDescent="0.3">
      <c r="D1392" s="13"/>
      <c r="N1392" s="6"/>
    </row>
    <row r="1393" spans="1:14" ht="12.75" x14ac:dyDescent="0.2">
      <c r="A1393" s="137" t="s">
        <v>1526</v>
      </c>
      <c r="B1393" s="138"/>
      <c r="C1393" s="139"/>
      <c r="N1393" s="6"/>
    </row>
    <row r="1394" spans="1:14" ht="15.75" thickBot="1" x14ac:dyDescent="0.3">
      <c r="A1394" s="140">
        <f>COUNTA(A3:A1387)</f>
        <v>1385</v>
      </c>
      <c r="B1394" s="141"/>
      <c r="C1394" s="142"/>
      <c r="G1394" s="67"/>
      <c r="N1394" s="6"/>
    </row>
    <row r="1395" spans="1:14" ht="12.75" x14ac:dyDescent="0.2">
      <c r="A1395" s="128"/>
      <c r="N1395" s="6"/>
    </row>
    <row r="1396" spans="1:14" ht="12.75" x14ac:dyDescent="0.2">
      <c r="A1396" s="128" t="s">
        <v>1530</v>
      </c>
      <c r="B1396" s="6" t="s">
        <v>1531</v>
      </c>
      <c r="N1396" s="6"/>
    </row>
    <row r="1397" spans="1:14" ht="12.75" x14ac:dyDescent="0.2">
      <c r="A1397" s="128" t="s">
        <v>25</v>
      </c>
      <c r="B1397" s="6" t="str">
        <f>VLOOKUP(A1397,A3:R683,8,TRUE)</f>
        <v>69.127.611/0001-00</v>
      </c>
      <c r="N1397" s="6"/>
    </row>
    <row r="1408" spans="1:14" x14ac:dyDescent="0.25">
      <c r="F1408" s="68"/>
    </row>
  </sheetData>
  <sortState xmlns:xlrd2="http://schemas.microsoft.com/office/spreadsheetml/2017/richdata2" ref="A1:V1">
    <sortCondition ref="A1"/>
  </sortState>
  <mergeCells count="1">
    <mergeCell ref="A1:X1"/>
  </mergeCells>
  <phoneticPr fontId="4" type="noConversion"/>
  <conditionalFormatting sqref="C3:C1387">
    <cfRule type="expression" dxfId="2" priority="1">
      <formula>C3&lt;TODAY()</formula>
    </cfRule>
  </conditionalFormatting>
  <dataValidations count="6">
    <dataValidation type="list" allowBlank="1" showInputMessage="1" showErrorMessage="1" sqref="D3:D1387" xr:uid="{00000000-0002-0000-0000-000000000000}">
      <formula1>"OSC,Particular"</formula1>
    </dataValidation>
    <dataValidation type="list" allowBlank="1" showInputMessage="1" showErrorMessage="1" sqref="B3:B1387" xr:uid="{00000000-0002-0000-0000-000001000000}">
      <formula1>"2 (dois) anos,4 (quatro) anos,NÃO RENOVADO"</formula1>
    </dataValidation>
    <dataValidation type="list" allowBlank="1" showInputMessage="1" showErrorMessage="1" sqref="I3:I1387" xr:uid="{00000000-0002-0000-0000-000002000000}">
      <formula1>"CAEI,CCINTER,CDI,ILPI,NCI,PROJETOS"</formula1>
    </dataValidation>
    <dataValidation type="list" allowBlank="1" showInputMessage="1" showErrorMessage="1" sqref="J3:J1387" xr:uid="{00000000-0002-0000-0000-000003000000}">
      <formula1>"3,4,5,6,7,8,9,10,11,12"</formula1>
    </dataValidation>
    <dataValidation type="list" allowBlank="1" showInputMessage="1" showErrorMessage="1" sqref="P3:P1387" xr:uid="{00000000-0002-0000-0000-000004000000}">
      <formula1>"Norte,Sul,Leste,Oeste,Centro"</formula1>
    </dataValidation>
    <dataValidation type="list" allowBlank="1" showInputMessage="1" showErrorMessage="1" sqref="K3:K1387" xr:uid="{00000000-0002-0000-0000-000005000000}">
      <formula1>"SMADS,Não,CEI,EMENDA,FEI,FMID"</formula1>
    </dataValidation>
  </dataValidations>
  <hyperlinks>
    <hyperlink ref="S602" r:id="rId1" xr:uid="{00000000-0004-0000-0000-000000000000}"/>
    <hyperlink ref="S603" r:id="rId2" xr:uid="{00000000-0004-0000-0000-000001000000}"/>
    <hyperlink ref="S604" r:id="rId3" xr:uid="{00000000-0004-0000-0000-000002000000}"/>
    <hyperlink ref="S605" r:id="rId4" xr:uid="{00000000-0004-0000-0000-000003000000}"/>
    <hyperlink ref="S606" r:id="rId5" xr:uid="{00000000-0004-0000-0000-000004000000}"/>
    <hyperlink ref="S609" r:id="rId6" xr:uid="{00000000-0004-0000-0000-000005000000}"/>
    <hyperlink ref="S242" r:id="rId7" xr:uid="{00000000-0004-0000-0000-000006000000}"/>
    <hyperlink ref="S288" r:id="rId8" xr:uid="{00000000-0004-0000-0000-000007000000}"/>
    <hyperlink ref="S287" r:id="rId9" xr:uid="{00000000-0004-0000-0000-000008000000}"/>
    <hyperlink ref="S175" r:id="rId10" xr:uid="{00000000-0004-0000-0000-000009000000}"/>
    <hyperlink ref="S580" r:id="rId11" xr:uid="{00000000-0004-0000-0000-00000A000000}"/>
    <hyperlink ref="S581" r:id="rId12" xr:uid="{00000000-0004-0000-0000-00000B000000}"/>
    <hyperlink ref="S582" r:id="rId13" xr:uid="{00000000-0004-0000-0000-00000C000000}"/>
    <hyperlink ref="S583" r:id="rId14" xr:uid="{00000000-0004-0000-0000-00000D000000}"/>
    <hyperlink ref="S584" r:id="rId15" xr:uid="{00000000-0004-0000-0000-00000E000000}"/>
    <hyperlink ref="S588" r:id="rId16" xr:uid="{00000000-0004-0000-0000-00000F000000}"/>
    <hyperlink ref="S593" r:id="rId17" xr:uid="{00000000-0004-0000-0000-000010000000}"/>
    <hyperlink ref="S595" r:id="rId18" xr:uid="{00000000-0004-0000-0000-000011000000}"/>
    <hyperlink ref="S597" r:id="rId19" xr:uid="{00000000-0004-0000-0000-000012000000}"/>
    <hyperlink ref="S599" r:id="rId20" xr:uid="{00000000-0004-0000-0000-000013000000}"/>
    <hyperlink ref="S600" r:id="rId21" xr:uid="{00000000-0004-0000-0000-000014000000}"/>
    <hyperlink ref="S54" r:id="rId22" xr:uid="{00000000-0004-0000-0000-000015000000}"/>
    <hyperlink ref="S60" r:id="rId23" xr:uid="{00000000-0004-0000-0000-000016000000}"/>
    <hyperlink ref="S61" r:id="rId24" xr:uid="{00000000-0004-0000-0000-000017000000}"/>
    <hyperlink ref="S87" r:id="rId25" xr:uid="{00000000-0004-0000-0000-000018000000}"/>
    <hyperlink ref="S99" r:id="rId26" xr:uid="{00000000-0004-0000-0000-000019000000}"/>
    <hyperlink ref="S254" r:id="rId27" xr:uid="{00000000-0004-0000-0000-00001A000000}"/>
    <hyperlink ref="S256" r:id="rId28" xr:uid="{00000000-0004-0000-0000-00001B000000}"/>
    <hyperlink ref="S16" r:id="rId29" xr:uid="{00000000-0004-0000-0000-00001C000000}"/>
    <hyperlink ref="S103" r:id="rId30" xr:uid="{00000000-0004-0000-0000-00001D000000}"/>
    <hyperlink ref="S203" r:id="rId31" xr:uid="{00000000-0004-0000-0000-00001E000000}"/>
    <hyperlink ref="S81" r:id="rId32" xr:uid="{00000000-0004-0000-0000-00001F000000}"/>
    <hyperlink ref="S275" r:id="rId33" xr:uid="{00000000-0004-0000-0000-000020000000}"/>
    <hyperlink ref="S622" r:id="rId34" xr:uid="{00000000-0004-0000-0000-000021000000}"/>
    <hyperlink ref="S281" r:id="rId35" xr:uid="{00000000-0004-0000-0000-000022000000}"/>
    <hyperlink ref="S282" r:id="rId36" xr:uid="{00000000-0004-0000-0000-000023000000}"/>
    <hyperlink ref="S283" r:id="rId37" xr:uid="{00000000-0004-0000-0000-000024000000}"/>
    <hyperlink ref="S614" r:id="rId38" xr:uid="{00000000-0004-0000-0000-000025000000}"/>
    <hyperlink ref="S617" r:id="rId39" xr:uid="{00000000-0004-0000-0000-000026000000}"/>
    <hyperlink ref="S618" r:id="rId40" xr:uid="{00000000-0004-0000-0000-000027000000}"/>
    <hyperlink ref="S303" r:id="rId41" xr:uid="{00000000-0004-0000-0000-000028000000}"/>
    <hyperlink ref="S640" r:id="rId42" xr:uid="{00000000-0004-0000-0000-000029000000}"/>
    <hyperlink ref="S638" r:id="rId43" display="www.casaderepousosaopaulo.com.br" xr:uid="{00000000-0004-0000-0000-00002A000000}"/>
    <hyperlink ref="S639" r:id="rId44" xr:uid="{00000000-0004-0000-0000-00002B000000}"/>
    <hyperlink ref="S46" r:id="rId45" xr:uid="{00000000-0004-0000-0000-00002C000000}"/>
    <hyperlink ref="S641" r:id="rId46" xr:uid="{00000000-0004-0000-0000-00002D000000}"/>
    <hyperlink ref="S642" r:id="rId47" xr:uid="{00000000-0004-0000-0000-00002E000000}"/>
    <hyperlink ref="S295" r:id="rId48" xr:uid="{00000000-0004-0000-0000-00002F000000}"/>
    <hyperlink ref="S130" r:id="rId49" xr:uid="{00000000-0004-0000-0000-000030000000}"/>
    <hyperlink ref="S645" r:id="rId50" xr:uid="{00000000-0004-0000-0000-000031000000}"/>
    <hyperlink ref="S646" r:id="rId51" xr:uid="{00000000-0004-0000-0000-000032000000}"/>
    <hyperlink ref="S338" r:id="rId52" xr:uid="{00000000-0004-0000-0000-000033000000}"/>
    <hyperlink ref="S339" r:id="rId53" xr:uid="{00000000-0004-0000-0000-000034000000}"/>
    <hyperlink ref="S636" r:id="rId54" xr:uid="{00000000-0004-0000-0000-000035000000}"/>
    <hyperlink ref="S86" r:id="rId55" xr:uid="{00000000-0004-0000-0000-000036000000}"/>
    <hyperlink ref="S102" r:id="rId56" xr:uid="{00000000-0004-0000-0000-000037000000}"/>
    <hyperlink ref="S273" r:id="rId57" xr:uid="{00000000-0004-0000-0000-000038000000}"/>
    <hyperlink ref="S627" r:id="rId58" xr:uid="{00000000-0004-0000-0000-000039000000}"/>
    <hyperlink ref="S631" r:id="rId59" xr:uid="{00000000-0004-0000-0000-00003A000000}"/>
    <hyperlink ref="S215" r:id="rId60" xr:uid="{00000000-0004-0000-0000-00003B000000}"/>
    <hyperlink ref="S647" r:id="rId61" xr:uid="{00000000-0004-0000-0000-00003C000000}"/>
    <hyperlink ref="S222" r:id="rId62" xr:uid="{00000000-0004-0000-0000-00003D000000}"/>
    <hyperlink ref="S223" r:id="rId63" xr:uid="{00000000-0004-0000-0000-00003E000000}"/>
    <hyperlink ref="S310" r:id="rId64" xr:uid="{00000000-0004-0000-0000-00003F000000}"/>
    <hyperlink ref="S650" r:id="rId65" xr:uid="{00000000-0004-0000-0000-000040000000}"/>
    <hyperlink ref="S651" r:id="rId66" xr:uid="{00000000-0004-0000-0000-000041000000}"/>
    <hyperlink ref="S652" r:id="rId67" xr:uid="{00000000-0004-0000-0000-000042000000}"/>
    <hyperlink ref="S653" r:id="rId68" xr:uid="{00000000-0004-0000-0000-000043000000}"/>
    <hyperlink ref="S75" r:id="rId69" xr:uid="{00000000-0004-0000-0000-000044000000}"/>
    <hyperlink ref="S655" r:id="rId70" xr:uid="{00000000-0004-0000-0000-000045000000}"/>
    <hyperlink ref="S353" r:id="rId71" xr:uid="{00000000-0004-0000-0000-000046000000}"/>
    <hyperlink ref="S278" r:id="rId72" xr:uid="{00000000-0004-0000-0000-000047000000}"/>
    <hyperlink ref="S279" r:id="rId73" xr:uid="{00000000-0004-0000-0000-000048000000}"/>
    <hyperlink ref="S142" r:id="rId74" xr:uid="{00000000-0004-0000-0000-000049000000}"/>
    <hyperlink ref="S210" r:id="rId75" xr:uid="{00000000-0004-0000-0000-00004A000000}"/>
    <hyperlink ref="S207" r:id="rId76" xr:uid="{00000000-0004-0000-0000-00004B000000}"/>
    <hyperlink ref="S656" r:id="rId77" xr:uid="{00000000-0004-0000-0000-00004C000000}"/>
    <hyperlink ref="S660" r:id="rId78" xr:uid="{00000000-0004-0000-0000-00004D000000}"/>
    <hyperlink ref="S661" r:id="rId79" xr:uid="{00000000-0004-0000-0000-00004E000000}"/>
    <hyperlink ref="S672" r:id="rId80" xr:uid="{00000000-0004-0000-0000-00004F000000}"/>
    <hyperlink ref="S319" r:id="rId81" xr:uid="{00000000-0004-0000-0000-000050000000}"/>
    <hyperlink ref="S674" r:id="rId82" xr:uid="{00000000-0004-0000-0000-000051000000}"/>
    <hyperlink ref="S675" r:id="rId83" xr:uid="{00000000-0004-0000-0000-000052000000}"/>
    <hyperlink ref="S383" r:id="rId84" xr:uid="{00000000-0004-0000-0000-000053000000}"/>
    <hyperlink ref="S678" r:id="rId85" xr:uid="{00000000-0004-0000-0000-000054000000}"/>
    <hyperlink ref="S679" r:id="rId86" xr:uid="{00000000-0004-0000-0000-000055000000}"/>
    <hyperlink ref="S681" r:id="rId87" xr:uid="{00000000-0004-0000-0000-000056000000}"/>
    <hyperlink ref="S683" r:id="rId88" xr:uid="{00000000-0004-0000-0000-000057000000}"/>
    <hyperlink ref="S162" r:id="rId89" xr:uid="{00000000-0004-0000-0000-000058000000}"/>
    <hyperlink ref="S164" r:id="rId90" xr:uid="{00000000-0004-0000-0000-000059000000}"/>
    <hyperlink ref="S165" r:id="rId91" xr:uid="{00000000-0004-0000-0000-00005A000000}"/>
    <hyperlink ref="S311" r:id="rId92" xr:uid="{00000000-0004-0000-0000-00005B000000}"/>
    <hyperlink ref="T311" r:id="rId93" display="isabela@fundacaobritanica.org.br" xr:uid="{00000000-0004-0000-0000-00005C000000}"/>
    <hyperlink ref="T312" r:id="rId94" display="isabela@fundacaobritanica.org.br" xr:uid="{00000000-0004-0000-0000-00005D000000}"/>
    <hyperlink ref="S312" r:id="rId95" xr:uid="{00000000-0004-0000-0000-00005E000000}"/>
    <hyperlink ref="S161" r:id="rId96" xr:uid="{00000000-0004-0000-0000-00005F000000}"/>
    <hyperlink ref="S685" r:id="rId97" xr:uid="{00000000-0004-0000-0000-000060000000}"/>
    <hyperlink ref="S284" r:id="rId98" xr:uid="{00000000-0004-0000-0000-000061000000}"/>
    <hyperlink ref="S690" r:id="rId99" xr:uid="{00000000-0004-0000-0000-000062000000}"/>
    <hyperlink ref="S691" r:id="rId100" xr:uid="{00000000-0004-0000-0000-000063000000}"/>
    <hyperlink ref="S692" r:id="rId101" xr:uid="{00000000-0004-0000-0000-000064000000}"/>
    <hyperlink ref="S174" r:id="rId102" xr:uid="{00000000-0004-0000-0000-000065000000}"/>
    <hyperlink ref="S697" r:id="rId103" xr:uid="{00000000-0004-0000-0000-000066000000}"/>
    <hyperlink ref="S698" r:id="rId104" xr:uid="{00000000-0004-0000-0000-000067000000}"/>
    <hyperlink ref="S699" r:id="rId105" xr:uid="{00000000-0004-0000-0000-000068000000}"/>
    <hyperlink ref="S700" r:id="rId106" xr:uid="{00000000-0004-0000-0000-000069000000}"/>
    <hyperlink ref="S701" r:id="rId107" xr:uid="{00000000-0004-0000-0000-00006A000000}"/>
    <hyperlink ref="S702" r:id="rId108" xr:uid="{00000000-0004-0000-0000-00006B000000}"/>
    <hyperlink ref="S703" r:id="rId109" xr:uid="{00000000-0004-0000-0000-00006C000000}"/>
    <hyperlink ref="S704" r:id="rId110" xr:uid="{00000000-0004-0000-0000-00006D000000}"/>
    <hyperlink ref="S127" r:id="rId111" xr:uid="{00000000-0004-0000-0000-00006E000000}"/>
    <hyperlink ref="S134" r:id="rId112" xr:uid="{00000000-0004-0000-0000-00006F000000}"/>
    <hyperlink ref="S707" r:id="rId113" xr:uid="{00000000-0004-0000-0000-000070000000}"/>
    <hyperlink ref="S346" r:id="rId114" xr:uid="{00000000-0004-0000-0000-000071000000}"/>
    <hyperlink ref="S196" r:id="rId115" xr:uid="{00000000-0004-0000-0000-000072000000}"/>
    <hyperlink ref="S402" r:id="rId116" xr:uid="{00000000-0004-0000-0000-000073000000}"/>
    <hyperlink ref="S328" r:id="rId117" xr:uid="{00000000-0004-0000-0000-000074000000}"/>
    <hyperlink ref="S297" r:id="rId118" xr:uid="{00000000-0004-0000-0000-000075000000}"/>
    <hyperlink ref="S151" r:id="rId119" xr:uid="{00000000-0004-0000-0000-000076000000}"/>
    <hyperlink ref="S201" r:id="rId120" xr:uid="{00000000-0004-0000-0000-000077000000}"/>
    <hyperlink ref="S413" r:id="rId121" xr:uid="{00000000-0004-0000-0000-000078000000}"/>
    <hyperlink ref="S83" r:id="rId122" xr:uid="{00000000-0004-0000-0000-000079000000}"/>
    <hyperlink ref="S117" r:id="rId123" xr:uid="{00000000-0004-0000-0000-00007A000000}"/>
    <hyperlink ref="S96" r:id="rId124" xr:uid="{00000000-0004-0000-0000-00007B000000}"/>
    <hyperlink ref="S48" r:id="rId125" xr:uid="{00000000-0004-0000-0000-00007C000000}"/>
    <hyperlink ref="S693" r:id="rId126" xr:uid="{00000000-0004-0000-0000-00007D000000}"/>
    <hyperlink ref="S708" r:id="rId127" xr:uid="{00000000-0004-0000-0000-00007E000000}"/>
    <hyperlink ref="S23" r:id="rId128" xr:uid="{00000000-0004-0000-0000-00007F000000}"/>
    <hyperlink ref="S78" r:id="rId129" xr:uid="{00000000-0004-0000-0000-000080000000}"/>
    <hyperlink ref="S739" r:id="rId130" xr:uid="{00000000-0004-0000-0000-000081000000}"/>
    <hyperlink ref="S740" r:id="rId131" xr:uid="{00000000-0004-0000-0000-000082000000}"/>
    <hyperlink ref="S741" r:id="rId132" xr:uid="{00000000-0004-0000-0000-000083000000}"/>
    <hyperlink ref="S111" r:id="rId133" xr:uid="{00000000-0004-0000-0000-000084000000}"/>
    <hyperlink ref="S112" r:id="rId134" xr:uid="{00000000-0004-0000-0000-000085000000}"/>
    <hyperlink ref="S438" r:id="rId135" xr:uid="{00000000-0004-0000-0000-000086000000}"/>
    <hyperlink ref="S744" r:id="rId136" xr:uid="{00000000-0004-0000-0000-000087000000}"/>
    <hyperlink ref="S745" r:id="rId137" xr:uid="{00000000-0004-0000-0000-000088000000}"/>
    <hyperlink ref="S746" r:id="rId138" xr:uid="{00000000-0004-0000-0000-000089000000}"/>
    <hyperlink ref="S747" r:id="rId139" xr:uid="{00000000-0004-0000-0000-00008A000000}"/>
    <hyperlink ref="S749" r:id="rId140" xr:uid="{00000000-0004-0000-0000-00008B000000}"/>
    <hyperlink ref="S752" r:id="rId141" xr:uid="{00000000-0004-0000-0000-00008C000000}"/>
    <hyperlink ref="S753" r:id="rId142" xr:uid="{00000000-0004-0000-0000-00008D000000}"/>
    <hyperlink ref="S754" r:id="rId143" xr:uid="{00000000-0004-0000-0000-00008E000000}"/>
    <hyperlink ref="S757" r:id="rId144" xr:uid="{00000000-0004-0000-0000-00008F000000}"/>
    <hyperlink ref="S758" r:id="rId145" xr:uid="{00000000-0004-0000-0000-000090000000}"/>
    <hyperlink ref="S487" r:id="rId146" xr:uid="{00000000-0004-0000-0000-000091000000}"/>
    <hyperlink ref="S182" r:id="rId147" xr:uid="{00000000-0004-0000-0000-000092000000}"/>
    <hyperlink ref="S168" r:id="rId148" xr:uid="{00000000-0004-0000-0000-000093000000}"/>
    <hyperlink ref="S762" r:id="rId149" xr:uid="{00000000-0004-0000-0000-000094000000}"/>
    <hyperlink ref="S19" r:id="rId150" xr:uid="{00000000-0004-0000-0000-000095000000}"/>
    <hyperlink ref="S40" r:id="rId151" xr:uid="{00000000-0004-0000-0000-000096000000}"/>
    <hyperlink ref="S110" r:id="rId152" xr:uid="{00000000-0004-0000-0000-000097000000}"/>
    <hyperlink ref="S118" r:id="rId153" xr:uid="{00000000-0004-0000-0000-000098000000}"/>
    <hyperlink ref="S153" r:id="rId154" xr:uid="{00000000-0004-0000-0000-000099000000}"/>
    <hyperlink ref="S154" r:id="rId155" xr:uid="{00000000-0004-0000-0000-00009A000000}"/>
    <hyperlink ref="S183" r:id="rId156" xr:uid="{00000000-0004-0000-0000-00009B000000}"/>
    <hyperlink ref="S200" r:id="rId157" xr:uid="{00000000-0004-0000-0000-00009C000000}"/>
    <hyperlink ref="S267" r:id="rId158" display="www.vidanovaparaidosos.com.br" xr:uid="{00000000-0004-0000-0000-00009D000000}"/>
    <hyperlink ref="S292" r:id="rId159" xr:uid="{00000000-0004-0000-0000-00009E000000}"/>
    <hyperlink ref="S389" r:id="rId160" xr:uid="{00000000-0004-0000-0000-00009F000000}"/>
    <hyperlink ref="S425" r:id="rId161" xr:uid="{00000000-0004-0000-0000-0000A0000000}"/>
    <hyperlink ref="S477" r:id="rId162" xr:uid="{00000000-0004-0000-0000-0000A1000000}"/>
    <hyperlink ref="S485" r:id="rId163" xr:uid="{00000000-0004-0000-0000-0000A2000000}"/>
    <hyperlink ref="S486" r:id="rId164" xr:uid="{00000000-0004-0000-0000-0000A3000000}"/>
    <hyperlink ref="S767" r:id="rId165" xr:uid="{00000000-0004-0000-0000-0000A4000000}"/>
    <hyperlink ref="R770" r:id="rId166" xr:uid="{00000000-0004-0000-0000-0000A6000000}"/>
    <hyperlink ref="S770" r:id="rId167" xr:uid="{00000000-0004-0000-0000-0000A7000000}"/>
    <hyperlink ref="R771" r:id="rId168" xr:uid="{00000000-0004-0000-0000-0000A8000000}"/>
    <hyperlink ref="R772" r:id="rId169" xr:uid="{00000000-0004-0000-0000-0000A9000000}"/>
    <hyperlink ref="R773" r:id="rId170" xr:uid="{00000000-0004-0000-0000-0000AA000000}"/>
    <hyperlink ref="S774" r:id="rId171" xr:uid="{00000000-0004-0000-0000-0000AC000000}"/>
    <hyperlink ref="R774" r:id="rId172" xr:uid="{00000000-0004-0000-0000-0000AD000000}"/>
    <hyperlink ref="S504" r:id="rId173" xr:uid="{00000000-0004-0000-0000-0000AE000000}"/>
    <hyperlink ref="R775" r:id="rId174" xr:uid="{00000000-0004-0000-0000-0000AF000000}"/>
    <hyperlink ref="R776" r:id="rId175" xr:uid="{00000000-0004-0000-0000-0000B0000000}"/>
    <hyperlink ref="S657" r:id="rId176" xr:uid="{00000000-0004-0000-0000-0000B1000000}"/>
    <hyperlink ref="R777" r:id="rId177" xr:uid="{00000000-0004-0000-0000-0000B2000000}"/>
    <hyperlink ref="R778" r:id="rId178" xr:uid="{00000000-0004-0000-0000-0000B3000000}"/>
    <hyperlink ref="R779" r:id="rId179" xr:uid="{00000000-0004-0000-0000-0000B4000000}"/>
    <hyperlink ref="S779" r:id="rId180" xr:uid="{00000000-0004-0000-0000-0000B5000000}"/>
    <hyperlink ref="R780" r:id="rId181" xr:uid="{00000000-0004-0000-0000-0000B6000000}"/>
    <hyperlink ref="S781" r:id="rId182" xr:uid="{00000000-0004-0000-0000-0000B7000000}"/>
    <hyperlink ref="R782" r:id="rId183" xr:uid="{00000000-0004-0000-0000-0000B8000000}"/>
    <hyperlink ref="R781" r:id="rId184" xr:uid="{00000000-0004-0000-0000-0000B9000000}"/>
    <hyperlink ref="S585" r:id="rId185" xr:uid="{00000000-0004-0000-0000-0000BA000000}"/>
    <hyperlink ref="S586" r:id="rId186" xr:uid="{00000000-0004-0000-0000-0000BB000000}"/>
    <hyperlink ref="R783" r:id="rId187" xr:uid="{00000000-0004-0000-0000-0000BC000000}"/>
    <hyperlink ref="R784" r:id="rId188" xr:uid="{00000000-0004-0000-0000-0000BD000000}"/>
    <hyperlink ref="S784" r:id="rId189" xr:uid="{00000000-0004-0000-0000-0000BE000000}"/>
    <hyperlink ref="R785" r:id="rId190" xr:uid="{00000000-0004-0000-0000-0000BF000000}"/>
    <hyperlink ref="S785" r:id="rId191" xr:uid="{00000000-0004-0000-0000-0000C0000000}"/>
    <hyperlink ref="R786" r:id="rId192" xr:uid="{00000000-0004-0000-0000-0000C1000000}"/>
    <hyperlink ref="S786" r:id="rId193" xr:uid="{00000000-0004-0000-0000-0000C2000000}"/>
    <hyperlink ref="R787" r:id="rId194" xr:uid="{00000000-0004-0000-0000-0000C3000000}"/>
    <hyperlink ref="R792" r:id="rId195" xr:uid="{00000000-0004-0000-0000-0000C4000000}"/>
    <hyperlink ref="S792" r:id="rId196" xr:uid="{00000000-0004-0000-0000-0000C5000000}"/>
    <hyperlink ref="S240" r:id="rId197" xr:uid="{00000000-0004-0000-0000-0000C6000000}"/>
    <hyperlink ref="S241" r:id="rId198" xr:uid="{00000000-0004-0000-0000-0000C7000000}"/>
    <hyperlink ref="R788" r:id="rId199" xr:uid="{00000000-0004-0000-0000-0000C8000000}"/>
    <hyperlink ref="R789" r:id="rId200" xr:uid="{00000000-0004-0000-0000-0000C9000000}"/>
    <hyperlink ref="R790" r:id="rId201" xr:uid="{00000000-0004-0000-0000-0000CA000000}"/>
    <hyperlink ref="R791" r:id="rId202" xr:uid="{00000000-0004-0000-0000-0000CB000000}"/>
    <hyperlink ref="R795" r:id="rId203" xr:uid="{00000000-0004-0000-0000-0000CC000000}"/>
    <hyperlink ref="S795" r:id="rId204" xr:uid="{00000000-0004-0000-0000-0000CD000000}"/>
    <hyperlink ref="R796" r:id="rId205" xr:uid="{00000000-0004-0000-0000-0000CE000000}"/>
    <hyperlink ref="S796" r:id="rId206" xr:uid="{00000000-0004-0000-0000-0000CF000000}"/>
    <hyperlink ref="R797" r:id="rId207" xr:uid="{00000000-0004-0000-0000-0000D0000000}"/>
    <hyperlink ref="S251" r:id="rId208" xr:uid="{00000000-0004-0000-0000-0000D2000000}"/>
    <hyperlink ref="S454" r:id="rId209" xr:uid="{00000000-0004-0000-0000-0000D3000000}"/>
    <hyperlink ref="R798" r:id="rId210" xr:uid="{00000000-0004-0000-0000-0000D4000000}"/>
    <hyperlink ref="R799" r:id="rId211" xr:uid="{00000000-0004-0000-0000-0000D5000000}"/>
    <hyperlink ref="S798" r:id="rId212" xr:uid="{00000000-0004-0000-0000-0000D6000000}"/>
    <hyperlink ref="S799" r:id="rId213" xr:uid="{00000000-0004-0000-0000-0000D7000000}"/>
    <hyperlink ref="S248" r:id="rId214" xr:uid="{00000000-0004-0000-0000-0000D8000000}"/>
    <hyperlink ref="R801" r:id="rId215" xr:uid="{00000000-0004-0000-0000-0000D9000000}"/>
    <hyperlink ref="R803" r:id="rId216" xr:uid="{00000000-0004-0000-0000-0000DA000000}"/>
    <hyperlink ref="S803" r:id="rId217" xr:uid="{00000000-0004-0000-0000-0000DB000000}"/>
    <hyperlink ref="R804" r:id="rId218" xr:uid="{00000000-0004-0000-0000-0000DC000000}"/>
    <hyperlink ref="S804" r:id="rId219" xr:uid="{00000000-0004-0000-0000-0000DD000000}"/>
    <hyperlink ref="R805" r:id="rId220" xr:uid="{00000000-0004-0000-0000-0000DE000000}"/>
    <hyperlink ref="S805" r:id="rId221" xr:uid="{00000000-0004-0000-0000-0000DF000000}"/>
    <hyperlink ref="R806" r:id="rId222" xr:uid="{00000000-0004-0000-0000-0000E0000000}"/>
    <hyperlink ref="S806" r:id="rId223" xr:uid="{00000000-0004-0000-0000-0000E1000000}"/>
    <hyperlink ref="R809" r:id="rId224" xr:uid="{00000000-0004-0000-0000-0000E2000000}"/>
    <hyperlink ref="R810" r:id="rId225" xr:uid="{00000000-0004-0000-0000-0000E3000000}"/>
    <hyperlink ref="R811" r:id="rId226" xr:uid="{00000000-0004-0000-0000-0000E4000000}"/>
    <hyperlink ref="S811" r:id="rId227" xr:uid="{00000000-0004-0000-0000-0000E5000000}"/>
    <hyperlink ref="R812" r:id="rId228" xr:uid="{00000000-0004-0000-0000-0000E6000000}"/>
    <hyperlink ref="R813" r:id="rId229" xr:uid="{00000000-0004-0000-0000-0000E7000000}"/>
    <hyperlink ref="R814" r:id="rId230" xr:uid="{00000000-0004-0000-0000-0000E8000000}"/>
    <hyperlink ref="R816" r:id="rId231" xr:uid="{00000000-0004-0000-0000-0000E9000000}"/>
    <hyperlink ref="S816" r:id="rId232" xr:uid="{00000000-0004-0000-0000-0000EA000000}"/>
    <hyperlink ref="S658" r:id="rId233" xr:uid="{00000000-0004-0000-0000-0000EB000000}"/>
    <hyperlink ref="S301" r:id="rId234" xr:uid="{00000000-0004-0000-0000-0000EC000000}"/>
    <hyperlink ref="R817" r:id="rId235" xr:uid="{00000000-0004-0000-0000-0000ED000000}"/>
    <hyperlink ref="R819" r:id="rId236" xr:uid="{00000000-0004-0000-0000-0000EE000000}"/>
    <hyperlink ref="S819" r:id="rId237" xr:uid="{00000000-0004-0000-0000-0000EF000000}"/>
    <hyperlink ref="R822" r:id="rId238" xr:uid="{00000000-0004-0000-0000-0000F0000000}"/>
    <hyperlink ref="R823" r:id="rId239" xr:uid="{00000000-0004-0000-0000-0000F1000000}"/>
    <hyperlink ref="S742" r:id="rId240" xr:uid="{00000000-0004-0000-0000-0000F2000000}"/>
    <hyperlink ref="R824" r:id="rId241" xr:uid="{00000000-0004-0000-0000-0000F3000000}"/>
    <hyperlink ref="R825" r:id="rId242" xr:uid="{00000000-0004-0000-0000-0000F4000000}"/>
    <hyperlink ref="R826" r:id="rId243" xr:uid="{00000000-0004-0000-0000-0000F5000000}"/>
    <hyperlink ref="R827" r:id="rId244" xr:uid="{00000000-0004-0000-0000-0000F6000000}"/>
    <hyperlink ref="S414" r:id="rId245" xr:uid="{00000000-0004-0000-0000-0000F7000000}"/>
    <hyperlink ref="R828" r:id="rId246" xr:uid="{00000000-0004-0000-0000-0000F8000000}"/>
    <hyperlink ref="R829" r:id="rId247" xr:uid="{00000000-0004-0000-0000-0000F9000000}"/>
    <hyperlink ref="S829" r:id="rId248" xr:uid="{00000000-0004-0000-0000-0000FA000000}"/>
    <hyperlink ref="S434" r:id="rId249" xr:uid="{00000000-0004-0000-0000-0000FB000000}"/>
    <hyperlink ref="S433" r:id="rId250" xr:uid="{00000000-0004-0000-0000-0000FC000000}"/>
    <hyperlink ref="R830" r:id="rId251" xr:uid="{00000000-0004-0000-0000-0000FD000000}"/>
    <hyperlink ref="S334" r:id="rId252" xr:uid="{00000000-0004-0000-0000-0000FE000000}"/>
    <hyperlink ref="S213" r:id="rId253" xr:uid="{00000000-0004-0000-0000-0000FF000000}"/>
    <hyperlink ref="S80" r:id="rId254" xr:uid="{00000000-0004-0000-0000-000000010000}"/>
    <hyperlink ref="S13" r:id="rId255" xr:uid="{00000000-0004-0000-0000-000001010000}"/>
    <hyperlink ref="S481" r:id="rId256" xr:uid="{00000000-0004-0000-0000-000002010000}"/>
    <hyperlink ref="S202" r:id="rId257" xr:uid="{00000000-0004-0000-0000-000003010000}"/>
    <hyperlink ref="S18" r:id="rId258" xr:uid="{00000000-0004-0000-0000-000004010000}"/>
    <hyperlink ref="S155" r:id="rId259" xr:uid="{00000000-0004-0000-0000-000005010000}"/>
    <hyperlink ref="S156" r:id="rId260" xr:uid="{00000000-0004-0000-0000-000006010000}"/>
    <hyperlink ref="S157" r:id="rId261" xr:uid="{00000000-0004-0000-0000-000007010000}"/>
    <hyperlink ref="S158" r:id="rId262" xr:uid="{00000000-0004-0000-0000-000008010000}"/>
    <hyperlink ref="S159" r:id="rId263" xr:uid="{00000000-0004-0000-0000-000009010000}"/>
    <hyperlink ref="R833" r:id="rId264" xr:uid="{00000000-0004-0000-0000-00000A010000}"/>
    <hyperlink ref="R835" r:id="rId265" xr:uid="{00000000-0004-0000-0000-00000B010000}"/>
    <hyperlink ref="R836" r:id="rId266" xr:uid="{00000000-0004-0000-0000-00000C010000}"/>
    <hyperlink ref="S836" r:id="rId267" xr:uid="{00000000-0004-0000-0000-00000D010000}"/>
    <hyperlink ref="S323" r:id="rId268" xr:uid="{00000000-0004-0000-0000-00000E010000}"/>
    <hyperlink ref="R837" r:id="rId269" xr:uid="{00000000-0004-0000-0000-00000F010000}"/>
    <hyperlink ref="S372" r:id="rId270" xr:uid="{00000000-0004-0000-0000-000010010000}"/>
    <hyperlink ref="R838" r:id="rId271" xr:uid="{00000000-0004-0000-0000-000011010000}"/>
    <hyperlink ref="S838" r:id="rId272" xr:uid="{00000000-0004-0000-0000-000012010000}"/>
    <hyperlink ref="R839" r:id="rId273" xr:uid="{00000000-0004-0000-0000-000013010000}"/>
    <hyperlink ref="R841" r:id="rId274" xr:uid="{00000000-0004-0000-0000-000014010000}"/>
    <hyperlink ref="R842" r:id="rId275" xr:uid="{00000000-0004-0000-0000-000015010000}"/>
    <hyperlink ref="R843" r:id="rId276" xr:uid="{00000000-0004-0000-0000-000016010000}"/>
    <hyperlink ref="S843" r:id="rId277" xr:uid="{00000000-0004-0000-0000-000017010000}"/>
    <hyperlink ref="R844" r:id="rId278" xr:uid="{00000000-0004-0000-0000-000018010000}"/>
    <hyperlink ref="R846" r:id="rId279" xr:uid="{00000000-0004-0000-0000-000019010000}"/>
    <hyperlink ref="S846" r:id="rId280" xr:uid="{00000000-0004-0000-0000-00001A010000}"/>
    <hyperlink ref="R847" r:id="rId281" xr:uid="{00000000-0004-0000-0000-00001B010000}"/>
    <hyperlink ref="S847" r:id="rId282" xr:uid="{00000000-0004-0000-0000-00001C010000}"/>
    <hyperlink ref="R848" r:id="rId283" xr:uid="{00000000-0004-0000-0000-00001D010000}"/>
    <hyperlink ref="R849:R851" r:id="rId284" display="contato@institutogera.org" xr:uid="{00000000-0004-0000-0000-00001E010000}"/>
    <hyperlink ref="S848" r:id="rId285" xr:uid="{00000000-0004-0000-0000-00001F010000}"/>
    <hyperlink ref="S849:S851" r:id="rId286" display="www.instituogera.org " xr:uid="{00000000-0004-0000-0000-000020010000}"/>
    <hyperlink ref="R855" r:id="rId287" xr:uid="{00000000-0004-0000-0000-000021010000}"/>
    <hyperlink ref="S855" r:id="rId288" xr:uid="{00000000-0004-0000-0000-000022010000}"/>
    <hyperlink ref="R856" r:id="rId289" xr:uid="{00000000-0004-0000-0000-000023010000}"/>
    <hyperlink ref="R857" r:id="rId290" xr:uid="{00000000-0004-0000-0000-000024010000}"/>
    <hyperlink ref="R858" r:id="rId291" xr:uid="{00000000-0004-0000-0000-000025010000}"/>
    <hyperlink ref="S14" r:id="rId292" xr:uid="{00000000-0004-0000-0000-000026010000}"/>
    <hyperlink ref="S197" r:id="rId293" xr:uid="{00000000-0004-0000-0000-000027010000}"/>
    <hyperlink ref="S246" r:id="rId294" xr:uid="{00000000-0004-0000-0000-000028010000}"/>
    <hyperlink ref="S290" r:id="rId295" xr:uid="{00000000-0004-0000-0000-000029010000}"/>
    <hyperlink ref="S299" r:id="rId296" xr:uid="{00000000-0004-0000-0000-00002A010000}"/>
    <hyperlink ref="S324" r:id="rId297" xr:uid="{00000000-0004-0000-0000-00002B010000}"/>
    <hyperlink ref="S335" r:id="rId298" xr:uid="{00000000-0004-0000-0000-00002C010000}"/>
    <hyperlink ref="S92" r:id="rId299" xr:uid="{00000000-0004-0000-0000-00002D010000}"/>
    <hyperlink ref="S95" r:id="rId300" xr:uid="{00000000-0004-0000-0000-00002E010000}"/>
    <hyperlink ref="S169" r:id="rId301" xr:uid="{00000000-0004-0000-0000-00002F010000}"/>
    <hyperlink ref="S252" r:id="rId302" xr:uid="{00000000-0004-0000-0000-000030010000}"/>
    <hyperlink ref="S255" r:id="rId303" xr:uid="{00000000-0004-0000-0000-000031010000}"/>
    <hyperlink ref="S517" r:id="rId304" xr:uid="{00000000-0004-0000-0000-000032010000}"/>
    <hyperlink ref="S520" r:id="rId305" xr:uid="{00000000-0004-0000-0000-000033010000}"/>
    <hyperlink ref="R840" r:id="rId306" xr:uid="{00000000-0004-0000-0000-000034010000}"/>
    <hyperlink ref="R859" r:id="rId307" xr:uid="{00000000-0004-0000-0000-000035010000}"/>
    <hyperlink ref="R860" r:id="rId308" xr:uid="{00000000-0004-0000-0000-000036010000}"/>
    <hyperlink ref="S860" r:id="rId309" xr:uid="{00000000-0004-0000-0000-000037010000}"/>
    <hyperlink ref="R861" r:id="rId310" xr:uid="{00000000-0004-0000-0000-000038010000}"/>
    <hyperlink ref="R862" r:id="rId311" xr:uid="{00000000-0004-0000-0000-000039010000}"/>
    <hyperlink ref="S862" r:id="rId312" xr:uid="{00000000-0004-0000-0000-00003A010000}"/>
    <hyperlink ref="R863" r:id="rId313" xr:uid="{00000000-0004-0000-0000-00003B010000}"/>
    <hyperlink ref="S863" r:id="rId314" xr:uid="{00000000-0004-0000-0000-00003C010000}"/>
    <hyperlink ref="S864" r:id="rId315" xr:uid="{00000000-0004-0000-0000-00003D010000}"/>
    <hyperlink ref="R866" r:id="rId316" xr:uid="{00000000-0004-0000-0000-00003E010000}"/>
    <hyperlink ref="R867" r:id="rId317" xr:uid="{00000000-0004-0000-0000-00003F010000}"/>
    <hyperlink ref="S867" r:id="rId318" xr:uid="{00000000-0004-0000-0000-000040010000}"/>
    <hyperlink ref="R868" r:id="rId319" xr:uid="{00000000-0004-0000-0000-000041010000}"/>
    <hyperlink ref="R869" r:id="rId320" xr:uid="{00000000-0004-0000-0000-000042010000}"/>
    <hyperlink ref="R870" r:id="rId321" xr:uid="{00000000-0004-0000-0000-000043010000}"/>
    <hyperlink ref="R871" r:id="rId322" xr:uid="{00000000-0004-0000-0000-000044010000}"/>
    <hyperlink ref="R873" r:id="rId323" xr:uid="{00000000-0004-0000-0000-000045010000}"/>
    <hyperlink ref="R874" r:id="rId324" xr:uid="{00000000-0004-0000-0000-000046010000}"/>
    <hyperlink ref="S874" r:id="rId325" xr:uid="{00000000-0004-0000-0000-000047010000}"/>
    <hyperlink ref="S45" r:id="rId326" xr:uid="{00000000-0004-0000-0000-000048010000}"/>
    <hyperlink ref="S482" r:id="rId327" xr:uid="{00000000-0004-0000-0000-000049010000}"/>
    <hyperlink ref="S483" r:id="rId328" xr:uid="{00000000-0004-0000-0000-00004A010000}"/>
    <hyperlink ref="S484" r:id="rId329" xr:uid="{00000000-0004-0000-0000-00004B010000}"/>
    <hyperlink ref="R875" r:id="rId330" xr:uid="{00000000-0004-0000-0000-00004C010000}"/>
    <hyperlink ref="R876" r:id="rId331" xr:uid="{00000000-0004-0000-0000-00004D010000}"/>
    <hyperlink ref="S876" r:id="rId332" xr:uid="{00000000-0004-0000-0000-00004E010000}"/>
    <hyperlink ref="R878" r:id="rId333" xr:uid="{00000000-0004-0000-0000-00004F010000}"/>
    <hyperlink ref="R880" r:id="rId334" xr:uid="{00000000-0004-0000-0000-000050010000}"/>
    <hyperlink ref="R882" r:id="rId335" xr:uid="{00000000-0004-0000-0000-000051010000}"/>
    <hyperlink ref="S882" r:id="rId336" xr:uid="{00000000-0004-0000-0000-000052010000}"/>
    <hyperlink ref="R883" r:id="rId337" xr:uid="{00000000-0004-0000-0000-000053010000}"/>
    <hyperlink ref="S883" r:id="rId338" xr:uid="{00000000-0004-0000-0000-000054010000}"/>
    <hyperlink ref="R884" r:id="rId339" xr:uid="{00000000-0004-0000-0000-000055010000}"/>
    <hyperlink ref="S884" r:id="rId340" xr:uid="{00000000-0004-0000-0000-000056010000}"/>
    <hyperlink ref="S887" r:id="rId341" xr:uid="{00000000-0004-0000-0000-000057010000}"/>
    <hyperlink ref="R888" r:id="rId342" display="diretoria@institutonovosvalores.org.br" xr:uid="{00000000-0004-0000-0000-000058010000}"/>
    <hyperlink ref="S888" r:id="rId343" xr:uid="{00000000-0004-0000-0000-000059010000}"/>
    <hyperlink ref="R889" r:id="rId344" xr:uid="{00000000-0004-0000-0000-00005A010000}"/>
    <hyperlink ref="S889" r:id="rId345" xr:uid="{00000000-0004-0000-0000-00005B010000}"/>
    <hyperlink ref="R890" r:id="rId346" xr:uid="{00000000-0004-0000-0000-00005C010000}"/>
    <hyperlink ref="R891" r:id="rId347" xr:uid="{00000000-0004-0000-0000-00005D010000}"/>
    <hyperlink ref="S257" r:id="rId348" xr:uid="{00000000-0004-0000-0000-00005E010000}"/>
    <hyperlink ref="S375" r:id="rId349" xr:uid="{00000000-0004-0000-0000-00005F010000}"/>
    <hyperlink ref="S492" r:id="rId350" xr:uid="{00000000-0004-0000-0000-000060010000}"/>
    <hyperlink ref="S893" r:id="rId351" xr:uid="{00000000-0004-0000-0000-000061010000}"/>
    <hyperlink ref="R894" r:id="rId352" xr:uid="{00000000-0004-0000-0000-000062010000}"/>
    <hyperlink ref="S894" r:id="rId353" xr:uid="{00000000-0004-0000-0000-000063010000}"/>
    <hyperlink ref="S895" r:id="rId354" xr:uid="{00000000-0004-0000-0000-000064010000}"/>
    <hyperlink ref="R896" r:id="rId355" xr:uid="{00000000-0004-0000-0000-000065010000}"/>
    <hyperlink ref="R897" r:id="rId356" xr:uid="{00000000-0004-0000-0000-000066010000}"/>
    <hyperlink ref="S21" r:id="rId357" xr:uid="{00000000-0004-0000-0000-000067010000}"/>
    <hyperlink ref="S224" r:id="rId358" xr:uid="{00000000-0004-0000-0000-000068010000}"/>
    <hyperlink ref="S403" r:id="rId359" xr:uid="{00000000-0004-0000-0000-000069010000}"/>
    <hyperlink ref="S436" r:id="rId360" xr:uid="{00000000-0004-0000-0000-00006A010000}"/>
    <hyperlink ref="S447" r:id="rId361" xr:uid="{00000000-0004-0000-0000-00006B010000}"/>
    <hyperlink ref="R900" r:id="rId362" xr:uid="{00000000-0004-0000-0000-00006C010000}"/>
    <hyperlink ref="S900" r:id="rId363" xr:uid="{00000000-0004-0000-0000-00006D010000}"/>
    <hyperlink ref="R901" r:id="rId364" xr:uid="{00000000-0004-0000-0000-00006E010000}"/>
    <hyperlink ref="R902" r:id="rId365" xr:uid="{00000000-0004-0000-0000-00006F010000}"/>
    <hyperlink ref="S902" r:id="rId366" xr:uid="{00000000-0004-0000-0000-000070010000}"/>
    <hyperlink ref="R903" r:id="rId367" xr:uid="{00000000-0004-0000-0000-000071010000}"/>
    <hyperlink ref="S349" r:id="rId368" xr:uid="{00000000-0004-0000-0000-000072010000}"/>
    <hyperlink ref="R904" r:id="rId369" xr:uid="{00000000-0004-0000-0000-000073010000}"/>
    <hyperlink ref="R907" r:id="rId370" xr:uid="{00000000-0004-0000-0000-000074010000}"/>
    <hyperlink ref="R909" r:id="rId371" xr:uid="{00000000-0004-0000-0000-000075010000}"/>
    <hyperlink ref="R908" r:id="rId372" xr:uid="{00000000-0004-0000-0000-000076010000}"/>
    <hyperlink ref="R910" r:id="rId373" xr:uid="{00000000-0004-0000-0000-000077010000}"/>
    <hyperlink ref="R911" r:id="rId374" xr:uid="{00000000-0004-0000-0000-000078010000}"/>
    <hyperlink ref="R912" r:id="rId375" xr:uid="{00000000-0004-0000-0000-000079010000}"/>
    <hyperlink ref="R913" r:id="rId376" xr:uid="{00000000-0004-0000-0000-00007A010000}"/>
    <hyperlink ref="S913" r:id="rId377" xr:uid="{00000000-0004-0000-0000-00007B010000}"/>
    <hyperlink ref="R914" r:id="rId378" xr:uid="{00000000-0004-0000-0000-00007C010000}"/>
    <hyperlink ref="R916" r:id="rId379" xr:uid="{00000000-0004-0000-0000-00007D010000}"/>
    <hyperlink ref="R917" r:id="rId380" xr:uid="{00000000-0004-0000-0000-00007E010000}"/>
    <hyperlink ref="S917" r:id="rId381" xr:uid="{00000000-0004-0000-0000-00007F010000}"/>
    <hyperlink ref="R923" r:id="rId382" xr:uid="{00000000-0004-0000-0000-000080010000}"/>
    <hyperlink ref="S923" r:id="rId383" xr:uid="{00000000-0004-0000-0000-000081010000}"/>
    <hyperlink ref="R924" r:id="rId384" display="irsalete@palotinas.com.br" xr:uid="{00000000-0004-0000-0000-000082010000}"/>
    <hyperlink ref="S143" r:id="rId385" xr:uid="{00000000-0004-0000-0000-000083010000}"/>
    <hyperlink ref="S144" r:id="rId386" xr:uid="{00000000-0004-0000-0000-000084010000}"/>
    <hyperlink ref="S145" r:id="rId387" xr:uid="{00000000-0004-0000-0000-000085010000}"/>
    <hyperlink ref="S554" r:id="rId388" xr:uid="{00000000-0004-0000-0000-000086010000}"/>
    <hyperlink ref="S36" r:id="rId389" xr:uid="{00000000-0004-0000-0000-000087010000}"/>
    <hyperlink ref="R925" r:id="rId390" xr:uid="{00000000-0004-0000-0000-000088010000}"/>
    <hyperlink ref="S925" r:id="rId391" xr:uid="{00000000-0004-0000-0000-000089010000}"/>
    <hyperlink ref="R926" r:id="rId392" xr:uid="{00000000-0004-0000-0000-00008A010000}"/>
    <hyperlink ref="S926" r:id="rId393" xr:uid="{00000000-0004-0000-0000-00008B010000}"/>
    <hyperlink ref="R927" r:id="rId394" xr:uid="{00000000-0004-0000-0000-00008C010000}"/>
    <hyperlink ref="R928" r:id="rId395" xr:uid="{00000000-0004-0000-0000-00008D010000}"/>
    <hyperlink ref="S929" r:id="rId396" xr:uid="{00000000-0004-0000-0000-00008E010000}"/>
    <hyperlink ref="R929" r:id="rId397" xr:uid="{00000000-0004-0000-0000-00008F010000}"/>
    <hyperlink ref="S930" r:id="rId398" xr:uid="{00000000-0004-0000-0000-000090010000}"/>
    <hyperlink ref="R915" r:id="rId399" xr:uid="{00000000-0004-0000-0000-000091010000}"/>
    <hyperlink ref="S915" r:id="rId400" xr:uid="{00000000-0004-0000-0000-000092010000}"/>
    <hyperlink ref="S177" r:id="rId401" xr:uid="{00000000-0004-0000-0000-000093010000}"/>
    <hyperlink ref="S280" r:id="rId402" xr:uid="{00000000-0004-0000-0000-000094010000}"/>
    <hyperlink ref="S146" r:id="rId403" xr:uid="{00000000-0004-0000-0000-000095010000}"/>
    <hyperlink ref="S407" r:id="rId404" xr:uid="{00000000-0004-0000-0000-000096010000}"/>
    <hyperlink ref="S918" r:id="rId405" xr:uid="{00000000-0004-0000-0000-000097010000}"/>
    <hyperlink ref="S919" r:id="rId406" xr:uid="{00000000-0004-0000-0000-000098010000}"/>
    <hyperlink ref="S920" r:id="rId407" xr:uid="{00000000-0004-0000-0000-000099010000}"/>
    <hyperlink ref="R920" r:id="rId408" xr:uid="{00000000-0004-0000-0000-00009A010000}"/>
    <hyperlink ref="R932" r:id="rId409" xr:uid="{00000000-0004-0000-0000-00009B010000}"/>
    <hyperlink ref="R933" r:id="rId410" xr:uid="{00000000-0004-0000-0000-00009C010000}"/>
    <hyperlink ref="R934" r:id="rId411" xr:uid="{00000000-0004-0000-0000-00009D010000}"/>
    <hyperlink ref="R935" r:id="rId412" xr:uid="{00000000-0004-0000-0000-00009E010000}"/>
    <hyperlink ref="S935" r:id="rId413" display="https://luzaoscegos.00webhostapp.com" xr:uid="{00000000-0004-0000-0000-00009F010000}"/>
    <hyperlink ref="R939" r:id="rId414" xr:uid="{00000000-0004-0000-0000-0000A0010000}"/>
    <hyperlink ref="S939" r:id="rId415" xr:uid="{00000000-0004-0000-0000-0000A1010000}"/>
    <hyperlink ref="R940" r:id="rId416" xr:uid="{00000000-0004-0000-0000-0000A2010000}"/>
    <hyperlink ref="S940" r:id="rId417" xr:uid="{00000000-0004-0000-0000-0000A3010000}"/>
    <hyperlink ref="R941" r:id="rId418" xr:uid="{00000000-0004-0000-0000-0000A4010000}"/>
    <hyperlink ref="S941" r:id="rId419" xr:uid="{00000000-0004-0000-0000-0000A5010000}"/>
    <hyperlink ref="S677" r:id="rId420" xr:uid="{00000000-0004-0000-0000-0000A6010000}"/>
    <hyperlink ref="R944" r:id="rId421" xr:uid="{00000000-0004-0000-0000-0000A7010000}"/>
    <hyperlink ref="S944" r:id="rId422" xr:uid="{00000000-0004-0000-0000-0000A8010000}"/>
    <hyperlink ref="S149" r:id="rId423" xr:uid="{00000000-0004-0000-0000-0000A9010000}"/>
    <hyperlink ref="R931" r:id="rId424" xr:uid="{00000000-0004-0000-0000-0000AA010000}"/>
    <hyperlink ref="R919" r:id="rId425" xr:uid="{00000000-0004-0000-0000-0000AB010000}"/>
    <hyperlink ref="R918" r:id="rId426" xr:uid="{00000000-0004-0000-0000-0000AC010000}"/>
    <hyperlink ref="S355" r:id="rId427" xr:uid="{00000000-0004-0000-0000-0000AD010000}"/>
    <hyperlink ref="R945" r:id="rId428" xr:uid="{00000000-0004-0000-0000-0000AE010000}"/>
    <hyperlink ref="R946" r:id="rId429" xr:uid="{00000000-0004-0000-0000-0000AF010000}"/>
    <hyperlink ref="S946" r:id="rId430" xr:uid="{00000000-0004-0000-0000-0000B0010000}"/>
    <hyperlink ref="R947" r:id="rId431" xr:uid="{00000000-0004-0000-0000-0000B1010000}"/>
    <hyperlink ref="S947" r:id="rId432" xr:uid="{00000000-0004-0000-0000-0000B2010000}"/>
    <hyperlink ref="R948" r:id="rId433" xr:uid="{00000000-0004-0000-0000-0000B3010000}"/>
    <hyperlink ref="R949" r:id="rId434" xr:uid="{00000000-0004-0000-0000-0000B4010000}"/>
    <hyperlink ref="S949" r:id="rId435" xr:uid="{00000000-0004-0000-0000-0000B5010000}"/>
    <hyperlink ref="R950" r:id="rId436" xr:uid="{00000000-0004-0000-0000-0000B6010000}"/>
    <hyperlink ref="S950" r:id="rId437" xr:uid="{00000000-0004-0000-0000-0000B7010000}"/>
    <hyperlink ref="S369" r:id="rId438" xr:uid="{00000000-0004-0000-0000-0000B8010000}"/>
    <hyperlink ref="S559" r:id="rId439" xr:uid="{00000000-0004-0000-0000-0000B9010000}"/>
    <hyperlink ref="R951" r:id="rId440" xr:uid="{00000000-0004-0000-0000-0000BA010000}"/>
    <hyperlink ref="R952" r:id="rId441" xr:uid="{00000000-0004-0000-0000-0000BB010000}"/>
    <hyperlink ref="S951" r:id="rId442" xr:uid="{00000000-0004-0000-0000-0000BC010000}"/>
    <hyperlink ref="S952" r:id="rId443" xr:uid="{00000000-0004-0000-0000-0000BD010000}"/>
    <hyperlink ref="R953" r:id="rId444" xr:uid="{00000000-0004-0000-0000-0000BE010000}"/>
    <hyperlink ref="R954" r:id="rId445" xr:uid="{00000000-0004-0000-0000-0000BF010000}"/>
    <hyperlink ref="R955" r:id="rId446" xr:uid="{00000000-0004-0000-0000-0000C0010000}"/>
    <hyperlink ref="S955" r:id="rId447" xr:uid="{00000000-0004-0000-0000-0000C1010000}"/>
    <hyperlink ref="R956" r:id="rId448" xr:uid="{00000000-0004-0000-0000-0000C2010000}"/>
    <hyperlink ref="S11" r:id="rId449" xr:uid="{00000000-0004-0000-0000-0000C3010000}"/>
    <hyperlink ref="S10" r:id="rId450" xr:uid="{00000000-0004-0000-0000-0000C4010000}"/>
    <hyperlink ref="S9" r:id="rId451" xr:uid="{00000000-0004-0000-0000-0000C5010000}"/>
    <hyperlink ref="S8" r:id="rId452" xr:uid="{00000000-0004-0000-0000-0000C6010000}"/>
    <hyperlink ref="S694" r:id="rId453" xr:uid="{00000000-0004-0000-0000-0000C7010000}"/>
    <hyperlink ref="R957" r:id="rId454" xr:uid="{00000000-0004-0000-0000-0000C8010000}"/>
    <hyperlink ref="S529" r:id="rId455" xr:uid="{00000000-0004-0000-0000-0000C9010000}"/>
    <hyperlink ref="R958" r:id="rId456" xr:uid="{00000000-0004-0000-0000-0000CA010000}"/>
    <hyperlink ref="R959" r:id="rId457" xr:uid="{00000000-0004-0000-0000-0000CB010000}"/>
    <hyperlink ref="S959" r:id="rId458" xr:uid="{00000000-0004-0000-0000-0000CC010000}"/>
    <hyperlink ref="S575" r:id="rId459" xr:uid="{00000000-0004-0000-0000-0000CD010000}"/>
    <hyperlink ref="R962" r:id="rId460" xr:uid="{00000000-0004-0000-0000-0000CE010000}"/>
    <hyperlink ref="S962" r:id="rId461" xr:uid="{00000000-0004-0000-0000-0000CF010000}"/>
    <hyperlink ref="R963" r:id="rId462" xr:uid="{00000000-0004-0000-0000-0000D0010000}"/>
    <hyperlink ref="R966" r:id="rId463" xr:uid="{00000000-0004-0000-0000-0000D1010000}"/>
    <hyperlink ref="R973" r:id="rId464" xr:uid="{00000000-0004-0000-0000-0000D2010000}"/>
    <hyperlink ref="R968" r:id="rId465" xr:uid="{00000000-0004-0000-0000-0000D3010000}"/>
    <hyperlink ref="R974" r:id="rId466" xr:uid="{00000000-0004-0000-0000-0000D4010000}"/>
    <hyperlink ref="R976" r:id="rId467" xr:uid="{00000000-0004-0000-0000-0000D5010000}"/>
    <hyperlink ref="R978" r:id="rId468" xr:uid="{00000000-0004-0000-0000-0000D6010000}"/>
    <hyperlink ref="S978" r:id="rId469" xr:uid="{00000000-0004-0000-0000-0000D7010000}"/>
    <hyperlink ref="R980" r:id="rId470" xr:uid="{00000000-0004-0000-0000-0000D8010000}"/>
    <hyperlink ref="S42" r:id="rId471" xr:uid="{00000000-0004-0000-0000-0000D9010000}"/>
    <hyperlink ref="S172" r:id="rId472" xr:uid="{00000000-0004-0000-0000-0000DA010000}"/>
    <hyperlink ref="S417" r:id="rId473" xr:uid="{00000000-0004-0000-0000-0000DB010000}"/>
    <hyperlink ref="S418" r:id="rId474" xr:uid="{00000000-0004-0000-0000-0000DC010000}"/>
    <hyperlink ref="R983" r:id="rId475" xr:uid="{00000000-0004-0000-0000-0000DD010000}"/>
    <hyperlink ref="S983" r:id="rId476" xr:uid="{00000000-0004-0000-0000-0000DE010000}"/>
    <hyperlink ref="R982" r:id="rId477" xr:uid="{00000000-0004-0000-0000-0000DF010000}"/>
    <hyperlink ref="R981" r:id="rId478" xr:uid="{00000000-0004-0000-0000-0000E0010000}"/>
    <hyperlink ref="S921" r:id="rId479" xr:uid="{00000000-0004-0000-0000-0000E1010000}"/>
    <hyperlink ref="R921" r:id="rId480" xr:uid="{00000000-0004-0000-0000-0000E2010000}"/>
    <hyperlink ref="S629" r:id="rId481" xr:uid="{00000000-0004-0000-0000-0000E3010000}"/>
    <hyperlink ref="S460" r:id="rId482" xr:uid="{00000000-0004-0000-0000-0000E4010000}"/>
    <hyperlink ref="S363" r:id="rId483" xr:uid="{00000000-0004-0000-0000-0000E5010000}"/>
    <hyperlink ref="S64" r:id="rId484" xr:uid="{00000000-0004-0000-0000-0000E6010000}"/>
    <hyperlink ref="S65" r:id="rId485" xr:uid="{00000000-0004-0000-0000-0000E7010000}"/>
    <hyperlink ref="S66" r:id="rId486" xr:uid="{00000000-0004-0000-0000-0000E8010000}"/>
    <hyperlink ref="S67" r:id="rId487" xr:uid="{00000000-0004-0000-0000-0000E9010000}"/>
    <hyperlink ref="S68" r:id="rId488" xr:uid="{00000000-0004-0000-0000-0000EA010000}"/>
    <hyperlink ref="R984" r:id="rId489" xr:uid="{00000000-0004-0000-0000-0000EB010000}"/>
    <hyperlink ref="R987" r:id="rId490" xr:uid="{00000000-0004-0000-0000-0000EC010000}"/>
    <hyperlink ref="R820" r:id="rId491" xr:uid="{00000000-0004-0000-0000-0000ED010000}"/>
    <hyperlink ref="S820" r:id="rId492" xr:uid="{00000000-0004-0000-0000-0000EE010000}"/>
    <hyperlink ref="S515" r:id="rId493" xr:uid="{00000000-0004-0000-0000-0000EF010000}"/>
    <hyperlink ref="R988" r:id="rId494" xr:uid="{00000000-0004-0000-0000-0000F0010000}"/>
    <hyperlink ref="S357" r:id="rId495" xr:uid="{00000000-0004-0000-0000-0000F1010000}"/>
    <hyperlink ref="S358" r:id="rId496" xr:uid="{00000000-0004-0000-0000-0000F2010000}"/>
    <hyperlink ref="S359" r:id="rId497" xr:uid="{00000000-0004-0000-0000-0000F3010000}"/>
    <hyperlink ref="R989" r:id="rId498" xr:uid="{00000000-0004-0000-0000-0000F4010000}"/>
    <hyperlink ref="S105" r:id="rId499" xr:uid="{00000000-0004-0000-0000-0000F5010000}"/>
    <hyperlink ref="R991" r:id="rId500" xr:uid="{00000000-0004-0000-0000-0000F6010000}"/>
    <hyperlink ref="R807" r:id="rId501" xr:uid="{00000000-0004-0000-0000-0000F7010000}"/>
    <hyperlink ref="R992" r:id="rId502" xr:uid="{00000000-0004-0000-0000-0000F8010000}"/>
    <hyperlink ref="S992" r:id="rId503" xr:uid="{00000000-0004-0000-0000-0000F9010000}"/>
    <hyperlink ref="R993" r:id="rId504" xr:uid="{00000000-0004-0000-0000-0000FA010000}"/>
    <hyperlink ref="S208" r:id="rId505" xr:uid="{00000000-0004-0000-0000-0000FB010000}"/>
    <hyperlink ref="S133" r:id="rId506" xr:uid="{00000000-0004-0000-0000-0000FC010000}"/>
    <hyperlink ref="R994" r:id="rId507" xr:uid="{00000000-0004-0000-0000-0000FD010000}"/>
    <hyperlink ref="S994" r:id="rId508" xr:uid="{00000000-0004-0000-0000-0000FE010000}"/>
    <hyperlink ref="R995" r:id="rId509" xr:uid="{00000000-0004-0000-0000-0000FF010000}"/>
    <hyperlink ref="R996" r:id="rId510" xr:uid="{00000000-0004-0000-0000-000000020000}"/>
    <hyperlink ref="R997" r:id="rId511" xr:uid="{00000000-0004-0000-0000-000001020000}"/>
    <hyperlink ref="R998" r:id="rId512" xr:uid="{00000000-0004-0000-0000-000002020000}"/>
    <hyperlink ref="R999" r:id="rId513" xr:uid="{00000000-0004-0000-0000-000003020000}"/>
    <hyperlink ref="S999" r:id="rId514" xr:uid="{00000000-0004-0000-0000-000004020000}"/>
    <hyperlink ref="R1001" r:id="rId515" xr:uid="{00000000-0004-0000-0000-000005020000}"/>
    <hyperlink ref="R3" r:id="rId516" xr:uid="{00000000-0004-0000-0000-000006020000}"/>
    <hyperlink ref="S3" r:id="rId517" xr:uid="{00000000-0004-0000-0000-000007020000}"/>
    <hyperlink ref="S132" r:id="rId518" xr:uid="{00000000-0004-0000-0000-000008020000}"/>
    <hyperlink ref="S173" r:id="rId519" xr:uid="{00000000-0004-0000-0000-000009020000}"/>
    <hyperlink ref="S291" r:id="rId520" xr:uid="{00000000-0004-0000-0000-00000A020000}"/>
    <hyperlink ref="R1000" r:id="rId521" xr:uid="{00000000-0004-0000-0000-00000B020000}"/>
    <hyperlink ref="R1002" r:id="rId522" xr:uid="{00000000-0004-0000-0000-00000C020000}"/>
    <hyperlink ref="S38" r:id="rId523" xr:uid="{00000000-0004-0000-0000-00000D020000}"/>
    <hyperlink ref="S123" r:id="rId524" xr:uid="{00000000-0004-0000-0000-00000E020000}"/>
    <hyperlink ref="S124" r:id="rId525" xr:uid="{00000000-0004-0000-0000-00000F020000}"/>
    <hyperlink ref="R990" r:id="rId526" xr:uid="{00000000-0004-0000-0000-000010020000}"/>
    <hyperlink ref="R1003" r:id="rId527" xr:uid="{00000000-0004-0000-0000-000011020000}"/>
    <hyperlink ref="S1003" r:id="rId528" xr:uid="{00000000-0004-0000-0000-000012020000}"/>
    <hyperlink ref="R1004" r:id="rId529" xr:uid="{00000000-0004-0000-0000-000013020000}"/>
    <hyperlink ref="R1005" r:id="rId530" xr:uid="{00000000-0004-0000-0000-000014020000}"/>
    <hyperlink ref="R1006" r:id="rId531" xr:uid="{00000000-0004-0000-0000-000015020000}"/>
    <hyperlink ref="S1006" r:id="rId532" xr:uid="{00000000-0004-0000-0000-000016020000}"/>
    <hyperlink ref="R1007" r:id="rId533" xr:uid="{00000000-0004-0000-0000-000017020000}"/>
    <hyperlink ref="S1007" r:id="rId534" xr:uid="{00000000-0004-0000-0000-000018020000}"/>
    <hyperlink ref="R1008" r:id="rId535" xr:uid="{00000000-0004-0000-0000-000019020000}"/>
    <hyperlink ref="S1008" r:id="rId536" xr:uid="{00000000-0004-0000-0000-00001A020000}"/>
    <hyperlink ref="R1009" r:id="rId537" xr:uid="{00000000-0004-0000-0000-00001B020000}"/>
    <hyperlink ref="R1010" r:id="rId538" xr:uid="{00000000-0004-0000-0000-00001C020000}"/>
    <hyperlink ref="R1011" r:id="rId539" xr:uid="{00000000-0004-0000-0000-00001D020000}"/>
    <hyperlink ref="S1011" r:id="rId540" xr:uid="{00000000-0004-0000-0000-00001E020000}"/>
    <hyperlink ref="R1012" r:id="rId541" xr:uid="{00000000-0004-0000-0000-00001F020000}"/>
    <hyperlink ref="S472" r:id="rId542" xr:uid="{00000000-0004-0000-0000-000020020000}"/>
    <hyperlink ref="S122" r:id="rId543" xr:uid="{00000000-0004-0000-0000-000021020000}"/>
    <hyperlink ref="S361" r:id="rId544" xr:uid="{00000000-0004-0000-0000-000022020000}"/>
    <hyperlink ref="S410" r:id="rId545" xr:uid="{00000000-0004-0000-0000-000023020000}"/>
    <hyperlink ref="S443" r:id="rId546" xr:uid="{00000000-0004-0000-0000-000024020000}"/>
    <hyperlink ref="S453" r:id="rId547" xr:uid="{00000000-0004-0000-0000-000025020000}"/>
    <hyperlink ref="R964" r:id="rId548" xr:uid="{00000000-0004-0000-0000-000026020000}"/>
    <hyperlink ref="R1013" r:id="rId549" xr:uid="{00000000-0004-0000-0000-000027020000}"/>
    <hyperlink ref="R1014" r:id="rId550" xr:uid="{00000000-0004-0000-0000-000028020000}"/>
    <hyperlink ref="S1014" r:id="rId551" xr:uid="{00000000-0004-0000-0000-000029020000}"/>
    <hyperlink ref="R1016" r:id="rId552" xr:uid="{00000000-0004-0000-0000-00002A020000}"/>
    <hyperlink ref="R1017" r:id="rId553" xr:uid="{00000000-0004-0000-0000-00002B020000}"/>
    <hyperlink ref="S1017" r:id="rId554" xr:uid="{00000000-0004-0000-0000-00002C020000}"/>
    <hyperlink ref="R986" r:id="rId555" xr:uid="{00000000-0004-0000-0000-00002D020000}"/>
    <hyperlink ref="S411" r:id="rId556" xr:uid="{00000000-0004-0000-0000-00002E020000}"/>
    <hyperlink ref="R1018" r:id="rId557" xr:uid="{00000000-0004-0000-0000-00002F020000}"/>
    <hyperlink ref="S1018" r:id="rId558" xr:uid="{00000000-0004-0000-0000-000030020000}"/>
    <hyperlink ref="R1019" r:id="rId559" xr:uid="{00000000-0004-0000-0000-000031020000}"/>
    <hyperlink ref="R877" r:id="rId560" xr:uid="{00000000-0004-0000-0000-000032020000}"/>
    <hyperlink ref="S877" r:id="rId561" xr:uid="{00000000-0004-0000-0000-000033020000}"/>
    <hyperlink ref="R985" r:id="rId562" xr:uid="{00000000-0004-0000-0000-000034020000}"/>
    <hyperlink ref="R4" r:id="rId563" xr:uid="{00000000-0004-0000-0000-000035020000}"/>
    <hyperlink ref="S4" r:id="rId564" xr:uid="{00000000-0004-0000-0000-000036020000}"/>
    <hyperlink ref="R1021" r:id="rId565" xr:uid="{00000000-0004-0000-0000-000037020000}"/>
    <hyperlink ref="S1021" r:id="rId566" xr:uid="{00000000-0004-0000-0000-000038020000}"/>
    <hyperlink ref="S138" r:id="rId567" xr:uid="{00000000-0004-0000-0000-000039020000}"/>
    <hyperlink ref="S139" r:id="rId568" xr:uid="{00000000-0004-0000-0000-00003A020000}"/>
    <hyperlink ref="S140" r:id="rId569" xr:uid="{00000000-0004-0000-0000-00003B020000}"/>
    <hyperlink ref="S147" r:id="rId570" xr:uid="{00000000-0004-0000-0000-00003C020000}"/>
    <hyperlink ref="S148" r:id="rId571" xr:uid="{00000000-0004-0000-0000-00003D020000}"/>
    <hyperlink ref="S150" r:id="rId572" xr:uid="{00000000-0004-0000-0000-00003E020000}"/>
    <hyperlink ref="S152" r:id="rId573" xr:uid="{00000000-0004-0000-0000-00003F020000}"/>
    <hyperlink ref="S163" r:id="rId574" xr:uid="{00000000-0004-0000-0000-000040020000}"/>
    <hyperlink ref="S166" r:id="rId575" xr:uid="{00000000-0004-0000-0000-000041020000}"/>
    <hyperlink ref="S167" r:id="rId576" xr:uid="{00000000-0004-0000-0000-000042020000}"/>
    <hyperlink ref="S170" r:id="rId577" xr:uid="{00000000-0004-0000-0000-000043020000}"/>
    <hyperlink ref="S176" r:id="rId578" xr:uid="{00000000-0004-0000-0000-000044020000}"/>
    <hyperlink ref="S179" r:id="rId579" xr:uid="{00000000-0004-0000-0000-000045020000}"/>
    <hyperlink ref="S180" r:id="rId580" xr:uid="{00000000-0004-0000-0000-000046020000}"/>
    <hyperlink ref="S181" r:id="rId581" xr:uid="{00000000-0004-0000-0000-000047020000}"/>
    <hyperlink ref="S187" r:id="rId582" xr:uid="{00000000-0004-0000-0000-000048020000}"/>
    <hyperlink ref="S188" r:id="rId583" xr:uid="{00000000-0004-0000-0000-000049020000}"/>
    <hyperlink ref="S189" r:id="rId584" xr:uid="{00000000-0004-0000-0000-00004A020000}"/>
    <hyperlink ref="S192" r:id="rId585" xr:uid="{00000000-0004-0000-0000-00004B020000}"/>
    <hyperlink ref="S193" r:id="rId586" xr:uid="{00000000-0004-0000-0000-00004C020000}"/>
    <hyperlink ref="S194" r:id="rId587" xr:uid="{00000000-0004-0000-0000-00004D020000}"/>
    <hyperlink ref="S195" r:id="rId588" xr:uid="{00000000-0004-0000-0000-00004E020000}"/>
    <hyperlink ref="S198" r:id="rId589" xr:uid="{00000000-0004-0000-0000-00004F020000}"/>
    <hyperlink ref="S199" r:id="rId590" xr:uid="{00000000-0004-0000-0000-000050020000}"/>
    <hyperlink ref="S204" r:id="rId591" xr:uid="{00000000-0004-0000-0000-000051020000}"/>
    <hyperlink ref="S205" r:id="rId592" xr:uid="{00000000-0004-0000-0000-000052020000}"/>
    <hyperlink ref="S214" r:id="rId593" xr:uid="{00000000-0004-0000-0000-000053020000}"/>
    <hyperlink ref="S221" r:id="rId594" xr:uid="{00000000-0004-0000-0000-000054020000}"/>
    <hyperlink ref="S235" r:id="rId595" xr:uid="{00000000-0004-0000-0000-000055020000}"/>
    <hyperlink ref="S236" r:id="rId596" xr:uid="{00000000-0004-0000-0000-000056020000}"/>
    <hyperlink ref="S238" r:id="rId597" xr:uid="{00000000-0004-0000-0000-000057020000}"/>
    <hyperlink ref="S243" r:id="rId598" xr:uid="{00000000-0004-0000-0000-000058020000}"/>
    <hyperlink ref="S247" r:id="rId599" xr:uid="{00000000-0004-0000-0000-000059020000}"/>
    <hyperlink ref="S250" r:id="rId600" xr:uid="{00000000-0004-0000-0000-00005A020000}"/>
    <hyperlink ref="S258" r:id="rId601" xr:uid="{00000000-0004-0000-0000-00005B020000}"/>
    <hyperlink ref="S259" r:id="rId602" xr:uid="{00000000-0004-0000-0000-00005C020000}"/>
    <hyperlink ref="S260" r:id="rId603" xr:uid="{00000000-0004-0000-0000-00005D020000}"/>
    <hyperlink ref="S261" r:id="rId604" xr:uid="{00000000-0004-0000-0000-00005E020000}"/>
    <hyperlink ref="S262" r:id="rId605" xr:uid="{00000000-0004-0000-0000-00005F020000}"/>
    <hyperlink ref="S266" r:id="rId606" xr:uid="{00000000-0004-0000-0000-000060020000}"/>
    <hyperlink ref="S268" r:id="rId607" xr:uid="{00000000-0004-0000-0000-000061020000}"/>
    <hyperlink ref="S269" r:id="rId608" xr:uid="{00000000-0004-0000-0000-000062020000}"/>
    <hyperlink ref="S285" r:id="rId609" xr:uid="{00000000-0004-0000-0000-000063020000}"/>
    <hyperlink ref="S286" r:id="rId610" xr:uid="{00000000-0004-0000-0000-000064020000}"/>
    <hyperlink ref="S289" r:id="rId611" xr:uid="{00000000-0004-0000-0000-000065020000}"/>
    <hyperlink ref="S293" r:id="rId612" xr:uid="{00000000-0004-0000-0000-000066020000}"/>
    <hyperlink ref="S296" r:id="rId613" xr:uid="{00000000-0004-0000-0000-000067020000}"/>
    <hyperlink ref="S298" r:id="rId614" xr:uid="{00000000-0004-0000-0000-000068020000}"/>
    <hyperlink ref="S300" r:id="rId615" xr:uid="{00000000-0004-0000-0000-000069020000}"/>
    <hyperlink ref="S302" r:id="rId616" xr:uid="{00000000-0004-0000-0000-00006A020000}"/>
    <hyperlink ref="S306" r:id="rId617" xr:uid="{00000000-0004-0000-0000-00006B020000}"/>
    <hyperlink ref="S308" r:id="rId618" xr:uid="{00000000-0004-0000-0000-00006C020000}"/>
    <hyperlink ref="S309" r:id="rId619" xr:uid="{00000000-0004-0000-0000-00006D020000}"/>
    <hyperlink ref="S314" r:id="rId620" xr:uid="{00000000-0004-0000-0000-00006E020000}"/>
    <hyperlink ref="S315" r:id="rId621" xr:uid="{00000000-0004-0000-0000-00006F020000}"/>
    <hyperlink ref="S316" r:id="rId622" xr:uid="{00000000-0004-0000-0000-000070020000}"/>
    <hyperlink ref="S318" r:id="rId623" xr:uid="{00000000-0004-0000-0000-000071020000}"/>
    <hyperlink ref="S321" r:id="rId624" xr:uid="{00000000-0004-0000-0000-000072020000}"/>
    <hyperlink ref="S325" r:id="rId625" xr:uid="{00000000-0004-0000-0000-000073020000}"/>
    <hyperlink ref="S326" r:id="rId626" xr:uid="{00000000-0004-0000-0000-000074020000}"/>
    <hyperlink ref="S327" r:id="rId627" xr:uid="{00000000-0004-0000-0000-000075020000}"/>
    <hyperlink ref="S329" r:id="rId628" xr:uid="{00000000-0004-0000-0000-000076020000}"/>
    <hyperlink ref="S330" r:id="rId629" xr:uid="{00000000-0004-0000-0000-000077020000}"/>
    <hyperlink ref="S332" r:id="rId630" xr:uid="{00000000-0004-0000-0000-000078020000}"/>
    <hyperlink ref="S333" r:id="rId631" xr:uid="{00000000-0004-0000-0000-000079020000}"/>
    <hyperlink ref="S336" r:id="rId632" xr:uid="{00000000-0004-0000-0000-00007A020000}"/>
    <hyperlink ref="S340" r:id="rId633" xr:uid="{00000000-0004-0000-0000-00007C020000}"/>
    <hyperlink ref="S341" r:id="rId634" xr:uid="{00000000-0004-0000-0000-00007D020000}"/>
    <hyperlink ref="S345" r:id="rId635" xr:uid="{00000000-0004-0000-0000-00007E020000}"/>
    <hyperlink ref="S347" r:id="rId636" xr:uid="{00000000-0004-0000-0000-00007F020000}"/>
    <hyperlink ref="S348" r:id="rId637" xr:uid="{00000000-0004-0000-0000-000080020000}"/>
    <hyperlink ref="S350" r:id="rId638" xr:uid="{00000000-0004-0000-0000-000081020000}"/>
    <hyperlink ref="S354" r:id="rId639" xr:uid="{00000000-0004-0000-0000-000082020000}"/>
    <hyperlink ref="S356" r:id="rId640" xr:uid="{00000000-0004-0000-0000-000083020000}"/>
    <hyperlink ref="S360" r:id="rId641" xr:uid="{00000000-0004-0000-0000-000084020000}"/>
    <hyperlink ref="S362" r:id="rId642" xr:uid="{00000000-0004-0000-0000-000085020000}"/>
    <hyperlink ref="S364" r:id="rId643" xr:uid="{00000000-0004-0000-0000-000086020000}"/>
    <hyperlink ref="S365" r:id="rId644" xr:uid="{00000000-0004-0000-0000-000087020000}"/>
    <hyperlink ref="S366" r:id="rId645" xr:uid="{00000000-0004-0000-0000-000088020000}"/>
    <hyperlink ref="S367" r:id="rId646" xr:uid="{00000000-0004-0000-0000-000089020000}"/>
    <hyperlink ref="S370" r:id="rId647" xr:uid="{00000000-0004-0000-0000-00008A020000}"/>
    <hyperlink ref="S373" r:id="rId648" xr:uid="{00000000-0004-0000-0000-00008B020000}"/>
    <hyperlink ref="S374" r:id="rId649" display="www.hotmail.com" xr:uid="{00000000-0004-0000-0000-00008C020000}"/>
    <hyperlink ref="S376" r:id="rId650" xr:uid="{00000000-0004-0000-0000-00008D020000}"/>
    <hyperlink ref="S377" r:id="rId651" xr:uid="{00000000-0004-0000-0000-00008E020000}"/>
    <hyperlink ref="S378" r:id="rId652" xr:uid="{00000000-0004-0000-0000-00008F020000}"/>
    <hyperlink ref="S380" r:id="rId653" xr:uid="{00000000-0004-0000-0000-000090020000}"/>
    <hyperlink ref="S381" r:id="rId654" xr:uid="{00000000-0004-0000-0000-000091020000}"/>
    <hyperlink ref="S382" r:id="rId655" xr:uid="{00000000-0004-0000-0000-000092020000}"/>
    <hyperlink ref="S384" r:id="rId656" xr:uid="{00000000-0004-0000-0000-000093020000}"/>
    <hyperlink ref="S388" r:id="rId657" xr:uid="{00000000-0004-0000-0000-000094020000}"/>
    <hyperlink ref="S390" r:id="rId658" xr:uid="{00000000-0004-0000-0000-000095020000}"/>
    <hyperlink ref="S391" r:id="rId659" xr:uid="{00000000-0004-0000-0000-000096020000}"/>
    <hyperlink ref="S392" r:id="rId660" xr:uid="{00000000-0004-0000-0000-000097020000}"/>
    <hyperlink ref="S393" r:id="rId661" xr:uid="{00000000-0004-0000-0000-000098020000}"/>
    <hyperlink ref="S394" r:id="rId662" xr:uid="{00000000-0004-0000-0000-000099020000}"/>
    <hyperlink ref="S395" r:id="rId663" xr:uid="{00000000-0004-0000-0000-00009A020000}"/>
    <hyperlink ref="S396" r:id="rId664" xr:uid="{00000000-0004-0000-0000-00009B020000}"/>
    <hyperlink ref="S400" r:id="rId665" xr:uid="{00000000-0004-0000-0000-00009C020000}"/>
    <hyperlink ref="S404" r:id="rId666" display="www.gmail.com" xr:uid="{00000000-0004-0000-0000-00009D020000}"/>
    <hyperlink ref="S405" r:id="rId667" xr:uid="{00000000-0004-0000-0000-00009E020000}"/>
    <hyperlink ref="S406" r:id="rId668" xr:uid="{00000000-0004-0000-0000-00009F020000}"/>
    <hyperlink ref="S408" r:id="rId669" xr:uid="{00000000-0004-0000-0000-0000A0020000}"/>
    <hyperlink ref="S409" r:id="rId670" xr:uid="{00000000-0004-0000-0000-0000A1020000}"/>
    <hyperlink ref="S415" r:id="rId671" xr:uid="{00000000-0004-0000-0000-0000A2020000}"/>
    <hyperlink ref="S416" r:id="rId672" xr:uid="{00000000-0004-0000-0000-0000A3020000}"/>
    <hyperlink ref="S422" r:id="rId673" xr:uid="{00000000-0004-0000-0000-0000A4020000}"/>
    <hyperlink ref="S423" r:id="rId674" xr:uid="{00000000-0004-0000-0000-0000A5020000}"/>
    <hyperlink ref="S424" r:id="rId675" xr:uid="{00000000-0004-0000-0000-0000A6020000}"/>
    <hyperlink ref="S426" r:id="rId676" xr:uid="{00000000-0004-0000-0000-0000A7020000}"/>
    <hyperlink ref="S427" r:id="rId677" xr:uid="{00000000-0004-0000-0000-0000A8020000}"/>
    <hyperlink ref="S435" r:id="rId678" xr:uid="{00000000-0004-0000-0000-0000A9020000}"/>
    <hyperlink ref="S440" r:id="rId679" xr:uid="{00000000-0004-0000-0000-0000AA020000}"/>
    <hyperlink ref="S441" r:id="rId680" xr:uid="{00000000-0004-0000-0000-0000AB020000}"/>
    <hyperlink ref="S442" r:id="rId681" xr:uid="{00000000-0004-0000-0000-0000AC020000}"/>
    <hyperlink ref="S444" r:id="rId682" xr:uid="{00000000-0004-0000-0000-0000AD020000}"/>
    <hyperlink ref="S445" r:id="rId683" xr:uid="{00000000-0004-0000-0000-0000AE020000}"/>
    <hyperlink ref="S446" r:id="rId684" xr:uid="{00000000-0004-0000-0000-0000AF020000}"/>
    <hyperlink ref="S448" r:id="rId685" xr:uid="{00000000-0004-0000-0000-0000B0020000}"/>
    <hyperlink ref="S449" r:id="rId686" xr:uid="{00000000-0004-0000-0000-0000B1020000}"/>
    <hyperlink ref="S450" r:id="rId687" xr:uid="{00000000-0004-0000-0000-0000B2020000}"/>
    <hyperlink ref="S452" r:id="rId688" xr:uid="{00000000-0004-0000-0000-0000B3020000}"/>
    <hyperlink ref="S456" r:id="rId689" xr:uid="{00000000-0004-0000-0000-0000B4020000}"/>
    <hyperlink ref="S458" r:id="rId690" xr:uid="{00000000-0004-0000-0000-0000B5020000}"/>
    <hyperlink ref="S461" r:id="rId691" xr:uid="{00000000-0004-0000-0000-0000B6020000}"/>
    <hyperlink ref="S465" r:id="rId692" xr:uid="{00000000-0004-0000-0000-0000B7020000}"/>
    <hyperlink ref="S466" r:id="rId693" xr:uid="{00000000-0004-0000-0000-0000B8020000}"/>
    <hyperlink ref="S467" r:id="rId694" xr:uid="{00000000-0004-0000-0000-0000B9020000}"/>
    <hyperlink ref="S468" r:id="rId695" xr:uid="{00000000-0004-0000-0000-0000BA020000}"/>
    <hyperlink ref="S479" r:id="rId696" xr:uid="{00000000-0004-0000-0000-0000BB020000}"/>
    <hyperlink ref="S488" r:id="rId697" xr:uid="{00000000-0004-0000-0000-0000BC020000}"/>
    <hyperlink ref="S489" r:id="rId698" xr:uid="{00000000-0004-0000-0000-0000BD020000}"/>
    <hyperlink ref="S491" r:id="rId699" xr:uid="{00000000-0004-0000-0000-0000BE020000}"/>
    <hyperlink ref="S494" r:id="rId700" xr:uid="{00000000-0004-0000-0000-0000BF020000}"/>
    <hyperlink ref="S498" r:id="rId701" xr:uid="{00000000-0004-0000-0000-0000C0020000}"/>
    <hyperlink ref="S499" r:id="rId702" xr:uid="{00000000-0004-0000-0000-0000C1020000}"/>
    <hyperlink ref="S500" r:id="rId703" xr:uid="{00000000-0004-0000-0000-0000C2020000}"/>
    <hyperlink ref="S501" r:id="rId704" xr:uid="{00000000-0004-0000-0000-0000C3020000}"/>
    <hyperlink ref="S502" r:id="rId705" display="www.yahoo.com.br" xr:uid="{00000000-0004-0000-0000-0000C4020000}"/>
    <hyperlink ref="S503" r:id="rId706" xr:uid="{00000000-0004-0000-0000-0000C5020000}"/>
    <hyperlink ref="S509" r:id="rId707" xr:uid="{00000000-0004-0000-0000-0000C6020000}"/>
    <hyperlink ref="S512" r:id="rId708" xr:uid="{00000000-0004-0000-0000-0000C7020000}"/>
    <hyperlink ref="S513" r:id="rId709" xr:uid="{00000000-0004-0000-0000-0000C8020000}"/>
    <hyperlink ref="S514" r:id="rId710" xr:uid="{00000000-0004-0000-0000-0000C9020000}"/>
    <hyperlink ref="S519" r:id="rId711" xr:uid="{00000000-0004-0000-0000-0000CA020000}"/>
    <hyperlink ref="S521" r:id="rId712" xr:uid="{00000000-0004-0000-0000-0000CB020000}"/>
    <hyperlink ref="S522" r:id="rId713" xr:uid="{00000000-0004-0000-0000-0000CC020000}"/>
    <hyperlink ref="S526" r:id="rId714" xr:uid="{00000000-0004-0000-0000-0000CD020000}"/>
    <hyperlink ref="S527" r:id="rId715" xr:uid="{00000000-0004-0000-0000-0000CE020000}"/>
    <hyperlink ref="S530" r:id="rId716" xr:uid="{00000000-0004-0000-0000-0000CF020000}"/>
    <hyperlink ref="S531" r:id="rId717" xr:uid="{00000000-0004-0000-0000-0000D0020000}"/>
    <hyperlink ref="S535" r:id="rId718" xr:uid="{00000000-0004-0000-0000-0000D1020000}"/>
    <hyperlink ref="S538" r:id="rId719" xr:uid="{00000000-0004-0000-0000-0000D2020000}"/>
    <hyperlink ref="S539" r:id="rId720" xr:uid="{00000000-0004-0000-0000-0000D3020000}"/>
    <hyperlink ref="S540" r:id="rId721" xr:uid="{00000000-0004-0000-0000-0000D4020000}"/>
    <hyperlink ref="S541" r:id="rId722" xr:uid="{00000000-0004-0000-0000-0000D5020000}"/>
    <hyperlink ref="S542" r:id="rId723" xr:uid="{00000000-0004-0000-0000-0000D6020000}"/>
    <hyperlink ref="S544" r:id="rId724" xr:uid="{00000000-0004-0000-0000-0000D7020000}"/>
    <hyperlink ref="S546" r:id="rId725" xr:uid="{00000000-0004-0000-0000-0000D8020000}"/>
    <hyperlink ref="S547" r:id="rId726" xr:uid="{00000000-0004-0000-0000-0000D9020000}"/>
    <hyperlink ref="S548" r:id="rId727" xr:uid="{00000000-0004-0000-0000-0000DA020000}"/>
    <hyperlink ref="S551" r:id="rId728" xr:uid="{00000000-0004-0000-0000-0000DB020000}"/>
    <hyperlink ref="S552" r:id="rId729" xr:uid="{00000000-0004-0000-0000-0000DC020000}"/>
    <hyperlink ref="S553" r:id="rId730" xr:uid="{00000000-0004-0000-0000-0000DD020000}"/>
    <hyperlink ref="S555" r:id="rId731" xr:uid="{00000000-0004-0000-0000-0000DE020000}"/>
    <hyperlink ref="S556" r:id="rId732" xr:uid="{00000000-0004-0000-0000-0000DF020000}"/>
    <hyperlink ref="S557" r:id="rId733" xr:uid="{00000000-0004-0000-0000-0000E0020000}"/>
    <hyperlink ref="S560" r:id="rId734" xr:uid="{00000000-0004-0000-0000-0000E1020000}"/>
    <hyperlink ref="S561" r:id="rId735" xr:uid="{00000000-0004-0000-0000-0000E2020000}"/>
    <hyperlink ref="S562" r:id="rId736" xr:uid="{00000000-0004-0000-0000-0000E3020000}"/>
    <hyperlink ref="S563" r:id="rId737" xr:uid="{00000000-0004-0000-0000-0000E4020000}"/>
    <hyperlink ref="S564" r:id="rId738" xr:uid="{00000000-0004-0000-0000-0000E5020000}"/>
    <hyperlink ref="S565" r:id="rId739" xr:uid="{00000000-0004-0000-0000-0000E6020000}"/>
    <hyperlink ref="S566" r:id="rId740" xr:uid="{00000000-0004-0000-0000-0000E7020000}"/>
    <hyperlink ref="S567" r:id="rId741" display="www.gmail.com" xr:uid="{00000000-0004-0000-0000-0000E8020000}"/>
    <hyperlink ref="S569" r:id="rId742" xr:uid="{00000000-0004-0000-0000-0000E9020000}"/>
    <hyperlink ref="S571" r:id="rId743" xr:uid="{00000000-0004-0000-0000-0000EA020000}"/>
    <hyperlink ref="S572" r:id="rId744" xr:uid="{00000000-0004-0000-0000-0000EB020000}"/>
    <hyperlink ref="S573" r:id="rId745" xr:uid="{00000000-0004-0000-0000-0000EC020000}"/>
    <hyperlink ref="S574" r:id="rId746" xr:uid="{00000000-0004-0000-0000-0000ED020000}"/>
    <hyperlink ref="S576" r:id="rId747" xr:uid="{00000000-0004-0000-0000-0000EE020000}"/>
    <hyperlink ref="S577" r:id="rId748" xr:uid="{00000000-0004-0000-0000-0000EF020000}"/>
    <hyperlink ref="S578" r:id="rId749" xr:uid="{00000000-0004-0000-0000-0000F0020000}"/>
    <hyperlink ref="S579" r:id="rId750" xr:uid="{00000000-0004-0000-0000-0000F1020000}"/>
    <hyperlink ref="S596" r:id="rId751" xr:uid="{00000000-0004-0000-0000-0000F2020000}"/>
    <hyperlink ref="S601" r:id="rId752" xr:uid="{00000000-0004-0000-0000-0000F3020000}"/>
    <hyperlink ref="S613" r:id="rId753" xr:uid="{00000000-0004-0000-0000-0000F4020000}"/>
    <hyperlink ref="S616" r:id="rId754" xr:uid="{00000000-0004-0000-0000-0000F5020000}"/>
    <hyperlink ref="S619" r:id="rId755" xr:uid="{00000000-0004-0000-0000-0000F6020000}"/>
    <hyperlink ref="S620" r:id="rId756" xr:uid="{00000000-0004-0000-0000-0000F7020000}"/>
    <hyperlink ref="S621" r:id="rId757" xr:uid="{00000000-0004-0000-0000-0000F8020000}"/>
    <hyperlink ref="S623" r:id="rId758" xr:uid="{00000000-0004-0000-0000-0000F9020000}"/>
    <hyperlink ref="S625" r:id="rId759" xr:uid="{00000000-0004-0000-0000-0000FA020000}"/>
    <hyperlink ref="S626" r:id="rId760" xr:uid="{00000000-0004-0000-0000-0000FB020000}"/>
    <hyperlink ref="S634" r:id="rId761" xr:uid="{00000000-0004-0000-0000-0000FC020000}"/>
    <hyperlink ref="S637" r:id="rId762" xr:uid="{00000000-0004-0000-0000-0000FD020000}"/>
    <hyperlink ref="S649" r:id="rId763" display="www.ig.com.br" xr:uid="{00000000-0004-0000-0000-0000FE020000}"/>
    <hyperlink ref="S654" r:id="rId764" xr:uid="{00000000-0004-0000-0000-0000FF020000}"/>
    <hyperlink ref="S662" r:id="rId765" xr:uid="{00000000-0004-0000-0000-000000030000}"/>
    <hyperlink ref="S671" r:id="rId766" xr:uid="{00000000-0004-0000-0000-000001030000}"/>
    <hyperlink ref="S673" r:id="rId767" display="www.gmail.com" xr:uid="{00000000-0004-0000-0000-000002030000}"/>
    <hyperlink ref="S682" r:id="rId768" xr:uid="{00000000-0004-0000-0000-000003030000}"/>
    <hyperlink ref="S706" r:id="rId769" xr:uid="{00000000-0004-0000-0000-000004030000}"/>
    <hyperlink ref="S743" r:id="rId770" xr:uid="{00000000-0004-0000-0000-000005030000}"/>
    <hyperlink ref="S748" r:id="rId771" xr:uid="{00000000-0004-0000-0000-000006030000}"/>
    <hyperlink ref="S751" r:id="rId772" xr:uid="{00000000-0004-0000-0000-000007030000}"/>
    <hyperlink ref="S760" r:id="rId773" xr:uid="{00000000-0004-0000-0000-000008030000}"/>
    <hyperlink ref="S761" r:id="rId774" xr:uid="{00000000-0004-0000-0000-000009030000}"/>
    <hyperlink ref="S771" r:id="rId775" xr:uid="{00000000-0004-0000-0000-00000C030000}"/>
    <hyperlink ref="S776" r:id="rId776" display="www.yahoo.com.br" xr:uid="{00000000-0004-0000-0000-00000E030000}"/>
    <hyperlink ref="S778" r:id="rId777" xr:uid="{00000000-0004-0000-0000-00000F030000}"/>
    <hyperlink ref="S780" r:id="rId778" xr:uid="{00000000-0004-0000-0000-000010030000}"/>
    <hyperlink ref="S783" r:id="rId779" xr:uid="{00000000-0004-0000-0000-000012030000}"/>
    <hyperlink ref="S788" r:id="rId780" xr:uid="{00000000-0004-0000-0000-000013030000}"/>
    <hyperlink ref="S789" r:id="rId781" xr:uid="{00000000-0004-0000-0000-000014030000}"/>
    <hyperlink ref="S790" r:id="rId782" xr:uid="{00000000-0004-0000-0000-000015030000}"/>
    <hyperlink ref="S791" r:id="rId783" display="www.hotmail.com" xr:uid="{00000000-0004-0000-0000-000016030000}"/>
    <hyperlink ref="S797" r:id="rId784" xr:uid="{00000000-0004-0000-0000-000017030000}"/>
    <hyperlink ref="S801" r:id="rId785" xr:uid="{00000000-0004-0000-0000-000018030000}"/>
    <hyperlink ref="S810" r:id="rId786" xr:uid="{00000000-0004-0000-0000-000019030000}"/>
    <hyperlink ref="S812" r:id="rId787" xr:uid="{00000000-0004-0000-0000-00001A030000}"/>
    <hyperlink ref="S813" r:id="rId788" xr:uid="{00000000-0004-0000-0000-00001B030000}"/>
    <hyperlink ref="S814" r:id="rId789" xr:uid="{00000000-0004-0000-0000-00001C030000}"/>
    <hyperlink ref="S815" r:id="rId790" xr:uid="{00000000-0004-0000-0000-00001D030000}"/>
    <hyperlink ref="S817" r:id="rId791" xr:uid="{00000000-0004-0000-0000-00001E030000}"/>
    <hyperlink ref="S822" r:id="rId792" xr:uid="{00000000-0004-0000-0000-00001F030000}"/>
    <hyperlink ref="S823" r:id="rId793" xr:uid="{00000000-0004-0000-0000-000020030000}"/>
    <hyperlink ref="S825" r:id="rId794" xr:uid="{00000000-0004-0000-0000-000021030000}"/>
    <hyperlink ref="S826" r:id="rId795" xr:uid="{00000000-0004-0000-0000-000022030000}"/>
    <hyperlink ref="S827" r:id="rId796" xr:uid="{00000000-0004-0000-0000-000023030000}"/>
    <hyperlink ref="S828" r:id="rId797" xr:uid="{00000000-0004-0000-0000-000024030000}"/>
    <hyperlink ref="S830" r:id="rId798" xr:uid="{00000000-0004-0000-0000-000025030000}"/>
    <hyperlink ref="S833" r:id="rId799" xr:uid="{00000000-0004-0000-0000-000026030000}"/>
    <hyperlink ref="S835" r:id="rId800" xr:uid="{00000000-0004-0000-0000-000027030000}"/>
    <hyperlink ref="S837" r:id="rId801" xr:uid="{00000000-0004-0000-0000-000028030000}"/>
    <hyperlink ref="S839" r:id="rId802" xr:uid="{00000000-0004-0000-0000-000029030000}"/>
    <hyperlink ref="S840" r:id="rId803" xr:uid="{00000000-0004-0000-0000-00002A030000}"/>
    <hyperlink ref="S841" r:id="rId804" xr:uid="{00000000-0004-0000-0000-00002B030000}"/>
    <hyperlink ref="S842" r:id="rId805" xr:uid="{00000000-0004-0000-0000-00002C030000}"/>
    <hyperlink ref="S844" r:id="rId806" xr:uid="{00000000-0004-0000-0000-00002D030000}"/>
    <hyperlink ref="S856" r:id="rId807" xr:uid="{00000000-0004-0000-0000-00002E030000}"/>
    <hyperlink ref="S857" r:id="rId808" xr:uid="{00000000-0004-0000-0000-00002F030000}"/>
    <hyperlink ref="S858" r:id="rId809" xr:uid="{00000000-0004-0000-0000-000030030000}"/>
    <hyperlink ref="S859" r:id="rId810" xr:uid="{00000000-0004-0000-0000-000031030000}"/>
    <hyperlink ref="S861" r:id="rId811" xr:uid="{00000000-0004-0000-0000-000032030000}"/>
    <hyperlink ref="S865" r:id="rId812" xr:uid="{00000000-0004-0000-0000-000033030000}"/>
    <hyperlink ref="S866" r:id="rId813" xr:uid="{00000000-0004-0000-0000-000034030000}"/>
    <hyperlink ref="S868" r:id="rId814" xr:uid="{00000000-0004-0000-0000-000035030000}"/>
    <hyperlink ref="S869" r:id="rId815" xr:uid="{00000000-0004-0000-0000-000036030000}"/>
    <hyperlink ref="S870" r:id="rId816" xr:uid="{00000000-0004-0000-0000-000037030000}"/>
    <hyperlink ref="S871" r:id="rId817" xr:uid="{00000000-0004-0000-0000-000038030000}"/>
    <hyperlink ref="S873" r:id="rId818" xr:uid="{00000000-0004-0000-0000-000039030000}"/>
    <hyperlink ref="S892" r:id="rId819" xr:uid="{00000000-0004-0000-0000-00003A030000}"/>
    <hyperlink ref="S896" r:id="rId820" xr:uid="{00000000-0004-0000-0000-00003B030000}"/>
    <hyperlink ref="S897" r:id="rId821" xr:uid="{00000000-0004-0000-0000-00003C030000}"/>
    <hyperlink ref="S898" r:id="rId822" xr:uid="{00000000-0004-0000-0000-00003D030000}"/>
    <hyperlink ref="S899" r:id="rId823" xr:uid="{00000000-0004-0000-0000-00003E030000}"/>
    <hyperlink ref="S901" r:id="rId824" xr:uid="{00000000-0004-0000-0000-00003F030000}"/>
    <hyperlink ref="S903" r:id="rId825" xr:uid="{00000000-0004-0000-0000-000040030000}"/>
    <hyperlink ref="S904" r:id="rId826" xr:uid="{00000000-0004-0000-0000-000041030000}"/>
    <hyperlink ref="S905" r:id="rId827" xr:uid="{00000000-0004-0000-0000-000042030000}"/>
    <hyperlink ref="S906" r:id="rId828" xr:uid="{00000000-0004-0000-0000-000043030000}"/>
    <hyperlink ref="S907" r:id="rId829" xr:uid="{00000000-0004-0000-0000-000044030000}"/>
    <hyperlink ref="S908" r:id="rId830" xr:uid="{00000000-0004-0000-0000-000045030000}"/>
    <hyperlink ref="S912" r:id="rId831" xr:uid="{00000000-0004-0000-0000-000046030000}"/>
    <hyperlink ref="S914" r:id="rId832" xr:uid="{00000000-0004-0000-0000-000047030000}"/>
    <hyperlink ref="S916" r:id="rId833" xr:uid="{00000000-0004-0000-0000-000048030000}"/>
    <hyperlink ref="S924" r:id="rId834" xr:uid="{00000000-0004-0000-0000-000049030000}"/>
    <hyperlink ref="S931" r:id="rId835" xr:uid="{00000000-0004-0000-0000-00004A030000}"/>
    <hyperlink ref="S932" r:id="rId836" xr:uid="{00000000-0004-0000-0000-00004B030000}"/>
    <hyperlink ref="S933" r:id="rId837" xr:uid="{00000000-0004-0000-0000-00004C030000}"/>
    <hyperlink ref="S934" r:id="rId838" xr:uid="{00000000-0004-0000-0000-00004D030000}"/>
    <hyperlink ref="S945" r:id="rId839" xr:uid="{00000000-0004-0000-0000-00004E030000}"/>
    <hyperlink ref="S948" r:id="rId840" xr:uid="{00000000-0004-0000-0000-00004F030000}"/>
    <hyperlink ref="S953" r:id="rId841" xr:uid="{00000000-0004-0000-0000-000050030000}"/>
    <hyperlink ref="S954" r:id="rId842" xr:uid="{00000000-0004-0000-0000-000051030000}"/>
    <hyperlink ref="S956" r:id="rId843" xr:uid="{00000000-0004-0000-0000-000052030000}"/>
    <hyperlink ref="S957" r:id="rId844" xr:uid="{00000000-0004-0000-0000-000053030000}"/>
    <hyperlink ref="S958" r:id="rId845" xr:uid="{00000000-0004-0000-0000-000054030000}"/>
    <hyperlink ref="S960" r:id="rId846" xr:uid="{00000000-0004-0000-0000-000055030000}"/>
    <hyperlink ref="S963" r:id="rId847" xr:uid="{00000000-0004-0000-0000-000056030000}"/>
    <hyperlink ref="S964" r:id="rId848" xr:uid="{00000000-0004-0000-0000-000057030000}"/>
    <hyperlink ref="S966" r:id="rId849" xr:uid="{00000000-0004-0000-0000-000058030000}"/>
    <hyperlink ref="S973" r:id="rId850" xr:uid="{00000000-0004-0000-0000-000059030000}"/>
    <hyperlink ref="S974" r:id="rId851" xr:uid="{00000000-0004-0000-0000-00005A030000}"/>
    <hyperlink ref="S976" r:id="rId852" xr:uid="{00000000-0004-0000-0000-00005B030000}"/>
    <hyperlink ref="S977" r:id="rId853" xr:uid="{00000000-0004-0000-0000-00005C030000}"/>
    <hyperlink ref="S980" r:id="rId854" xr:uid="{00000000-0004-0000-0000-00005D030000}"/>
    <hyperlink ref="S981" r:id="rId855" xr:uid="{00000000-0004-0000-0000-00005E030000}"/>
    <hyperlink ref="S982" r:id="rId856" xr:uid="{00000000-0004-0000-0000-00005F030000}"/>
    <hyperlink ref="S984" r:id="rId857" xr:uid="{00000000-0004-0000-0000-000060030000}"/>
    <hyperlink ref="S985" r:id="rId858" xr:uid="{00000000-0004-0000-0000-000061030000}"/>
    <hyperlink ref="S986" r:id="rId859" xr:uid="{00000000-0004-0000-0000-000062030000}"/>
    <hyperlink ref="S987" r:id="rId860" xr:uid="{00000000-0004-0000-0000-000063030000}"/>
    <hyperlink ref="S988" r:id="rId861" xr:uid="{00000000-0004-0000-0000-000064030000}"/>
    <hyperlink ref="S989" r:id="rId862" xr:uid="{00000000-0004-0000-0000-000065030000}"/>
    <hyperlink ref="S990" r:id="rId863" xr:uid="{00000000-0004-0000-0000-000066030000}"/>
    <hyperlink ref="S991" r:id="rId864" xr:uid="{00000000-0004-0000-0000-000067030000}"/>
    <hyperlink ref="S993" r:id="rId865" xr:uid="{00000000-0004-0000-0000-000068030000}"/>
    <hyperlink ref="S995" r:id="rId866" xr:uid="{00000000-0004-0000-0000-000069030000}"/>
    <hyperlink ref="S996" r:id="rId867" xr:uid="{00000000-0004-0000-0000-00006A030000}"/>
    <hyperlink ref="S997" r:id="rId868" xr:uid="{00000000-0004-0000-0000-00006B030000}"/>
    <hyperlink ref="S998" r:id="rId869" xr:uid="{00000000-0004-0000-0000-00006C030000}"/>
    <hyperlink ref="S1000" r:id="rId870" xr:uid="{00000000-0004-0000-0000-00006D030000}"/>
    <hyperlink ref="S1001" r:id="rId871" xr:uid="{00000000-0004-0000-0000-00006E030000}"/>
    <hyperlink ref="S1004" r:id="rId872" xr:uid="{00000000-0004-0000-0000-00006F030000}"/>
    <hyperlink ref="S1005" r:id="rId873" xr:uid="{00000000-0004-0000-0000-000070030000}"/>
    <hyperlink ref="S1009" r:id="rId874" xr:uid="{00000000-0004-0000-0000-000071030000}"/>
    <hyperlink ref="S1010" r:id="rId875" xr:uid="{00000000-0004-0000-0000-000072030000}"/>
    <hyperlink ref="S1013" r:id="rId876" xr:uid="{00000000-0004-0000-0000-000073030000}"/>
    <hyperlink ref="S1016" r:id="rId877" xr:uid="{00000000-0004-0000-0000-000074030000}"/>
    <hyperlink ref="S209" r:id="rId878" xr:uid="{00000000-0004-0000-0000-000075030000}"/>
    <hyperlink ref="R1022" r:id="rId879" xr:uid="{00000000-0004-0000-0000-000076030000}"/>
    <hyperlink ref="S1022" r:id="rId880" xr:uid="{00000000-0004-0000-0000-000077030000}"/>
    <hyperlink ref="R1023" r:id="rId881" xr:uid="{00000000-0004-0000-0000-000078030000}"/>
    <hyperlink ref="R1025" r:id="rId882" xr:uid="{00000000-0004-0000-0000-000079030000}"/>
    <hyperlink ref="R1026" r:id="rId883" xr:uid="{00000000-0004-0000-0000-00007A030000}"/>
    <hyperlink ref="S1026" r:id="rId884" xr:uid="{00000000-0004-0000-0000-00007B030000}"/>
    <hyperlink ref="R1027" r:id="rId885" xr:uid="{00000000-0004-0000-0000-00007C030000}"/>
    <hyperlink ref="R1028" r:id="rId886" xr:uid="{00000000-0004-0000-0000-00007D030000}"/>
    <hyperlink ref="S1028" r:id="rId887" xr:uid="{00000000-0004-0000-0000-00007E030000}"/>
    <hyperlink ref="R1030" r:id="rId888" xr:uid="{00000000-0004-0000-0000-00007F030000}"/>
    <hyperlink ref="R1031" r:id="rId889" xr:uid="{00000000-0004-0000-0000-000080030000}"/>
    <hyperlink ref="S1031" r:id="rId890" xr:uid="{00000000-0004-0000-0000-000081030000}"/>
    <hyperlink ref="R1032" r:id="rId891" xr:uid="{00000000-0004-0000-0000-000082030000}"/>
    <hyperlink ref="S1032" r:id="rId892" xr:uid="{00000000-0004-0000-0000-000083030000}"/>
    <hyperlink ref="R1033" r:id="rId893" xr:uid="{00000000-0004-0000-0000-000084030000}"/>
    <hyperlink ref="R1034" r:id="rId894" xr:uid="{00000000-0004-0000-0000-000085030000}"/>
    <hyperlink ref="R1035" r:id="rId895" xr:uid="{00000000-0004-0000-0000-000086030000}"/>
    <hyperlink ref="R1037" r:id="rId896" xr:uid="{00000000-0004-0000-0000-000087030000}"/>
    <hyperlink ref="R1036" r:id="rId897" xr:uid="{00000000-0004-0000-0000-000088030000}"/>
    <hyperlink ref="R1038" r:id="rId898" xr:uid="{00000000-0004-0000-0000-000089030000}"/>
    <hyperlink ref="R1039" r:id="rId899" xr:uid="{00000000-0004-0000-0000-00008A030000}"/>
    <hyperlink ref="S1039" r:id="rId900" xr:uid="{00000000-0004-0000-0000-00008B030000}"/>
    <hyperlink ref="R1040" r:id="rId901" xr:uid="{00000000-0004-0000-0000-00008C030000}"/>
    <hyperlink ref="R853" r:id="rId902" xr:uid="{00000000-0004-0000-0000-00008D030000}"/>
    <hyperlink ref="S853" r:id="rId903" xr:uid="{00000000-0004-0000-0000-00008E030000}"/>
    <hyperlink ref="R852" r:id="rId904" xr:uid="{00000000-0004-0000-0000-00008F030000}"/>
    <hyperlink ref="S852" r:id="rId905" xr:uid="{00000000-0004-0000-0000-000090030000}"/>
    <hyperlink ref="R1041" r:id="rId906" xr:uid="{00000000-0004-0000-0000-000091030000}"/>
    <hyperlink ref="S1041" r:id="rId907" xr:uid="{00000000-0004-0000-0000-000092030000}"/>
    <hyperlink ref="R1042" r:id="rId908" xr:uid="{00000000-0004-0000-0000-000093030000}"/>
    <hyperlink ref="S1042" r:id="rId909" xr:uid="{00000000-0004-0000-0000-000094030000}"/>
    <hyperlink ref="R1045" r:id="rId910" xr:uid="{00000000-0004-0000-0000-000095030000}"/>
    <hyperlink ref="S1045" r:id="rId911" xr:uid="{00000000-0004-0000-0000-000096030000}"/>
    <hyperlink ref="R1046" r:id="rId912" xr:uid="{00000000-0004-0000-0000-000097030000}"/>
    <hyperlink ref="S39" r:id="rId913" xr:uid="{00000000-0004-0000-0000-000098030000}"/>
    <hyperlink ref="R1047" r:id="rId914" xr:uid="{00000000-0004-0000-0000-000099030000}"/>
    <hyperlink ref="S1047" r:id="rId915" xr:uid="{00000000-0004-0000-0000-00009A030000}"/>
    <hyperlink ref="S184" r:id="rId916" xr:uid="{00000000-0004-0000-0000-00009B030000}"/>
    <hyperlink ref="S253" r:id="rId917" xr:uid="{00000000-0004-0000-0000-00009C030000}"/>
    <hyperlink ref="R1049" r:id="rId918" xr:uid="{00000000-0004-0000-0000-00009D030000}"/>
    <hyperlink ref="S1049" r:id="rId919" xr:uid="{00000000-0004-0000-0000-00009E030000}"/>
    <hyperlink ref="R1050" r:id="rId920" xr:uid="{00000000-0004-0000-0000-00009F030000}"/>
    <hyperlink ref="R1051" r:id="rId921" xr:uid="{00000000-0004-0000-0000-0000A0030000}"/>
    <hyperlink ref="R1053" r:id="rId922" xr:uid="{00000000-0004-0000-0000-0000A1030000}"/>
    <hyperlink ref="S1053" r:id="rId923" xr:uid="{00000000-0004-0000-0000-0000A2030000}"/>
    <hyperlink ref="R1054" r:id="rId924" xr:uid="{00000000-0004-0000-0000-0000A3030000}"/>
    <hyperlink ref="S1054" r:id="rId925" xr:uid="{00000000-0004-0000-0000-0000A4030000}"/>
    <hyperlink ref="R1055" r:id="rId926" xr:uid="{00000000-0004-0000-0000-0000A5030000}"/>
    <hyperlink ref="R1057" r:id="rId927" xr:uid="{00000000-0004-0000-0000-0000A6030000}"/>
    <hyperlink ref="R1058" r:id="rId928" xr:uid="{00000000-0004-0000-0000-0000A7030000}"/>
    <hyperlink ref="S1058" r:id="rId929" xr:uid="{00000000-0004-0000-0000-0000A8030000}"/>
    <hyperlink ref="S1059" r:id="rId930" xr:uid="{00000000-0004-0000-0000-0000A9030000}"/>
    <hyperlink ref="S663" r:id="rId931" xr:uid="{00000000-0004-0000-0000-0000AA030000}"/>
    <hyperlink ref="S664" r:id="rId932" xr:uid="{00000000-0004-0000-0000-0000AB030000}"/>
    <hyperlink ref="S665" r:id="rId933" xr:uid="{00000000-0004-0000-0000-0000AC030000}"/>
    <hyperlink ref="R1060" r:id="rId934" xr:uid="{00000000-0004-0000-0000-0000AD030000}"/>
    <hyperlink ref="R1061" r:id="rId935" xr:uid="{00000000-0004-0000-0000-0000AE030000}"/>
    <hyperlink ref="R1062" r:id="rId936" xr:uid="{00000000-0004-0000-0000-0000AF030000}"/>
    <hyperlink ref="S1062" r:id="rId937" xr:uid="{00000000-0004-0000-0000-0000B0030000}"/>
    <hyperlink ref="S371" r:id="rId938" xr:uid="{00000000-0004-0000-0000-0000B1030000}"/>
    <hyperlink ref="R1063" r:id="rId939" xr:uid="{00000000-0004-0000-0000-0000B2030000}"/>
    <hyperlink ref="S428" r:id="rId940" xr:uid="{00000000-0004-0000-0000-0000B3030000}"/>
    <hyperlink ref="S430" r:id="rId941" xr:uid="{00000000-0004-0000-0000-0000B4030000}"/>
    <hyperlink ref="S429" r:id="rId942" xr:uid="{00000000-0004-0000-0000-0000B5030000}"/>
    <hyperlink ref="R1064" r:id="rId943" xr:uid="{00000000-0004-0000-0000-0000B6030000}"/>
    <hyperlink ref="R1065" r:id="rId944" xr:uid="{00000000-0004-0000-0000-0000B7030000}"/>
    <hyperlink ref="S1065" r:id="rId945" xr:uid="{00000000-0004-0000-0000-0000B8030000}"/>
    <hyperlink ref="S1066" r:id="rId946" xr:uid="{00000000-0004-0000-0000-0000B9030000}"/>
    <hyperlink ref="R1067" r:id="rId947" xr:uid="{00000000-0004-0000-0000-0000BA030000}"/>
    <hyperlink ref="S1067" r:id="rId948" xr:uid="{00000000-0004-0000-0000-0000BB030000}"/>
    <hyperlink ref="R1068" r:id="rId949" xr:uid="{00000000-0004-0000-0000-0000BC030000}"/>
    <hyperlink ref="R1069" r:id="rId950" xr:uid="{00000000-0004-0000-0000-0000BD030000}"/>
    <hyperlink ref="R1070" r:id="rId951" xr:uid="{00000000-0004-0000-0000-0000BE030000}"/>
    <hyperlink ref="R1071" r:id="rId952" xr:uid="{00000000-0004-0000-0000-0000BF030000}"/>
    <hyperlink ref="S1071" r:id="rId953" xr:uid="{00000000-0004-0000-0000-0000C0030000}"/>
    <hyperlink ref="R1072" r:id="rId954" xr:uid="{00000000-0004-0000-0000-0000C1030000}"/>
    <hyperlink ref="S1072" r:id="rId955" xr:uid="{00000000-0004-0000-0000-0000C2030000}"/>
    <hyperlink ref="R1073" r:id="rId956" xr:uid="{00000000-0004-0000-0000-0000C3030000}"/>
    <hyperlink ref="S1073" r:id="rId957" xr:uid="{00000000-0004-0000-0000-0000C4030000}"/>
    <hyperlink ref="R793" r:id="rId958" xr:uid="{00000000-0004-0000-0000-0000C5030000}"/>
    <hyperlink ref="S793" r:id="rId959" xr:uid="{00000000-0004-0000-0000-0000C6030000}"/>
    <hyperlink ref="S659" r:id="rId960" xr:uid="{00000000-0004-0000-0000-0000C7030000}"/>
    <hyperlink ref="S688" r:id="rId961" xr:uid="{00000000-0004-0000-0000-0000C8030000}"/>
    <hyperlink ref="R1074" r:id="rId962" xr:uid="{00000000-0004-0000-0000-0000C9030000}"/>
    <hyperlink ref="R1075" r:id="rId963" xr:uid="{00000000-0004-0000-0000-0000CA030000}"/>
    <hyperlink ref="R1076" r:id="rId964" xr:uid="{00000000-0004-0000-0000-0000CB030000}"/>
    <hyperlink ref="S1076" r:id="rId965" xr:uid="{00000000-0004-0000-0000-0000CC030000}"/>
    <hyperlink ref="R1077" r:id="rId966" xr:uid="{00000000-0004-0000-0000-0000CD030000}"/>
    <hyperlink ref="S1077" r:id="rId967" xr:uid="{00000000-0004-0000-0000-0000CE030000}"/>
    <hyperlink ref="R1078" r:id="rId968" display="mailto:bovenzzorafaella@gmail.com" xr:uid="{00000000-0004-0000-0000-0000CF030000}"/>
    <hyperlink ref="R1080" r:id="rId969" xr:uid="{00000000-0004-0000-0000-0000D0030000}"/>
    <hyperlink ref="R1081" r:id="rId970" xr:uid="{00000000-0004-0000-0000-0000D1030000}"/>
    <hyperlink ref="S1081" r:id="rId971" xr:uid="{00000000-0004-0000-0000-0000D2030000}"/>
    <hyperlink ref="R1082" r:id="rId972" xr:uid="{00000000-0004-0000-0000-0000D3030000}"/>
    <hyperlink ref="S185" r:id="rId973" xr:uid="{00000000-0004-0000-0000-0000D4030000}"/>
    <hyperlink ref="S88" r:id="rId974" xr:uid="{00000000-0004-0000-0000-0000D5030000}"/>
    <hyperlink ref="R1083" r:id="rId975" xr:uid="{00000000-0004-0000-0000-0000D6030000}"/>
    <hyperlink ref="S1083" r:id="rId976" xr:uid="{00000000-0004-0000-0000-0000D7030000}"/>
    <hyperlink ref="R1084" r:id="rId977" xr:uid="{00000000-0004-0000-0000-0000D8030000}"/>
    <hyperlink ref="R1085" r:id="rId978" xr:uid="{00000000-0004-0000-0000-0000D9030000}"/>
    <hyperlink ref="R872" r:id="rId979" xr:uid="{00000000-0004-0000-0000-0000DA030000}"/>
    <hyperlink ref="S1086" r:id="rId980" xr:uid="{00000000-0004-0000-0000-0000DB030000}"/>
    <hyperlink ref="R1086" r:id="rId981" xr:uid="{00000000-0004-0000-0000-0000DC030000}"/>
    <hyperlink ref="S421" r:id="rId982" xr:uid="{00000000-0004-0000-0000-0000DD030000}"/>
    <hyperlink ref="S420" r:id="rId983" xr:uid="{00000000-0004-0000-0000-0000DE030000}"/>
    <hyperlink ref="S419" r:id="rId984" xr:uid="{00000000-0004-0000-0000-0000DF030000}"/>
    <hyperlink ref="R961" r:id="rId985" xr:uid="{00000000-0004-0000-0000-0000E0030000}"/>
    <hyperlink ref="S961" r:id="rId986" xr:uid="{00000000-0004-0000-0000-0000E1030000}"/>
    <hyperlink ref="R965" r:id="rId987" xr:uid="{00000000-0004-0000-0000-0000E2030000}"/>
    <hyperlink ref="S965" r:id="rId988" xr:uid="{00000000-0004-0000-0000-0000E3030000}"/>
    <hyperlink ref="R967" r:id="rId989" xr:uid="{00000000-0004-0000-0000-0000E4030000}"/>
    <hyperlink ref="S967" r:id="rId990" xr:uid="{00000000-0004-0000-0000-0000E5030000}"/>
    <hyperlink ref="S972" r:id="rId991" xr:uid="{00000000-0004-0000-0000-0000E6030000}"/>
    <hyperlink ref="R972" r:id="rId992" xr:uid="{00000000-0004-0000-0000-0000E7030000}"/>
    <hyperlink ref="R1024" r:id="rId993" xr:uid="{00000000-0004-0000-0000-0000E8030000}"/>
    <hyperlink ref="R1029" r:id="rId994" xr:uid="{00000000-0004-0000-0000-0000E9030000}"/>
    <hyperlink ref="R800" r:id="rId995" xr:uid="{00000000-0004-0000-0000-0000EA030000}"/>
    <hyperlink ref="S800" r:id="rId996" xr:uid="{00000000-0004-0000-0000-0000EB030000}"/>
    <hyperlink ref="R1087" r:id="rId997" xr:uid="{00000000-0004-0000-0000-0000EC030000}"/>
    <hyperlink ref="S1087" r:id="rId998" xr:uid="{00000000-0004-0000-0000-0000ED030000}"/>
    <hyperlink ref="R1088" r:id="rId999" xr:uid="{00000000-0004-0000-0000-0000EE030000}"/>
    <hyperlink ref="R1089" r:id="rId1000" xr:uid="{00000000-0004-0000-0000-0000EF030000}"/>
    <hyperlink ref="S1089" r:id="rId1001" xr:uid="{00000000-0004-0000-0000-0000F0030000}"/>
    <hyperlink ref="R1090" r:id="rId1002" xr:uid="{00000000-0004-0000-0000-0000F1030000}"/>
    <hyperlink ref="S1090" r:id="rId1003" xr:uid="{00000000-0004-0000-0000-0000F2030000}"/>
    <hyperlink ref="R1091" r:id="rId1004" xr:uid="{00000000-0004-0000-0000-0000F3030000}"/>
    <hyperlink ref="S1091" r:id="rId1005" xr:uid="{00000000-0004-0000-0000-0000F4030000}"/>
    <hyperlink ref="R1092" r:id="rId1006" xr:uid="{00000000-0004-0000-0000-0000F5030000}"/>
    <hyperlink ref="S1092" r:id="rId1007" xr:uid="{00000000-0004-0000-0000-0000F6030000}"/>
    <hyperlink ref="R1093" r:id="rId1008" xr:uid="{00000000-0004-0000-0000-0000F7030000}"/>
    <hyperlink ref="S1093" r:id="rId1009" xr:uid="{00000000-0004-0000-0000-0000F8030000}"/>
    <hyperlink ref="R1095" r:id="rId1010" xr:uid="{00000000-0004-0000-0000-0000F9030000}"/>
    <hyperlink ref="R1097" r:id="rId1011" xr:uid="{00000000-0004-0000-0000-0000FA030000}"/>
    <hyperlink ref="R1098" r:id="rId1012" xr:uid="{00000000-0004-0000-0000-0000FB030000}"/>
    <hyperlink ref="S104" r:id="rId1013" xr:uid="{00000000-0004-0000-0000-0000FC030000}"/>
    <hyperlink ref="R1099" r:id="rId1014" xr:uid="{00000000-0004-0000-0000-0000FD030000}"/>
    <hyperlink ref="S1099" r:id="rId1015" xr:uid="{00000000-0004-0000-0000-0000FE030000}"/>
    <hyperlink ref="R1100" r:id="rId1016" xr:uid="{00000000-0004-0000-0000-0000FF030000}"/>
    <hyperlink ref="R1101" r:id="rId1017" xr:uid="{00000000-0004-0000-0000-000000040000}"/>
    <hyperlink ref="R1102" r:id="rId1018" xr:uid="{00000000-0004-0000-0000-000001040000}"/>
    <hyperlink ref="R1103" r:id="rId1019" xr:uid="{00000000-0004-0000-0000-000002040000}"/>
    <hyperlink ref="R1104" r:id="rId1020" xr:uid="{00000000-0004-0000-0000-000003040000}"/>
    <hyperlink ref="R1105" r:id="rId1021" xr:uid="{00000000-0004-0000-0000-000004040000}"/>
    <hyperlink ref="S186" r:id="rId1022" xr:uid="{00000000-0004-0000-0000-000005040000}"/>
    <hyperlink ref="R1106" r:id="rId1023" xr:uid="{00000000-0004-0000-0000-000006040000}"/>
    <hyperlink ref="R1107" r:id="rId1024" xr:uid="{00000000-0004-0000-0000-000007040000}"/>
    <hyperlink ref="R198" r:id="rId1025" xr:uid="{00000000-0004-0000-0000-000008040000}"/>
    <hyperlink ref="R186" r:id="rId1026" xr:uid="{00000000-0004-0000-0000-000009040000}"/>
    <hyperlink ref="R148" r:id="rId1027" xr:uid="{00000000-0004-0000-0000-00000A040000}"/>
    <hyperlink ref="R108" r:id="rId1028" xr:uid="{00000000-0004-0000-0000-00000B040000}"/>
    <hyperlink ref="R104" r:id="rId1029" xr:uid="{00000000-0004-0000-0000-00000C040000}"/>
    <hyperlink ref="R17" r:id="rId1030" xr:uid="{00000000-0004-0000-0000-00000D040000}"/>
    <hyperlink ref="Q43" r:id="rId1031" display="https://www.google.com/search?q=CASA+DE+REPOUSO+VIVER+BEM&amp;rlz=1C1GCEU_pt-BRBR1117BR1117&amp;oq=CASA+DE+REPOUSO+VIVER+BEM&amp;gs_lcrp=EgZjaHJvbWUyCQgAEEUYORiABDIHCAEQABiABDINCAIQLhivARjHARiABDIQCAMQLhivARjHARiABBiOBTINCAQQLhivARjHARiABDIHCAUQABiABDIICAYQABgWGB4yCAgHEAAYFhgeMggICBAAGBYYHjIICAkQABgWGB6oAgCwAgA&amp;sourceid=chrome&amp;ie=UTF-8" xr:uid="{00000000-0004-0000-0000-00000E040000}"/>
    <hyperlink ref="R687" r:id="rId1032" xr:uid="{00000000-0004-0000-0000-00000F040000}"/>
    <hyperlink ref="R421" r:id="rId1033" xr:uid="{00000000-0004-0000-0000-000010040000}"/>
    <hyperlink ref="R420" r:id="rId1034" xr:uid="{00000000-0004-0000-0000-000011040000}"/>
    <hyperlink ref="R419" r:id="rId1035" xr:uid="{00000000-0004-0000-0000-000012040000}"/>
    <hyperlink ref="R88" r:id="rId1036" xr:uid="{00000000-0004-0000-0000-000013040000}"/>
    <hyperlink ref="R185" r:id="rId1037" xr:uid="{00000000-0004-0000-0000-000014040000}"/>
    <hyperlink ref="R688" r:id="rId1038" xr:uid="{00000000-0004-0000-0000-000015040000}"/>
    <hyperlink ref="R659" r:id="rId1039" xr:uid="{00000000-0004-0000-0000-000016040000}"/>
    <hyperlink ref="R450" r:id="rId1040" xr:uid="{00000000-0004-0000-0000-000017040000}"/>
    <hyperlink ref="R392" r:id="rId1041" xr:uid="{00000000-0004-0000-0000-000018040000}"/>
    <hyperlink ref="R263" r:id="rId1042" xr:uid="{00000000-0004-0000-0000-000019040000}"/>
    <hyperlink ref="R451" r:id="rId1043" xr:uid="{00000000-0004-0000-0000-00001A040000}"/>
    <hyperlink ref="R430" r:id="rId1044" xr:uid="{00000000-0004-0000-0000-00001B040000}"/>
    <hyperlink ref="R427" r:id="rId1045" xr:uid="{00000000-0004-0000-0000-00001C040000}"/>
    <hyperlink ref="R368" r:id="rId1046" xr:uid="{00000000-0004-0000-0000-00001D040000}"/>
    <hyperlink ref="R360" r:id="rId1047" xr:uid="{00000000-0004-0000-0000-00001E040000}"/>
    <hyperlink ref="R371" r:id="rId1048" xr:uid="{00000000-0004-0000-0000-00001F040000}"/>
    <hyperlink ref="R665" r:id="rId1049" xr:uid="{00000000-0004-0000-0000-000020040000}"/>
    <hyperlink ref="R664" r:id="rId1050" xr:uid="{00000000-0004-0000-0000-000021040000}"/>
    <hyperlink ref="R663" r:id="rId1051" xr:uid="{00000000-0004-0000-0000-000022040000}"/>
    <hyperlink ref="R612" r:id="rId1052" xr:uid="{00000000-0004-0000-0000-000023040000}"/>
    <hyperlink ref="R214" r:id="rId1053" xr:uid="{00000000-0004-0000-0000-000024040000}"/>
    <hyperlink ref="R590" r:id="rId1054" xr:uid="{00000000-0004-0000-0000-000025040000}"/>
    <hyperlink ref="R253" r:id="rId1055" xr:uid="{00000000-0004-0000-0000-000026040000}"/>
    <hyperlink ref="R184" r:id="rId1056" xr:uid="{00000000-0004-0000-0000-000027040000}"/>
    <hyperlink ref="R25" r:id="rId1057" xr:uid="{00000000-0004-0000-0000-000028040000}"/>
    <hyperlink ref="R231" r:id="rId1058" xr:uid="{00000000-0004-0000-0000-000029040000}"/>
    <hyperlink ref="R440" r:id="rId1059" xr:uid="{00000000-0004-0000-0000-00002A040000}"/>
    <hyperlink ref="R187" r:id="rId1060" xr:uid="{00000000-0004-0000-0000-00002B040000}"/>
    <hyperlink ref="R209" r:id="rId1061" xr:uid="{00000000-0004-0000-0000-00002C040000}"/>
    <hyperlink ref="R180" r:id="rId1062" xr:uid="{00000000-0004-0000-0000-00002D040000}"/>
    <hyperlink ref="R137" r:id="rId1063" xr:uid="{00000000-0004-0000-0000-00002E040000}"/>
    <hyperlink ref="R91" r:id="rId1064" xr:uid="{00000000-0004-0000-0000-00002F040000}"/>
    <hyperlink ref="R382" r:id="rId1065" xr:uid="{00000000-0004-0000-0000-000030040000}"/>
    <hyperlink ref="R122" r:id="rId1066" xr:uid="{00000000-0004-0000-0000-000031040000}"/>
    <hyperlink ref="R124" r:id="rId1067" xr:uid="{00000000-0004-0000-0000-000032040000}"/>
    <hyperlink ref="R123" r:id="rId1068" xr:uid="{00000000-0004-0000-0000-000033040000}"/>
    <hyperlink ref="R293" r:id="rId1069" xr:uid="{00000000-0004-0000-0000-000034040000}"/>
    <hyperlink ref="R291" r:id="rId1070" xr:uid="{00000000-0004-0000-0000-000035040000}"/>
    <hyperlink ref="R173" r:id="rId1071" xr:uid="{00000000-0004-0000-0000-000036040000}"/>
    <hyperlink ref="R442" r:id="rId1072" xr:uid="{00000000-0004-0000-0000-000037040000}"/>
    <hyperlink ref="R192" r:id="rId1073" xr:uid="{00000000-0004-0000-0000-000038040000}"/>
    <hyperlink ref="R193" r:id="rId1074" xr:uid="{00000000-0004-0000-0000-000039040000}"/>
    <hyperlink ref="R194" r:id="rId1075" xr:uid="{00000000-0004-0000-0000-00003A040000}"/>
    <hyperlink ref="R195" r:id="rId1076" xr:uid="{00000000-0004-0000-0000-00003B040000}"/>
    <hyperlink ref="R133" r:id="rId1077" xr:uid="{00000000-0004-0000-0000-00003C040000}"/>
    <hyperlink ref="R162" r:id="rId1078" xr:uid="{00000000-0004-0000-0000-00003D040000}"/>
    <hyperlink ref="R208" r:id="rId1079" xr:uid="{00000000-0004-0000-0000-00003E040000}"/>
    <hyperlink ref="R105" r:id="rId1080" xr:uid="{00000000-0004-0000-0000-00003F040000}"/>
    <hyperlink ref="R262" r:id="rId1081" xr:uid="{00000000-0004-0000-0000-000040040000}"/>
    <hyperlink ref="R589" r:id="rId1082" xr:uid="{00000000-0004-0000-0000-000041040000}"/>
    <hyperlink ref="R562" r:id="rId1083" xr:uid="{00000000-0004-0000-0000-000042040000}"/>
    <hyperlink ref="R730" r:id="rId1084" xr:uid="{00000000-0004-0000-0000-000043040000}"/>
    <hyperlink ref="R731" r:id="rId1085" xr:uid="{00000000-0004-0000-0000-000044040000}"/>
    <hyperlink ref="R732" r:id="rId1086" xr:uid="{00000000-0004-0000-0000-000045040000}"/>
    <hyperlink ref="R515" r:id="rId1087" xr:uid="{00000000-0004-0000-0000-000046040000}"/>
    <hyperlink ref="R363" r:id="rId1088" xr:uid="{00000000-0004-0000-0000-000047040000}"/>
    <hyperlink ref="R172" r:id="rId1089" xr:uid="{00000000-0004-0000-0000-000048040000}"/>
    <hyperlink ref="R575" r:id="rId1090" xr:uid="{00000000-0004-0000-0000-000049040000}"/>
    <hyperlink ref="R509" r:id="rId1091" xr:uid="{00000000-0004-0000-0000-00004A040000}"/>
    <hyperlink ref="R452" r:id="rId1092" xr:uid="{00000000-0004-0000-0000-00004B040000}"/>
    <hyperlink ref="R29" r:id="rId1093" xr:uid="{00000000-0004-0000-0000-00004C040000}"/>
    <hyperlink ref="R694" r:id="rId1094" xr:uid="{00000000-0004-0000-0000-00004D040000}"/>
    <hyperlink ref="R221" r:id="rId1095" xr:uid="{00000000-0004-0000-0000-00004E040000}"/>
    <hyperlink ref="R369" r:id="rId1096" xr:uid="{00000000-0004-0000-0000-00004F040000}"/>
    <hyperlink ref="R469" r:id="rId1097" xr:uid="{00000000-0004-0000-0000-000050040000}"/>
    <hyperlink ref="R288" r:id="rId1098" xr:uid="{00000000-0004-0000-0000-000051040000}"/>
    <hyperlink ref="R149" r:id="rId1099" xr:uid="{00000000-0004-0000-0000-000052040000}"/>
    <hyperlink ref="R167" r:id="rId1100" xr:uid="{00000000-0004-0000-0000-000053040000}"/>
    <hyperlink ref="R677" r:id="rId1101" xr:uid="{00000000-0004-0000-0000-000054040000}"/>
    <hyperlink ref="R230" r:id="rId1102" xr:uid="{00000000-0004-0000-0000-000055040000}"/>
    <hyperlink ref="R280" r:id="rId1103" xr:uid="{00000000-0004-0000-0000-000056040000}"/>
    <hyperlink ref="R177" r:id="rId1104" xr:uid="{00000000-0004-0000-0000-000057040000}"/>
    <hyperlink ref="R114" r:id="rId1105" xr:uid="{00000000-0004-0000-0000-000058040000}"/>
    <hyperlink ref="R116" r:id="rId1106" xr:uid="{00000000-0004-0000-0000-000059040000}"/>
    <hyperlink ref="R458" r:id="rId1107" xr:uid="{00000000-0004-0000-0000-00005A040000}"/>
    <hyperlink ref="R129" r:id="rId1108" xr:uid="{00000000-0004-0000-0000-00005B040000}"/>
    <hyperlink ref="R447" r:id="rId1109" xr:uid="{00000000-0004-0000-0000-00005C040000}"/>
    <hyperlink ref="R403" r:id="rId1110" xr:uid="{00000000-0004-0000-0000-00005D040000}"/>
    <hyperlink ref="R224" r:id="rId1111" xr:uid="{00000000-0004-0000-0000-00005E040000}"/>
    <hyperlink ref="R257" r:id="rId1112" xr:uid="{00000000-0004-0000-0000-00005F040000}"/>
    <hyperlink ref="R237" r:id="rId1113" xr:uid="{00000000-0004-0000-0000-000060040000}"/>
    <hyperlink ref="R484" r:id="rId1114" xr:uid="{00000000-0004-0000-0000-000061040000}"/>
    <hyperlink ref="R483" r:id="rId1115" xr:uid="{00000000-0004-0000-0000-000062040000}"/>
    <hyperlink ref="R482" r:id="rId1116" xr:uid="{00000000-0004-0000-0000-000063040000}"/>
    <hyperlink ref="R514" r:id="rId1117" xr:uid="{00000000-0004-0000-0000-000064040000}"/>
    <hyperlink ref="R348" r:id="rId1118" xr:uid="{00000000-0004-0000-0000-000065040000}"/>
    <hyperlink ref="R252" r:id="rId1119" xr:uid="{00000000-0004-0000-0000-000066040000}"/>
    <hyperlink ref="R95" r:id="rId1120" xr:uid="{00000000-0004-0000-0000-000067040000}"/>
    <hyperlink ref="R92" r:id="rId1121" xr:uid="{00000000-0004-0000-0000-000068040000}"/>
    <hyperlink ref="R324" r:id="rId1122" xr:uid="{00000000-0004-0000-0000-000069040000}"/>
    <hyperlink ref="R299" r:id="rId1123" xr:uid="{00000000-0004-0000-0000-00006A040000}"/>
    <hyperlink ref="R290" r:id="rId1124" xr:uid="{00000000-0004-0000-0000-00006B040000}"/>
    <hyperlink ref="R197" r:id="rId1125" xr:uid="{00000000-0004-0000-0000-00006C040000}"/>
    <hyperlink ref="R121" r:id="rId1126" xr:uid="{00000000-0004-0000-0000-00006D040000}"/>
    <hyperlink ref="R14" r:id="rId1127" xr:uid="{00000000-0004-0000-0000-00006E040000}"/>
    <hyperlink ref="R18" r:id="rId1128" xr:uid="{00000000-0004-0000-0000-00006F040000}"/>
    <hyperlink ref="R300" r:id="rId1129" xr:uid="{00000000-0004-0000-0000-000070040000}"/>
    <hyperlink ref="R13" r:id="rId1130" xr:uid="{00000000-0004-0000-0000-000071040000}"/>
    <hyperlink ref="R334" r:id="rId1131" xr:uid="{00000000-0004-0000-0000-000072040000}"/>
    <hyperlink ref="R199" r:id="rId1132" xr:uid="{00000000-0004-0000-0000-000073040000}"/>
    <hyperlink ref="R601" r:id="rId1133" display="mailto:lardealiceeireli@gmail.com" xr:uid="{00000000-0004-0000-0000-000074040000}"/>
    <hyperlink ref="R742" r:id="rId1134" xr:uid="{00000000-0004-0000-0000-000075040000}"/>
    <hyperlink ref="R228" r:id="rId1135" xr:uid="{00000000-0004-0000-0000-000076040000}"/>
    <hyperlink ref="R266" r:id="rId1136" xr:uid="{00000000-0004-0000-0000-000077040000}"/>
    <hyperlink ref="R301" r:id="rId1137" xr:uid="{00000000-0004-0000-0000-000078040000}"/>
    <hyperlink ref="R658" r:id="rId1138" xr:uid="{00000000-0004-0000-0000-000079040000}"/>
    <hyperlink ref="R391" r:id="rId1139" xr:uid="{00000000-0004-0000-0000-00007A040000}"/>
    <hyperlink ref="R248" r:id="rId1140" xr:uid="{00000000-0004-0000-0000-00007B040000}"/>
    <hyperlink ref="R135" r:id="rId1141" xr:uid="{00000000-0004-0000-0000-00007C040000}"/>
    <hyperlink ref="R318" r:id="rId1142" xr:uid="{00000000-0004-0000-0000-00007D040000}"/>
    <hyperlink ref="R397" r:id="rId1143" xr:uid="{00000000-0004-0000-0000-00007E040000}"/>
    <hyperlink ref="R586" r:id="rId1144" xr:uid="{00000000-0004-0000-0000-00007F040000}"/>
    <hyperlink ref="R585" r:id="rId1145" xr:uid="{00000000-0004-0000-0000-000080040000}"/>
    <hyperlink ref="R657" r:id="rId1146" xr:uid="{00000000-0004-0000-0000-000081040000}"/>
    <hyperlink ref="R504" r:id="rId1147" xr:uid="{00000000-0004-0000-0000-000082040000}"/>
    <hyperlink ref="R769" r:id="rId1148" xr:uid="{00000000-0004-0000-0000-000083040000}"/>
    <hyperlink ref="R768" r:id="rId1149" xr:uid="{00000000-0004-0000-0000-000084040000}"/>
    <hyperlink ref="R767" r:id="rId1150" xr:uid="{00000000-0004-0000-0000-000085040000}"/>
    <hyperlink ref="R485" r:id="rId1151" xr:uid="{00000000-0004-0000-0000-000086040000}"/>
    <hyperlink ref="R486" r:id="rId1152" xr:uid="{00000000-0004-0000-0000-000087040000}"/>
    <hyperlink ref="R477" r:id="rId1153" xr:uid="{00000000-0004-0000-0000-000088040000}"/>
    <hyperlink ref="R183" r:id="rId1154" xr:uid="{00000000-0004-0000-0000-000089040000}"/>
    <hyperlink ref="R118" r:id="rId1155" xr:uid="{00000000-0004-0000-0000-00008A040000}"/>
    <hyperlink ref="R110" r:id="rId1156" xr:uid="{00000000-0004-0000-0000-00008B040000}"/>
    <hyperlink ref="R19" r:id="rId1157" xr:uid="{00000000-0004-0000-0000-00008C040000}"/>
    <hyperlink ref="R766" r:id="rId1158" xr:uid="{00000000-0004-0000-0000-00008D040000}"/>
    <hyperlink ref="R765" r:id="rId1159" xr:uid="{00000000-0004-0000-0000-00008E040000}"/>
    <hyperlink ref="R764" r:id="rId1160" xr:uid="{00000000-0004-0000-0000-00008F040000}"/>
    <hyperlink ref="R763" r:id="rId1161" xr:uid="{00000000-0004-0000-0000-000090040000}"/>
    <hyperlink ref="R762" r:id="rId1162" xr:uid="{00000000-0004-0000-0000-000091040000}"/>
    <hyperlink ref="R750" r:id="rId1163" xr:uid="{00000000-0004-0000-0000-000092040000}"/>
    <hyperlink ref="R168" r:id="rId1164" xr:uid="{00000000-0004-0000-0000-000093040000}"/>
    <hyperlink ref="R182" r:id="rId1165" xr:uid="{00000000-0004-0000-0000-000094040000}"/>
    <hyperlink ref="R313" r:id="rId1166" xr:uid="{00000000-0004-0000-0000-000095040000}"/>
    <hyperlink ref="R761" r:id="rId1167" xr:uid="{00000000-0004-0000-0000-000096040000}"/>
    <hyperlink ref="R487" r:id="rId1168" xr:uid="{00000000-0004-0000-0000-000097040000}"/>
    <hyperlink ref="R760" r:id="rId1169" xr:uid="{00000000-0004-0000-0000-000098040000}"/>
    <hyperlink ref="R758" r:id="rId1170" xr:uid="{00000000-0004-0000-0000-000099040000}"/>
    <hyperlink ref="R757" r:id="rId1171" xr:uid="{00000000-0004-0000-0000-00009A040000}"/>
    <hyperlink ref="R755" r:id="rId1172" xr:uid="{00000000-0004-0000-0000-00009B040000}"/>
    <hyperlink ref="R754" r:id="rId1173" xr:uid="{00000000-0004-0000-0000-00009C040000}"/>
    <hyperlink ref="R753" r:id="rId1174" xr:uid="{00000000-0004-0000-0000-00009D040000}"/>
    <hyperlink ref="R752" r:id="rId1175" xr:uid="{00000000-0004-0000-0000-00009E040000}"/>
    <hyperlink ref="R751" r:id="rId1176" xr:uid="{00000000-0004-0000-0000-00009F040000}"/>
    <hyperlink ref="R749" r:id="rId1177" xr:uid="{00000000-0004-0000-0000-0000A0040000}"/>
    <hyperlink ref="R748" r:id="rId1178" xr:uid="{00000000-0004-0000-0000-0000A1040000}"/>
    <hyperlink ref="R747" r:id="rId1179" xr:uid="{00000000-0004-0000-0000-0000A2040000}"/>
    <hyperlink ref="R746" r:id="rId1180" xr:uid="{00000000-0004-0000-0000-0000A3040000}"/>
    <hyperlink ref="R745" r:id="rId1181" xr:uid="{00000000-0004-0000-0000-0000A4040000}"/>
    <hyperlink ref="R744" r:id="rId1182" xr:uid="{00000000-0004-0000-0000-0000A5040000}"/>
    <hyperlink ref="R112" r:id="rId1183" xr:uid="{00000000-0004-0000-0000-0000A6040000}"/>
    <hyperlink ref="R743" r:id="rId1184" xr:uid="{00000000-0004-0000-0000-0000A7040000}"/>
    <hyperlink ref="R741" r:id="rId1185" xr:uid="{00000000-0004-0000-0000-0000A8040000}"/>
    <hyperlink ref="R740" r:id="rId1186" xr:uid="{00000000-0004-0000-0000-0000A9040000}"/>
    <hyperlink ref="R739" r:id="rId1187" xr:uid="{00000000-0004-0000-0000-0000AA040000}"/>
    <hyperlink ref="R738" r:id="rId1188" xr:uid="{00000000-0004-0000-0000-0000AB040000}"/>
    <hyperlink ref="R737" r:id="rId1189" xr:uid="{00000000-0004-0000-0000-0000AC040000}"/>
    <hyperlink ref="R736" r:id="rId1190" xr:uid="{00000000-0004-0000-0000-0000AD040000}"/>
    <hyperlink ref="R735" r:id="rId1191" xr:uid="{00000000-0004-0000-0000-0000AE040000}"/>
    <hyperlink ref="R23" r:id="rId1192" xr:uid="{00000000-0004-0000-0000-0000AF040000}"/>
    <hyperlink ref="R734" r:id="rId1193" xr:uid="{00000000-0004-0000-0000-0000B0040000}"/>
    <hyperlink ref="R170" r:id="rId1194" xr:uid="{00000000-0004-0000-0000-0000B1040000}"/>
    <hyperlink ref="R191" r:id="rId1195" xr:uid="{00000000-0004-0000-0000-0000B2040000}"/>
    <hyperlink ref="R733" r:id="rId1196" xr:uid="{00000000-0004-0000-0000-0000B3040000}"/>
    <hyperlink ref="R693" r:id="rId1197" xr:uid="{00000000-0004-0000-0000-0000B4040000}"/>
    <hyperlink ref="R729" r:id="rId1198" xr:uid="{00000000-0004-0000-0000-0000B5040000}"/>
    <hyperlink ref="R728" r:id="rId1199" xr:uid="{00000000-0004-0000-0000-0000B6040000}"/>
    <hyperlink ref="R727" r:id="rId1200" display="residencialidosos@hotmail.com" xr:uid="{00000000-0004-0000-0000-0000B7040000}"/>
    <hyperlink ref="R726" r:id="rId1201" xr:uid="{00000000-0004-0000-0000-0000B8040000}"/>
    <hyperlink ref="R96" r:id="rId1202" xr:uid="{00000000-0004-0000-0000-0000B9040000}"/>
    <hyperlink ref="R725" r:id="rId1203" xr:uid="{00000000-0004-0000-0000-0000BA040000}"/>
    <hyperlink ref="R724" r:id="rId1204" xr:uid="{00000000-0004-0000-0000-0000BB040000}"/>
    <hyperlink ref="R723" r:id="rId1205" xr:uid="{00000000-0004-0000-0000-0000BC040000}"/>
    <hyperlink ref="R722" r:id="rId1206" xr:uid="{00000000-0004-0000-0000-0000BD040000}"/>
    <hyperlink ref="R83" r:id="rId1207" xr:uid="{00000000-0004-0000-0000-0000BE040000}"/>
    <hyperlink ref="R126" r:id="rId1208" xr:uid="{00000000-0004-0000-0000-0000BF040000}"/>
    <hyperlink ref="R721" r:id="rId1209" xr:uid="{00000000-0004-0000-0000-0000C0040000}"/>
    <hyperlink ref="R720" r:id="rId1210" xr:uid="{00000000-0004-0000-0000-0000C1040000}"/>
    <hyperlink ref="R719" r:id="rId1211" xr:uid="{00000000-0004-0000-0000-0000C2040000}"/>
    <hyperlink ref="R718" r:id="rId1212" xr:uid="{00000000-0004-0000-0000-0000C3040000}"/>
    <hyperlink ref="R249" r:id="rId1213" xr:uid="{00000000-0004-0000-0000-0000C4040000}"/>
    <hyperlink ref="R717" r:id="rId1214" xr:uid="{00000000-0004-0000-0000-0000C5040000}"/>
    <hyperlink ref="R716" r:id="rId1215" xr:uid="{00000000-0004-0000-0000-0000C6040000}"/>
    <hyperlink ref="R399" r:id="rId1216" xr:uid="{00000000-0004-0000-0000-0000C7040000}"/>
    <hyperlink ref="R297" r:id="rId1217" xr:uid="{00000000-0004-0000-0000-0000C8040000}"/>
    <hyperlink ref="R715" r:id="rId1218" xr:uid="{00000000-0004-0000-0000-0000C9040000}"/>
    <hyperlink ref="R714" r:id="rId1219" xr:uid="{00000000-0004-0000-0000-0000CA040000}"/>
    <hyperlink ref="R713" r:id="rId1220" xr:uid="{00000000-0004-0000-0000-0000CB040000}"/>
    <hyperlink ref="R365" r:id="rId1221" xr:uid="{00000000-0004-0000-0000-0000CC040000}"/>
    <hyperlink ref="R196" r:id="rId1222" xr:uid="{00000000-0004-0000-0000-0000CD040000}"/>
    <hyperlink ref="R712" r:id="rId1223" xr:uid="{00000000-0004-0000-0000-0000CE040000}"/>
    <hyperlink ref="R711" r:id="rId1224" xr:uid="{00000000-0004-0000-0000-0000CF040000}"/>
    <hyperlink ref="R708" r:id="rId1225" xr:uid="{00000000-0004-0000-0000-0000D0040000}"/>
    <hyperlink ref="R709" r:id="rId1226" xr:uid="{00000000-0004-0000-0000-0000D1040000}"/>
    <hyperlink ref="R710" r:id="rId1227" xr:uid="{00000000-0004-0000-0000-0000D2040000}"/>
    <hyperlink ref="R707" r:id="rId1228" xr:uid="{00000000-0004-0000-0000-0000D3040000}"/>
    <hyperlink ref="R119" r:id="rId1229" xr:uid="{00000000-0004-0000-0000-0000D4040000}"/>
    <hyperlink ref="R127" r:id="rId1230" xr:uid="{00000000-0004-0000-0000-0000D5040000}"/>
    <hyperlink ref="R705" r:id="rId1231" xr:uid="{00000000-0004-0000-0000-0000D6040000}"/>
    <hyperlink ref="R704" r:id="rId1232" xr:uid="{00000000-0004-0000-0000-0000D7040000}"/>
    <hyperlink ref="R703" r:id="rId1233" xr:uid="{00000000-0004-0000-0000-0000D8040000}"/>
    <hyperlink ref="R702" r:id="rId1234" xr:uid="{00000000-0004-0000-0000-0000D9040000}"/>
    <hyperlink ref="R701" r:id="rId1235" xr:uid="{00000000-0004-0000-0000-0000DA040000}"/>
    <hyperlink ref="R700" r:id="rId1236" xr:uid="{00000000-0004-0000-0000-0000DB040000}"/>
    <hyperlink ref="R699" r:id="rId1237" xr:uid="{00000000-0004-0000-0000-0000DC040000}"/>
    <hyperlink ref="R697" r:id="rId1238" xr:uid="{00000000-0004-0000-0000-0000DD040000}"/>
    <hyperlink ref="R166" r:id="rId1239" xr:uid="{00000000-0004-0000-0000-0000DE040000}"/>
    <hyperlink ref="R692" r:id="rId1240" xr:uid="{00000000-0004-0000-0000-0000DF040000}"/>
    <hyperlink ref="R691" r:id="rId1241" xr:uid="{00000000-0004-0000-0000-0000E0040000}"/>
    <hyperlink ref="R690" r:id="rId1242" xr:uid="{00000000-0004-0000-0000-0000E1040000}"/>
    <hyperlink ref="R284" r:id="rId1243" xr:uid="{00000000-0004-0000-0000-0000E2040000}"/>
    <hyperlink ref="R685" r:id="rId1244" xr:uid="{00000000-0004-0000-0000-0000E3040000}"/>
    <hyperlink ref="R161" r:id="rId1245" xr:uid="{00000000-0004-0000-0000-0000E4040000}"/>
    <hyperlink ref="R312" r:id="rId1246" xr:uid="{00000000-0004-0000-0000-0000E5040000}"/>
    <hyperlink ref="R311" r:id="rId1247" xr:uid="{00000000-0004-0000-0000-0000E6040000}"/>
    <hyperlink ref="R160" r:id="rId1248" xr:uid="{00000000-0004-0000-0000-0000E7040000}"/>
    <hyperlink ref="R165" r:id="rId1249" xr:uid="{00000000-0004-0000-0000-0000E8040000}"/>
    <hyperlink ref="R683" r:id="rId1250" xr:uid="{00000000-0004-0000-0000-0000E9040000}"/>
    <hyperlink ref="R682" r:id="rId1251" xr:uid="{00000000-0004-0000-0000-0000EA040000}"/>
    <hyperlink ref="R681" r:id="rId1252" xr:uid="{00000000-0004-0000-0000-0000EB040000}"/>
    <hyperlink ref="R71" r:id="rId1253" xr:uid="{00000000-0004-0000-0000-0000EC040000}"/>
    <hyperlink ref="R679" r:id="rId1254" xr:uid="{00000000-0004-0000-0000-0000ED040000}"/>
    <hyperlink ref="R58" r:id="rId1255" xr:uid="{00000000-0004-0000-0000-0000EE040000}"/>
    <hyperlink ref="R57" r:id="rId1256" xr:uid="{00000000-0004-0000-0000-0000EF040000}"/>
    <hyperlink ref="R678" r:id="rId1257" xr:uid="{00000000-0004-0000-0000-0000F0040000}"/>
    <hyperlink ref="R676" r:id="rId1258" xr:uid="{00000000-0004-0000-0000-0000F1040000}"/>
    <hyperlink ref="R675" r:id="rId1259" xr:uid="{00000000-0004-0000-0000-0000F2040000}"/>
    <hyperlink ref="R674" r:id="rId1260" display="tatuape@tercadaserra.com.br" xr:uid="{00000000-0004-0000-0000-0000F3040000}"/>
    <hyperlink ref="R152" r:id="rId1261" xr:uid="{00000000-0004-0000-0000-0000F4040000}"/>
    <hyperlink ref="R374" r:id="rId1262" xr:uid="{00000000-0004-0000-0000-0000F5040000}"/>
    <hyperlink ref="R673" r:id="rId1263" xr:uid="{00000000-0004-0000-0000-0000F6040000}"/>
    <hyperlink ref="R672" r:id="rId1264" xr:uid="{00000000-0004-0000-0000-0000F7040000}"/>
    <hyperlink ref="R671" r:id="rId1265" xr:uid="{00000000-0004-0000-0000-0000F8040000}"/>
    <hyperlink ref="R670" r:id="rId1266" xr:uid="{00000000-0004-0000-0000-0000F9040000}"/>
    <hyperlink ref="R662" r:id="rId1267" xr:uid="{00000000-0004-0000-0000-0000FA040000}"/>
    <hyperlink ref="R660" r:id="rId1268" xr:uid="{00000000-0004-0000-0000-0000FB040000}"/>
    <hyperlink ref="R656" r:id="rId1269" xr:uid="{00000000-0004-0000-0000-0000FC040000}"/>
    <hyperlink ref="R207" r:id="rId1270" xr:uid="{00000000-0004-0000-0000-0000FD040000}"/>
    <hyperlink ref="R210" r:id="rId1271" xr:uid="{00000000-0004-0000-0000-0000FE040000}"/>
    <hyperlink ref="R279" r:id="rId1272" xr:uid="{00000000-0004-0000-0000-0000FF040000}"/>
    <hyperlink ref="R346" r:id="rId1273" xr:uid="{00000000-0004-0000-0000-000000050000}"/>
    <hyperlink ref="R345" r:id="rId1274" xr:uid="{00000000-0004-0000-0000-000001050000}"/>
    <hyperlink ref="R655" r:id="rId1275" xr:uid="{00000000-0004-0000-0000-000002050000}"/>
    <hyperlink ref="R654" r:id="rId1276" xr:uid="{00000000-0004-0000-0000-000003050000}"/>
    <hyperlink ref="R652" r:id="rId1277" xr:uid="{00000000-0004-0000-0000-000004050000}"/>
    <hyperlink ref="R651" r:id="rId1278" xr:uid="{00000000-0004-0000-0000-000005050000}"/>
    <hyperlink ref="R649" r:id="rId1279" xr:uid="{00000000-0004-0000-0000-000006050000}"/>
    <hyperlink ref="R223" r:id="rId1280" xr:uid="{00000000-0004-0000-0000-000007050000}"/>
    <hyperlink ref="R647" r:id="rId1281" xr:uid="{00000000-0004-0000-0000-000008050000}"/>
    <hyperlink ref="R635" r:id="rId1282" xr:uid="{00000000-0004-0000-0000-000009050000}"/>
    <hyperlink ref="R634" r:id="rId1283" xr:uid="{00000000-0004-0000-0000-00000A050000}"/>
    <hyperlink ref="R633" r:id="rId1284" xr:uid="{00000000-0004-0000-0000-00000B050000}"/>
    <hyperlink ref="R632" r:id="rId1285" xr:uid="{00000000-0004-0000-0000-00000C050000}"/>
    <hyperlink ref="R631" r:id="rId1286" xr:uid="{00000000-0004-0000-0000-00000D050000}"/>
    <hyperlink ref="R629" r:id="rId1287" xr:uid="{00000000-0004-0000-0000-00000E050000}"/>
    <hyperlink ref="R627" r:id="rId1288" xr:uid="{00000000-0004-0000-0000-00000F050000}"/>
    <hyperlink ref="R636" r:id="rId1289" xr:uid="{00000000-0004-0000-0000-000010050000}"/>
    <hyperlink ref="R646" r:id="rId1290" xr:uid="{00000000-0004-0000-0000-000011050000}"/>
    <hyperlink ref="R645" r:id="rId1291" xr:uid="{00000000-0004-0000-0000-000012050000}"/>
    <hyperlink ref="R178" r:id="rId1292" xr:uid="{00000000-0004-0000-0000-000013050000}"/>
    <hyperlink ref="R644" r:id="rId1293" xr:uid="{00000000-0004-0000-0000-000014050000}"/>
    <hyperlink ref="R643" r:id="rId1294" xr:uid="{00000000-0004-0000-0000-000015050000}"/>
    <hyperlink ref="R295" r:id="rId1295" xr:uid="{00000000-0004-0000-0000-000016050000}"/>
    <hyperlink ref="R642" r:id="rId1296" xr:uid="{00000000-0004-0000-0000-000017050000}"/>
    <hyperlink ref="R641" r:id="rId1297" xr:uid="{00000000-0004-0000-0000-000018050000}"/>
    <hyperlink ref="R243" r:id="rId1298" xr:uid="{00000000-0004-0000-0000-000019050000}"/>
    <hyperlink ref="R239" r:id="rId1299" xr:uid="{00000000-0004-0000-0000-00001A050000}"/>
    <hyperlink ref="R639" r:id="rId1300" xr:uid="{00000000-0004-0000-0000-00001B050000}"/>
    <hyperlink ref="R131" r:id="rId1301" xr:uid="{00000000-0004-0000-0000-00001C050000}"/>
    <hyperlink ref="R638" r:id="rId1302" xr:uid="{00000000-0004-0000-0000-00001D050000}"/>
    <hyperlink ref="R637" r:id="rId1303" xr:uid="{00000000-0004-0000-0000-00001E050000}"/>
    <hyperlink ref="R619" r:id="rId1304" xr:uid="{00000000-0004-0000-0000-00001F050000}"/>
    <hyperlink ref="R618" r:id="rId1305" xr:uid="{00000000-0004-0000-0000-000020050000}"/>
    <hyperlink ref="R617" r:id="rId1306" xr:uid="{00000000-0004-0000-0000-000021050000}"/>
    <hyperlink ref="R616" r:id="rId1307" xr:uid="{00000000-0004-0000-0000-000022050000}"/>
    <hyperlink ref="R615" r:id="rId1308" xr:uid="{00000000-0004-0000-0000-000023050000}"/>
    <hyperlink ref="R614" r:id="rId1309" xr:uid="{00000000-0004-0000-0000-000024050000}"/>
    <hyperlink ref="R613" r:id="rId1310" xr:uid="{00000000-0004-0000-0000-000025050000}"/>
    <hyperlink ref="R281" r:id="rId1311" xr:uid="{00000000-0004-0000-0000-000026050000}"/>
    <hyperlink ref="R626" r:id="rId1312" xr:uid="{00000000-0004-0000-0000-000027050000}"/>
    <hyperlink ref="R625" r:id="rId1313" xr:uid="{00000000-0004-0000-0000-000028050000}"/>
    <hyperlink ref="R624" r:id="rId1314" xr:uid="{00000000-0004-0000-0000-000029050000}"/>
    <hyperlink ref="R623" r:id="rId1315" xr:uid="{00000000-0004-0000-0000-00002A050000}"/>
    <hyperlink ref="R622" r:id="rId1316" xr:uid="{00000000-0004-0000-0000-00002B050000}"/>
    <hyperlink ref="R621" r:id="rId1317" xr:uid="{00000000-0004-0000-0000-00002C050000}"/>
    <hyperlink ref="R620" r:id="rId1318" xr:uid="{00000000-0004-0000-0000-00002D050000}"/>
    <hyperlink ref="R275" r:id="rId1319" xr:uid="{00000000-0004-0000-0000-00002E050000}"/>
    <hyperlink ref="R81" r:id="rId1320" xr:uid="{00000000-0004-0000-0000-00002F050000}"/>
    <hyperlink ref="R203" r:id="rId1321" xr:uid="{00000000-0004-0000-0000-000030050000}"/>
    <hyperlink ref="R103" r:id="rId1322" xr:uid="{00000000-0004-0000-0000-000031050000}"/>
    <hyperlink ref="R16" r:id="rId1323" xr:uid="{00000000-0004-0000-0000-000032050000}"/>
    <hyperlink ref="R120" r:id="rId1324" xr:uid="{00000000-0004-0000-0000-000033050000}"/>
    <hyperlink ref="R600" r:id="rId1325" xr:uid="{00000000-0004-0000-0000-000034050000}"/>
    <hyperlink ref="R597" r:id="rId1326" xr:uid="{00000000-0004-0000-0000-000035050000}"/>
    <hyperlink ref="R596" r:id="rId1327" xr:uid="{00000000-0004-0000-0000-000036050000}"/>
    <hyperlink ref="R595" r:id="rId1328" xr:uid="{00000000-0004-0000-0000-000037050000}"/>
    <hyperlink ref="R594" r:id="rId1329" xr:uid="{00000000-0004-0000-0000-000038050000}"/>
    <hyperlink ref="R593" r:id="rId1330" xr:uid="{00000000-0004-0000-0000-000039050000}"/>
    <hyperlink ref="R588" r:id="rId1331" xr:uid="{00000000-0004-0000-0000-00003A050000}"/>
    <hyperlink ref="R584" r:id="rId1332" xr:uid="{00000000-0004-0000-0000-00003B050000}"/>
    <hyperlink ref="R583" r:id="rId1333" xr:uid="{00000000-0004-0000-0000-00003C050000}"/>
    <hyperlink ref="R582" r:id="rId1334" xr:uid="{00000000-0004-0000-0000-00003D050000}"/>
    <hyperlink ref="R581" r:id="rId1335" xr:uid="{00000000-0004-0000-0000-00003E050000}"/>
    <hyperlink ref="R580" r:id="rId1336" xr:uid="{00000000-0004-0000-0000-00003F050000}"/>
    <hyperlink ref="R287" r:id="rId1337" xr:uid="{00000000-0004-0000-0000-000040050000}"/>
    <hyperlink ref="R609" r:id="rId1338" xr:uid="{00000000-0004-0000-0000-000041050000}"/>
    <hyperlink ref="R608" r:id="rId1339" xr:uid="{00000000-0004-0000-0000-000042050000}"/>
    <hyperlink ref="R607" r:id="rId1340" xr:uid="{00000000-0004-0000-0000-000043050000}"/>
    <hyperlink ref="R606" r:id="rId1341" xr:uid="{00000000-0004-0000-0000-000044050000}"/>
    <hyperlink ref="R605" r:id="rId1342" xr:uid="{00000000-0004-0000-0000-000045050000}"/>
    <hyperlink ref="R604" r:id="rId1343" xr:uid="{00000000-0004-0000-0000-000046050000}"/>
    <hyperlink ref="R603" r:id="rId1344" xr:uid="{00000000-0004-0000-0000-000047050000}"/>
    <hyperlink ref="R602" r:id="rId1345" xr:uid="{00000000-0004-0000-0000-000048050000}"/>
    <hyperlink ref="R503" r:id="rId1346" xr:uid="{00000000-0004-0000-0000-000049050000}"/>
    <hyperlink ref="R534" r:id="rId1347" xr:uid="{00000000-0004-0000-0000-00004A050000}"/>
    <hyperlink ref="R492" r:id="rId1348" xr:uid="{00000000-0004-0000-0000-00004B050000}"/>
    <hyperlink ref="R493" r:id="rId1349" xr:uid="{00000000-0004-0000-0000-00004C050000}"/>
    <hyperlink ref="R494" r:id="rId1350" xr:uid="{00000000-0004-0000-0000-00004D050000}"/>
    <hyperlink ref="R495" r:id="rId1351" xr:uid="{00000000-0004-0000-0000-00004E050000}"/>
    <hyperlink ref="R498" r:id="rId1352" xr:uid="{00000000-0004-0000-0000-00004F050000}"/>
    <hyperlink ref="R499" r:id="rId1353" xr:uid="{00000000-0004-0000-0000-000050050000}"/>
    <hyperlink ref="R500" r:id="rId1354" xr:uid="{00000000-0004-0000-0000-000051050000}"/>
    <hyperlink ref="R501" r:id="rId1355" xr:uid="{00000000-0004-0000-0000-000052050000}"/>
    <hyperlink ref="R502" r:id="rId1356" xr:uid="{00000000-0004-0000-0000-000053050000}"/>
    <hyperlink ref="R505" r:id="rId1357" xr:uid="{00000000-0004-0000-0000-000054050000}"/>
    <hyperlink ref="R506" r:id="rId1358" xr:uid="{00000000-0004-0000-0000-000055050000}"/>
    <hyperlink ref="R507" r:id="rId1359" xr:uid="{00000000-0004-0000-0000-000056050000}"/>
    <hyperlink ref="R508" r:id="rId1360" xr:uid="{00000000-0004-0000-0000-000057050000}"/>
    <hyperlink ref="R510" r:id="rId1361" xr:uid="{00000000-0004-0000-0000-000058050000}"/>
    <hyperlink ref="R512" r:id="rId1362" xr:uid="{00000000-0004-0000-0000-000059050000}"/>
    <hyperlink ref="R513" r:id="rId1363" xr:uid="{00000000-0004-0000-0000-00005A050000}"/>
    <hyperlink ref="R517" r:id="rId1364" xr:uid="{00000000-0004-0000-0000-00005B050000}"/>
    <hyperlink ref="R519" r:id="rId1365" xr:uid="{00000000-0004-0000-0000-00005C050000}"/>
    <hyperlink ref="R56" r:id="rId1366" xr:uid="{00000000-0004-0000-0000-00005D050000}"/>
    <hyperlink ref="R45" r:id="rId1367" xr:uid="{00000000-0004-0000-0000-00005E050000}"/>
    <hyperlink ref="R54" r:id="rId1368" xr:uid="{00000000-0004-0000-0000-00005F050000}"/>
    <hyperlink ref="R55" r:id="rId1369" xr:uid="{00000000-0004-0000-0000-000060050000}"/>
    <hyperlink ref="R759" r:id="rId1370" xr:uid="{00000000-0004-0000-0000-000061050000}"/>
    <hyperlink ref="S759" r:id="rId1371" xr:uid="{00000000-0004-0000-0000-000062050000}"/>
    <hyperlink ref="R1108" r:id="rId1372" xr:uid="{00000000-0004-0000-0000-000063050000}"/>
    <hyperlink ref="R1109" r:id="rId1373" xr:uid="{00000000-0004-0000-0000-000064050000}"/>
    <hyperlink ref="R1110" r:id="rId1374" xr:uid="{00000000-0004-0000-0000-000065050000}"/>
    <hyperlink ref="R969" r:id="rId1375" xr:uid="{00000000-0004-0000-0000-000066050000}"/>
    <hyperlink ref="S968" r:id="rId1376" xr:uid="{00000000-0004-0000-0000-000067050000}"/>
    <hyperlink ref="S969" r:id="rId1377" xr:uid="{00000000-0004-0000-0000-000068050000}"/>
    <hyperlink ref="R1111" r:id="rId1378" xr:uid="{00000000-0004-0000-0000-000069050000}"/>
    <hyperlink ref="R650" r:id="rId1379" xr:uid="{00000000-0004-0000-0000-00006A050000}"/>
    <hyperlink ref="R1112" r:id="rId1380" xr:uid="{00000000-0004-0000-0000-00006B050000}"/>
    <hyperlink ref="S1112" r:id="rId1381" xr:uid="{00000000-0004-0000-0000-00006C050000}"/>
    <hyperlink ref="R831" r:id="rId1382" xr:uid="{00000000-0004-0000-0000-00006D050000}"/>
    <hyperlink ref="R1114" r:id="rId1383" xr:uid="{00000000-0004-0000-0000-00006E050000}"/>
    <hyperlink ref="R1115" r:id="rId1384" xr:uid="{00000000-0004-0000-0000-00006F050000}"/>
    <hyperlink ref="R1116" r:id="rId1385" xr:uid="{00000000-0004-0000-0000-000070050000}"/>
    <hyperlink ref="R1117" r:id="rId1386" xr:uid="{00000000-0004-0000-0000-000071050000}"/>
    <hyperlink ref="R1118" r:id="rId1387" xr:uid="{00000000-0004-0000-0000-000072050000}"/>
    <hyperlink ref="R321" r:id="rId1388" xr:uid="{00000000-0004-0000-0000-000073050000}"/>
    <hyperlink ref="R1119" r:id="rId1389" xr:uid="{00000000-0004-0000-0000-000074050000}"/>
    <hyperlink ref="R1120" r:id="rId1390" xr:uid="{00000000-0004-0000-0000-000075050000}"/>
    <hyperlink ref="R1121" r:id="rId1391" xr:uid="{00000000-0004-0000-0000-000076050000}"/>
    <hyperlink ref="R1122" r:id="rId1392" xr:uid="{00000000-0004-0000-0000-000077050000}"/>
    <hyperlink ref="S1122" r:id="rId1393" xr:uid="{00000000-0004-0000-0000-000078050000}"/>
    <hyperlink ref="R298" r:id="rId1394" xr:uid="{00000000-0004-0000-0000-000079050000}"/>
    <hyperlink ref="R1123" r:id="rId1395" xr:uid="{00000000-0004-0000-0000-00007A050000}"/>
    <hyperlink ref="S41" r:id="rId1396" xr:uid="{00000000-0004-0000-0000-00007B050000}"/>
    <hyperlink ref="R1124" r:id="rId1397" xr:uid="{00000000-0004-0000-0000-00007C050000}"/>
    <hyperlink ref="R1125" r:id="rId1398" xr:uid="{00000000-0004-0000-0000-00007D050000}"/>
    <hyperlink ref="S1125" r:id="rId1399" xr:uid="{00000000-0004-0000-0000-00007E050000}"/>
    <hyperlink ref="R1127" r:id="rId1400" xr:uid="{00000000-0004-0000-0000-00007F050000}"/>
    <hyperlink ref="S24" r:id="rId1401" xr:uid="{00000000-0004-0000-0000-000080050000}"/>
    <hyperlink ref="R43" r:id="rId1402" xr:uid="{00000000-0004-0000-0000-000081050000}"/>
    <hyperlink ref="S43" r:id="rId1403" xr:uid="{00000000-0004-0000-0000-000082050000}"/>
    <hyperlink ref="R1129" r:id="rId1404" xr:uid="{00000000-0004-0000-0000-000083050000}"/>
    <hyperlink ref="R1128" r:id="rId1405" xr:uid="{00000000-0004-0000-0000-000084050000}"/>
    <hyperlink ref="R558" r:id="rId1406" xr:uid="{00000000-0004-0000-0000-000085050000}"/>
    <hyperlink ref="R1131" r:id="rId1407" xr:uid="{00000000-0004-0000-0000-000086050000}"/>
    <hyperlink ref="R1132" r:id="rId1408" xr:uid="{00000000-0004-0000-0000-000087050000}"/>
    <hyperlink ref="R1133" r:id="rId1409" xr:uid="{00000000-0004-0000-0000-000088050000}"/>
    <hyperlink ref="S1133" r:id="rId1410" xr:uid="{00000000-0004-0000-0000-000089050000}"/>
    <hyperlink ref="R1134" r:id="rId1411" xr:uid="{00000000-0004-0000-0000-00008A050000}"/>
    <hyperlink ref="R539" r:id="rId1412" xr:uid="{00000000-0004-0000-0000-00008B050000}"/>
    <hyperlink ref="R435" r:id="rId1413" xr:uid="{00000000-0004-0000-0000-00008C050000}"/>
    <hyperlink ref="R1135" r:id="rId1414" xr:uid="{00000000-0004-0000-0000-00008D050000}"/>
    <hyperlink ref="R1136" r:id="rId1415" xr:uid="{00000000-0004-0000-0000-00008E050000}"/>
    <hyperlink ref="R1137" r:id="rId1416" xr:uid="{00000000-0004-0000-0000-00008F050000}"/>
    <hyperlink ref="S49" r:id="rId1417" xr:uid="{00000000-0004-0000-0000-000090050000}"/>
    <hyperlink ref="S50" r:id="rId1418" xr:uid="{00000000-0004-0000-0000-000091050000}"/>
    <hyperlink ref="R277" r:id="rId1419" xr:uid="{00000000-0004-0000-0000-000092050000}"/>
    <hyperlink ref="R1138" r:id="rId1420" xr:uid="{00000000-0004-0000-0000-000093050000}"/>
    <hyperlink ref="R1139" r:id="rId1421" xr:uid="{00000000-0004-0000-0000-000094050000}"/>
    <hyperlink ref="R1140" r:id="rId1422" xr:uid="{00000000-0004-0000-0000-000095050000}"/>
    <hyperlink ref="S1140" r:id="rId1423" xr:uid="{00000000-0004-0000-0000-000096050000}"/>
    <hyperlink ref="R1141" r:id="rId1424" xr:uid="{00000000-0004-0000-0000-000097050000}"/>
    <hyperlink ref="S1141" r:id="rId1425" xr:uid="{00000000-0004-0000-0000-000098050000}"/>
    <hyperlink ref="R1142" r:id="rId1426" xr:uid="{00000000-0004-0000-0000-000099050000}"/>
    <hyperlink ref="R525" r:id="rId1427" xr:uid="{00000000-0004-0000-0000-00009A050000}"/>
    <hyperlink ref="R1143" r:id="rId1428" xr:uid="{00000000-0004-0000-0000-00009B050000}"/>
    <hyperlink ref="S1143" r:id="rId1429" xr:uid="{00000000-0004-0000-0000-00009C050000}"/>
    <hyperlink ref="R289" r:id="rId1430" xr:uid="{00000000-0004-0000-0000-00009D050000}"/>
    <hyperlink ref="R1144" r:id="rId1431" xr:uid="{00000000-0004-0000-0000-00009E050000}"/>
    <hyperlink ref="R1145" r:id="rId1432" xr:uid="{00000000-0004-0000-0000-00009F050000}"/>
    <hyperlink ref="S1145" r:id="rId1433" xr:uid="{00000000-0004-0000-0000-0000A0050000}"/>
    <hyperlink ref="R1146" r:id="rId1434" xr:uid="{00000000-0004-0000-0000-0000A1050000}"/>
    <hyperlink ref="R970" r:id="rId1435" xr:uid="{00000000-0004-0000-0000-0000A2050000}"/>
    <hyperlink ref="S970" r:id="rId1436" xr:uid="{00000000-0004-0000-0000-0000A3050000}"/>
    <hyperlink ref="R1147" r:id="rId1437" xr:uid="{00000000-0004-0000-0000-0000A4050000}"/>
    <hyperlink ref="S1147" r:id="rId1438" xr:uid="{00000000-0004-0000-0000-0000A5050000}"/>
    <hyperlink ref="S1146" r:id="rId1439" xr:uid="{00000000-0004-0000-0000-0000A6050000}"/>
    <hyperlink ref="R1148" r:id="rId1440" xr:uid="{00000000-0004-0000-0000-0000A7050000}"/>
    <hyperlink ref="S1148" r:id="rId1441" xr:uid="{00000000-0004-0000-0000-0000A8050000}"/>
    <hyperlink ref="R8" r:id="rId1442" xr:uid="{00000000-0004-0000-0000-0000A9050000}"/>
    <hyperlink ref="R188" r:id="rId1443" xr:uid="{00000000-0004-0000-0000-0000AA050000}"/>
    <hyperlink ref="R229" r:id="rId1444" xr:uid="{00000000-0004-0000-0000-0000AB050000}"/>
    <hyperlink ref="S264" r:id="rId1445" xr:uid="{00000000-0004-0000-0000-0000AC050000}"/>
    <hyperlink ref="R265" r:id="rId1446" xr:uid="{00000000-0004-0000-0000-0000AD050000}"/>
    <hyperlink ref="S265" r:id="rId1447" xr:uid="{00000000-0004-0000-0000-0000AE050000}"/>
    <hyperlink ref="R342" r:id="rId1448" xr:uid="{00000000-0004-0000-0000-0000AF050000}"/>
    <hyperlink ref="S342" r:id="rId1449" xr:uid="{00000000-0004-0000-0000-0000B0050000}"/>
    <hyperlink ref="R401" r:id="rId1450" xr:uid="{00000000-0004-0000-0000-0000B1050000}"/>
    <hyperlink ref="R434" r:id="rId1451" xr:uid="{00000000-0004-0000-0000-0000B2050000}"/>
    <hyperlink ref="R1150" r:id="rId1452" xr:uid="{00000000-0004-0000-0000-0000B3050000}"/>
    <hyperlink ref="S1150" r:id="rId1453" xr:uid="{00000000-0004-0000-0000-0000B4050000}"/>
    <hyperlink ref="R269" r:id="rId1454" xr:uid="{00000000-0004-0000-0000-0000B5050000}"/>
    <hyperlink ref="R1151" r:id="rId1455" xr:uid="{00000000-0004-0000-0000-0000B6050000}"/>
    <hyperlink ref="R1153" r:id="rId1456" xr:uid="{00000000-0004-0000-0000-0000B7050000}"/>
    <hyperlink ref="R1154" r:id="rId1457" xr:uid="{00000000-0004-0000-0000-0000B8050000}"/>
    <hyperlink ref="R1155" r:id="rId1458" xr:uid="{00000000-0004-0000-0000-0000B9050000}"/>
    <hyperlink ref="R1156" r:id="rId1459" xr:uid="{00000000-0004-0000-0000-0000BA050000}"/>
    <hyperlink ref="R1157" r:id="rId1460" xr:uid="{00000000-0004-0000-0000-0000BB050000}"/>
    <hyperlink ref="R1158" r:id="rId1461" xr:uid="{00000000-0004-0000-0000-0000BC050000}"/>
    <hyperlink ref="S1158" r:id="rId1462" xr:uid="{00000000-0004-0000-0000-0000BD050000}"/>
    <hyperlink ref="R1160" r:id="rId1463" xr:uid="{00000000-0004-0000-0000-0000BE050000}"/>
    <hyperlink ref="R1161" r:id="rId1464" xr:uid="{00000000-0004-0000-0000-0000BF050000}"/>
    <hyperlink ref="R1162" r:id="rId1465" xr:uid="{00000000-0004-0000-0000-0000C0050000}"/>
    <hyperlink ref="R1163" r:id="rId1466" xr:uid="{00000000-0004-0000-0000-0000C1050000}"/>
    <hyperlink ref="R1165" r:id="rId1467" xr:uid="{00000000-0004-0000-0000-0000C2050000}"/>
    <hyperlink ref="R1166" r:id="rId1468" xr:uid="{00000000-0004-0000-0000-0000C3050000}"/>
    <hyperlink ref="S1166" r:id="rId1469" xr:uid="{00000000-0004-0000-0000-0000C4050000}"/>
    <hyperlink ref="R1167" r:id="rId1470" xr:uid="{00000000-0004-0000-0000-0000C5050000}"/>
    <hyperlink ref="R1168" r:id="rId1471" xr:uid="{00000000-0004-0000-0000-0000C6050000}"/>
    <hyperlink ref="R1169" r:id="rId1472" xr:uid="{00000000-0004-0000-0000-0000C7050000}"/>
    <hyperlink ref="R1170" r:id="rId1473" xr:uid="{00000000-0004-0000-0000-0000C8050000}"/>
    <hyperlink ref="R1171" r:id="rId1474" xr:uid="{00000000-0004-0000-0000-0000C9050000}"/>
    <hyperlink ref="R1052" r:id="rId1475" xr:uid="{00000000-0004-0000-0000-0000CA050000}"/>
    <hyperlink ref="S1052" r:id="rId1476" xr:uid="{00000000-0004-0000-0000-0000CB050000}"/>
    <hyperlink ref="R1172" r:id="rId1477" xr:uid="{00000000-0004-0000-0000-0000CC050000}"/>
    <hyperlink ref="R1173" r:id="rId1478" xr:uid="{00000000-0004-0000-0000-0000CD050000}"/>
    <hyperlink ref="R1174" r:id="rId1479" xr:uid="{00000000-0004-0000-0000-0000CE050000}"/>
    <hyperlink ref="S1174" r:id="rId1480" xr:uid="{00000000-0004-0000-0000-0000CF050000}"/>
    <hyperlink ref="R1175" r:id="rId1481" xr:uid="{00000000-0004-0000-0000-0000D0050000}"/>
    <hyperlink ref="S1175" r:id="rId1482" xr:uid="{00000000-0004-0000-0000-0000D1050000}"/>
    <hyperlink ref="R1176" r:id="rId1483" xr:uid="{00000000-0004-0000-0000-0000D2050000}"/>
    <hyperlink ref="S1176" r:id="rId1484" xr:uid="{00000000-0004-0000-0000-0000D3050000}"/>
    <hyperlink ref="R1177" r:id="rId1485" xr:uid="{00000000-0004-0000-0000-0000D4050000}"/>
    <hyperlink ref="R1178" r:id="rId1486" xr:uid="{00000000-0004-0000-0000-0000D5050000}"/>
    <hyperlink ref="R1179" r:id="rId1487" xr:uid="{00000000-0004-0000-0000-0000D6050000}"/>
    <hyperlink ref="R431" r:id="rId1488" xr:uid="{00000000-0004-0000-0000-0000D7050000}"/>
    <hyperlink ref="R1180" r:id="rId1489" xr:uid="{00000000-0004-0000-0000-0000D8050000}"/>
    <hyperlink ref="S1180" r:id="rId1490" xr:uid="{00000000-0004-0000-0000-0000D9050000}"/>
    <hyperlink ref="R885" r:id="rId1491" xr:uid="{00000000-0004-0000-0000-0000DA050000}"/>
    <hyperlink ref="S885" r:id="rId1492" xr:uid="{00000000-0004-0000-0000-0000DB050000}"/>
    <hyperlink ref="R1181" r:id="rId1493" xr:uid="{00000000-0004-0000-0000-0000DC050000}"/>
    <hyperlink ref="S1181" r:id="rId1494" xr:uid="{00000000-0004-0000-0000-0000DD050000}"/>
    <hyperlink ref="R227" r:id="rId1495" xr:uid="{00000000-0004-0000-0000-0000DE050000}"/>
    <hyperlink ref="R259" r:id="rId1496" xr:uid="{00000000-0004-0000-0000-0000DF050000}"/>
    <hyperlink ref="R1182" r:id="rId1497" xr:uid="{00000000-0004-0000-0000-0000E0050000}"/>
    <hyperlink ref="R1183" r:id="rId1498" xr:uid="{00000000-0004-0000-0000-0000E1050000}"/>
    <hyperlink ref="S1183" r:id="rId1499" xr:uid="{00000000-0004-0000-0000-0000E2050000}"/>
    <hyperlink ref="R85" r:id="rId1500" xr:uid="{00000000-0004-0000-0000-0000E3050000}"/>
    <hyperlink ref="R1184" r:id="rId1501" xr:uid="{00000000-0004-0000-0000-0000E4050000}"/>
    <hyperlink ref="S1184" r:id="rId1502" xr:uid="{00000000-0004-0000-0000-0000E5050000}"/>
    <hyperlink ref="R1185" r:id="rId1503" xr:uid="{00000000-0004-0000-0000-0000E6050000}"/>
    <hyperlink ref="S1185" r:id="rId1504" xr:uid="{00000000-0004-0000-0000-0000E7050000}"/>
    <hyperlink ref="R70" r:id="rId1505" xr:uid="{00000000-0004-0000-0000-0000E8050000}"/>
    <hyperlink ref="S70" r:id="rId1506" xr:uid="{00000000-0004-0000-0000-0000E9050000}"/>
    <hyperlink ref="R73" r:id="rId1507" xr:uid="{00000000-0004-0000-0000-0000EA050000}"/>
    <hyperlink ref="R518" r:id="rId1508" xr:uid="{00000000-0004-0000-0000-0000EB050000}"/>
    <hyperlink ref="S518" r:id="rId1509" xr:uid="{00000000-0004-0000-0000-0000EC050000}"/>
    <hyperlink ref="R1187" r:id="rId1510" xr:uid="{00000000-0004-0000-0000-0000ED050000}"/>
    <hyperlink ref="R879" r:id="rId1511" xr:uid="{00000000-0004-0000-0000-0000EE050000}"/>
    <hyperlink ref="R1188" r:id="rId1512" xr:uid="{00000000-0004-0000-0000-0000EF050000}"/>
    <hyperlink ref="S1188" r:id="rId1513" xr:uid="{00000000-0004-0000-0000-0000F0050000}"/>
    <hyperlink ref="R1189" r:id="rId1514" xr:uid="{00000000-0004-0000-0000-0000F1050000}"/>
    <hyperlink ref="R1190" r:id="rId1515" xr:uid="{00000000-0004-0000-0000-0000F2050000}"/>
    <hyperlink ref="R1191" r:id="rId1516" xr:uid="{00000000-0004-0000-0000-0000F3050000}"/>
    <hyperlink ref="S1191" r:id="rId1517" xr:uid="{00000000-0004-0000-0000-0000F4050000}"/>
    <hyperlink ref="R1192" r:id="rId1518" xr:uid="{00000000-0004-0000-0000-0000F5050000}"/>
    <hyperlink ref="S1192" r:id="rId1519" xr:uid="{00000000-0004-0000-0000-0000F6050000}"/>
    <hyperlink ref="R1193" r:id="rId1520" xr:uid="{00000000-0004-0000-0000-0000F7050000}"/>
    <hyperlink ref="R1194" r:id="rId1521" xr:uid="{00000000-0004-0000-0000-0000F8050000}"/>
    <hyperlink ref="R1195" r:id="rId1522" xr:uid="{00000000-0004-0000-0000-0000F9050000}"/>
    <hyperlink ref="R1196" r:id="rId1523" xr:uid="{00000000-0004-0000-0000-0000FA050000}"/>
    <hyperlink ref="S536" r:id="rId1524" xr:uid="{00000000-0004-0000-0000-0000FB050000}"/>
    <hyperlink ref="R1197" r:id="rId1525" xr:uid="{00000000-0004-0000-0000-0000FC050000}"/>
    <hyperlink ref="S1197" r:id="rId1526" xr:uid="{00000000-0004-0000-0000-0000FD050000}"/>
    <hyperlink ref="R1198" r:id="rId1527" xr:uid="{00000000-0004-0000-0000-0000FE050000}"/>
    <hyperlink ref="S1198" r:id="rId1528" xr:uid="{00000000-0004-0000-0000-0000FF050000}"/>
    <hyperlink ref="R1199" r:id="rId1529" xr:uid="{00000000-0004-0000-0000-000000060000}"/>
    <hyperlink ref="R474" r:id="rId1530" xr:uid="{00000000-0004-0000-0000-000001060000}"/>
    <hyperlink ref="S474" r:id="rId1531" xr:uid="{00000000-0004-0000-0000-000002060000}"/>
    <hyperlink ref="R1200" r:id="rId1532" xr:uid="{00000000-0004-0000-0000-000003060000}"/>
    <hyperlink ref="S1200" r:id="rId1533" xr:uid="{00000000-0004-0000-0000-000004060000}"/>
    <hyperlink ref="R1201" r:id="rId1534" xr:uid="{00000000-0004-0000-0000-000005060000}"/>
    <hyperlink ref="R1202" r:id="rId1535" xr:uid="{00000000-0004-0000-0000-000006060000}"/>
    <hyperlink ref="R317" r:id="rId1536" xr:uid="{00000000-0004-0000-0000-000007060000}"/>
    <hyperlink ref="S495" r:id="rId1537" xr:uid="{00000000-0004-0000-0000-000008060000}"/>
    <hyperlink ref="R496" r:id="rId1538" xr:uid="{00000000-0004-0000-0000-000009060000}"/>
    <hyperlink ref="S496" r:id="rId1539" xr:uid="{00000000-0004-0000-0000-00000A060000}"/>
    <hyperlink ref="R497" r:id="rId1540" xr:uid="{00000000-0004-0000-0000-00000B060000}"/>
    <hyperlink ref="S497" r:id="rId1541" xr:uid="{00000000-0004-0000-0000-00000C060000}"/>
    <hyperlink ref="R695" r:id="rId1542" xr:uid="{00000000-0004-0000-0000-00000D060000}"/>
    <hyperlink ref="S695" r:id="rId1543" xr:uid="{00000000-0004-0000-0000-00000E060000}"/>
    <hyperlink ref="R1203" r:id="rId1544" xr:uid="{00000000-0004-0000-0000-00000F060000}"/>
    <hyperlink ref="R1204" r:id="rId1545" xr:uid="{00000000-0004-0000-0000-000010060000}"/>
    <hyperlink ref="S1204" r:id="rId1546" xr:uid="{00000000-0004-0000-0000-000011060000}"/>
    <hyperlink ref="R1205" r:id="rId1547" xr:uid="{00000000-0004-0000-0000-000012060000}"/>
    <hyperlink ref="R1206" r:id="rId1548" xr:uid="{00000000-0004-0000-0000-000013060000}"/>
    <hyperlink ref="R1207" r:id="rId1549" xr:uid="{00000000-0004-0000-0000-000014060000}"/>
    <hyperlink ref="R834" r:id="rId1550" xr:uid="{00000000-0004-0000-0000-000015060000}"/>
    <hyperlink ref="R433" r:id="rId1551" xr:uid="{00000000-0004-0000-0000-000016060000}"/>
    <hyperlink ref="R343" r:id="rId1552" xr:uid="{00000000-0004-0000-0000-000017060000}"/>
    <hyperlink ref="S343" r:id="rId1553" xr:uid="{00000000-0004-0000-0000-000018060000}"/>
    <hyperlink ref="R531" r:id="rId1554" xr:uid="{00000000-0004-0000-0000-000019060000}"/>
    <hyperlink ref="R540" r:id="rId1555" xr:uid="{00000000-0004-0000-0000-00001A060000}"/>
    <hyperlink ref="R1208" r:id="rId1556" xr:uid="{00000000-0004-0000-0000-00001B060000}"/>
    <hyperlink ref="R1209" r:id="rId1557" xr:uid="{00000000-0004-0000-0000-00001C060000}"/>
    <hyperlink ref="R1210" r:id="rId1558" xr:uid="{00000000-0004-0000-0000-00001D060000}"/>
    <hyperlink ref="R140" r:id="rId1559" xr:uid="{00000000-0004-0000-0000-00001E060000}"/>
    <hyperlink ref="R1211" r:id="rId1560" xr:uid="{00000000-0004-0000-0000-00001F060000}"/>
    <hyperlink ref="S1211" r:id="rId1561" xr:uid="{00000000-0004-0000-0000-000020060000}"/>
    <hyperlink ref="R1212" r:id="rId1562" xr:uid="{00000000-0004-0000-0000-000021060000}"/>
    <hyperlink ref="S1212" r:id="rId1563" xr:uid="{00000000-0004-0000-0000-000022060000}"/>
    <hyperlink ref="R1094" r:id="rId1564" xr:uid="{00000000-0004-0000-0000-000023060000}"/>
    <hyperlink ref="S1094" r:id="rId1565" xr:uid="{00000000-0004-0000-0000-000024060000}"/>
    <hyperlink ref="R1213" r:id="rId1566" xr:uid="{00000000-0004-0000-0000-000025060000}"/>
    <hyperlink ref="S1213" r:id="rId1567" xr:uid="{00000000-0004-0000-0000-000026060000}"/>
    <hyperlink ref="R1214" r:id="rId1568" xr:uid="{00000000-0004-0000-0000-000027060000}"/>
    <hyperlink ref="S1214" r:id="rId1569" xr:uid="{00000000-0004-0000-0000-000028060000}"/>
    <hyperlink ref="R1215" r:id="rId1570" xr:uid="{00000000-0004-0000-0000-000029060000}"/>
    <hyperlink ref="R1216" r:id="rId1571" xr:uid="{00000000-0004-0000-0000-00002A060000}"/>
    <hyperlink ref="R1217" r:id="rId1572" xr:uid="{00000000-0004-0000-0000-00002B060000}"/>
    <hyperlink ref="S1217" r:id="rId1573" xr:uid="{00000000-0004-0000-0000-00002C060000}"/>
    <hyperlink ref="R1218" r:id="rId1574" xr:uid="{00000000-0004-0000-0000-00002D060000}"/>
    <hyperlink ref="S1218" r:id="rId1575" xr:uid="{00000000-0004-0000-0000-00002E060000}"/>
    <hyperlink ref="R550" r:id="rId1576" xr:uid="{00000000-0004-0000-0000-00002F060000}"/>
    <hyperlink ref="R1219" r:id="rId1577" xr:uid="{00000000-0004-0000-0000-000030060000}"/>
    <hyperlink ref="S1219" r:id="rId1578" xr:uid="{00000000-0004-0000-0000-000031060000}"/>
    <hyperlink ref="R1220" r:id="rId1579" xr:uid="{00000000-0004-0000-0000-000032060000}"/>
    <hyperlink ref="R1221" r:id="rId1580" xr:uid="{00000000-0004-0000-0000-000033060000}"/>
    <hyperlink ref="R90" r:id="rId1581" xr:uid="{00000000-0004-0000-0000-000034060000}"/>
    <hyperlink ref="S90" r:id="rId1582" xr:uid="{00000000-0004-0000-0000-000035060000}"/>
    <hyperlink ref="R1222" r:id="rId1583" xr:uid="{00000000-0004-0000-0000-000036060000}"/>
    <hyperlink ref="R1223" r:id="rId1584" xr:uid="{00000000-0004-0000-0000-000037060000}"/>
    <hyperlink ref="S1223" r:id="rId1585" xr:uid="{00000000-0004-0000-0000-000038060000}"/>
    <hyperlink ref="R1224" r:id="rId1586" xr:uid="{00000000-0004-0000-0000-000039060000}"/>
    <hyperlink ref="R412" r:id="rId1587" xr:uid="{00000000-0004-0000-0000-00003A060000}"/>
    <hyperlink ref="S412" r:id="rId1588" xr:uid="{00000000-0004-0000-0000-00003B060000}"/>
    <hyperlink ref="R1225" r:id="rId1589" xr:uid="{00000000-0004-0000-0000-00003C060000}"/>
    <hyperlink ref="S1225" r:id="rId1590" xr:uid="{00000000-0004-0000-0000-00003D060000}"/>
    <hyperlink ref="R490" r:id="rId1591" xr:uid="{00000000-0004-0000-0000-00003E060000}"/>
    <hyperlink ref="R1226" r:id="rId1592" xr:uid="{00000000-0004-0000-0000-00003F060000}"/>
    <hyperlink ref="R225" r:id="rId1593" xr:uid="{00000000-0004-0000-0000-000040060000}"/>
    <hyperlink ref="S225" r:id="rId1594" xr:uid="{00000000-0004-0000-0000-000041060000}"/>
    <hyperlink ref="R1227" r:id="rId1595" xr:uid="{00000000-0004-0000-0000-000042060000}"/>
    <hyperlink ref="R1228" r:id="rId1596" xr:uid="{00000000-0004-0000-0000-000043060000}"/>
    <hyperlink ref="S1228" r:id="rId1597" xr:uid="{00000000-0004-0000-0000-000044060000}"/>
    <hyperlink ref="R276" r:id="rId1598" xr:uid="{00000000-0004-0000-0000-000045060000}"/>
    <hyperlink ref="S276" r:id="rId1599" xr:uid="{00000000-0004-0000-0000-000046060000}"/>
    <hyperlink ref="R1229" r:id="rId1600" xr:uid="{00000000-0004-0000-0000-000047060000}"/>
    <hyperlink ref="S1229" r:id="rId1601" xr:uid="{00000000-0004-0000-0000-000048060000}"/>
    <hyperlink ref="R60" r:id="rId1602" xr:uid="{00000000-0004-0000-0000-000049060000}"/>
    <hyperlink ref="R61" r:id="rId1603" xr:uid="{00000000-0004-0000-0000-00004A060000}"/>
    <hyperlink ref="R1230" r:id="rId1604" xr:uid="{00000000-0004-0000-0000-00004B060000}"/>
    <hyperlink ref="R1231" r:id="rId1605" xr:uid="{00000000-0004-0000-0000-00004C060000}"/>
    <hyperlink ref="S1231" r:id="rId1606" xr:uid="{00000000-0004-0000-0000-00004D060000}"/>
    <hyperlink ref="R1232" r:id="rId1607" xr:uid="{00000000-0004-0000-0000-00004E060000}"/>
    <hyperlink ref="R1233" r:id="rId1608" xr:uid="{00000000-0004-0000-0000-00004F060000}"/>
    <hyperlink ref="S1233" r:id="rId1609" xr:uid="{00000000-0004-0000-0000-000050060000}"/>
    <hyperlink ref="R1234" r:id="rId1610" xr:uid="{00000000-0004-0000-0000-000051060000}"/>
    <hyperlink ref="R591" r:id="rId1611" xr:uid="{00000000-0004-0000-0000-000052060000}"/>
    <hyperlink ref="S591" r:id="rId1612" xr:uid="{00000000-0004-0000-0000-000053060000}"/>
    <hyperlink ref="R592" r:id="rId1613" xr:uid="{00000000-0004-0000-0000-000054060000}"/>
    <hyperlink ref="S592" r:id="rId1614" xr:uid="{00000000-0004-0000-0000-000055060000}"/>
    <hyperlink ref="R979" r:id="rId1615" xr:uid="{00000000-0004-0000-0000-000056060000}"/>
    <hyperlink ref="S979" r:id="rId1616" xr:uid="{00000000-0004-0000-0000-000057060000}"/>
    <hyperlink ref="R1113" r:id="rId1617" xr:uid="{00000000-0004-0000-0000-000058060000}"/>
    <hyperlink ref="S1113" r:id="rId1618" xr:uid="{00000000-0004-0000-0000-000059060000}"/>
    <hyperlink ref="R1235" r:id="rId1619" xr:uid="{00000000-0004-0000-0000-00005A060000}"/>
    <hyperlink ref="S1235" r:id="rId1620" xr:uid="{00000000-0004-0000-0000-00005B060000}"/>
    <hyperlink ref="R1236" r:id="rId1621" xr:uid="{00000000-0004-0000-0000-00005C060000}"/>
    <hyperlink ref="R1237" r:id="rId1622" xr:uid="{00000000-0004-0000-0000-00005D060000}"/>
    <hyperlink ref="R1242" r:id="rId1623" xr:uid="{00000000-0004-0000-0000-00005E060000}"/>
    <hyperlink ref="S1242" r:id="rId1624" xr:uid="{00000000-0004-0000-0000-00005F060000}"/>
    <hyperlink ref="R1243" r:id="rId1625" xr:uid="{00000000-0004-0000-0000-000060060000}"/>
    <hyperlink ref="S1243" r:id="rId1626" xr:uid="{00000000-0004-0000-0000-000061060000}"/>
    <hyperlink ref="R557" r:id="rId1627" xr:uid="{00000000-0004-0000-0000-000062060000}"/>
    <hyperlink ref="R1244" r:id="rId1628" xr:uid="{00000000-0004-0000-0000-000063060000}"/>
    <hyperlink ref="R630" r:id="rId1629" xr:uid="{00000000-0004-0000-0000-000064060000}"/>
    <hyperlink ref="S630" r:id="rId1630" xr:uid="{00000000-0004-0000-0000-000065060000}"/>
    <hyperlink ref="R579" r:id="rId1631" xr:uid="{00000000-0004-0000-0000-000066060000}"/>
    <hyperlink ref="R74" r:id="rId1632" xr:uid="{00000000-0004-0000-0000-000067060000}"/>
    <hyperlink ref="S74" r:id="rId1633" xr:uid="{00000000-0004-0000-0000-000068060000}"/>
    <hyperlink ref="R569" r:id="rId1634" xr:uid="{00000000-0004-0000-0000-000069060000}"/>
    <hyperlink ref="R1245" r:id="rId1635" xr:uid="{00000000-0004-0000-0000-00006A060000}"/>
    <hyperlink ref="R344" r:id="rId1636" xr:uid="{00000000-0004-0000-0000-00006B060000}"/>
    <hyperlink ref="S344" r:id="rId1637" xr:uid="{00000000-0004-0000-0000-00006C060000}"/>
    <hyperlink ref="R303" r:id="rId1638" xr:uid="{00000000-0004-0000-0000-00006D060000}"/>
    <hyperlink ref="R1246" r:id="rId1639" xr:uid="{00000000-0004-0000-0000-00006E060000}"/>
    <hyperlink ref="S1246" r:id="rId1640" xr:uid="{00000000-0004-0000-0000-00006F060000}"/>
    <hyperlink ref="R244" r:id="rId1641" xr:uid="{00000000-0004-0000-0000-000070060000}"/>
    <hyperlink ref="S244" r:id="rId1642" xr:uid="{00000000-0004-0000-0000-000071060000}"/>
    <hyperlink ref="R1247" r:id="rId1643" xr:uid="{00000000-0004-0000-0000-000072060000}"/>
    <hyperlink ref="S1247" r:id="rId1644" xr:uid="{00000000-0004-0000-0000-000073060000}"/>
    <hyperlink ref="R1248" r:id="rId1645" xr:uid="{00000000-0004-0000-0000-000074060000}"/>
    <hyperlink ref="R1249" r:id="rId1646" xr:uid="{00000000-0004-0000-0000-000075060000}"/>
    <hyperlink ref="S1249" r:id="rId1647" xr:uid="{00000000-0004-0000-0000-000076060000}"/>
    <hyperlink ref="R1250" r:id="rId1648" xr:uid="{00000000-0004-0000-0000-000077060000}"/>
    <hyperlink ref="R1251" r:id="rId1649" xr:uid="{00000000-0004-0000-0000-000078060000}"/>
    <hyperlink ref="R1252" r:id="rId1650" xr:uid="{00000000-0004-0000-0000-000079060000}"/>
    <hyperlink ref="R1253" r:id="rId1651" xr:uid="{00000000-0004-0000-0000-00007A060000}"/>
    <hyperlink ref="S1253" r:id="rId1652" xr:uid="{00000000-0004-0000-0000-00007B060000}"/>
    <hyperlink ref="R1254" r:id="rId1653" xr:uid="{00000000-0004-0000-0000-00007C060000}"/>
    <hyperlink ref="S1254" r:id="rId1654" xr:uid="{00000000-0004-0000-0000-00007D060000}"/>
    <hyperlink ref="R1256" r:id="rId1655" xr:uid="{00000000-0004-0000-0000-00007E060000}"/>
    <hyperlink ref="R574" r:id="rId1656" xr:uid="{00000000-0004-0000-0000-00007F060000}"/>
    <hyperlink ref="R1257" r:id="rId1657" xr:uid="{00000000-0004-0000-0000-000080060000}"/>
    <hyperlink ref="S1257" r:id="rId1658" xr:uid="{00000000-0004-0000-0000-000081060000}"/>
    <hyperlink ref="R35" r:id="rId1659" xr:uid="{00000000-0004-0000-0000-000082060000}"/>
    <hyperlink ref="S35" r:id="rId1660" xr:uid="{00000000-0004-0000-0000-000083060000}"/>
    <hyperlink ref="R610" r:id="rId1661" xr:uid="{00000000-0004-0000-0000-000084060000}"/>
    <hyperlink ref="S610" r:id="rId1662" xr:uid="{00000000-0004-0000-0000-000085060000}"/>
    <hyperlink ref="R942" r:id="rId1663" xr:uid="{00000000-0004-0000-0000-000086060000}"/>
    <hyperlink ref="R272" r:id="rId1664" xr:uid="{00000000-0004-0000-0000-000087060000}"/>
    <hyperlink ref="R1258" r:id="rId1665" xr:uid="{00000000-0004-0000-0000-000088060000}"/>
    <hyperlink ref="R270" r:id="rId1666" xr:uid="{00000000-0004-0000-0000-000089060000}"/>
    <hyperlink ref="R271" r:id="rId1667" xr:uid="{00000000-0004-0000-0000-00008A060000}"/>
    <hyperlink ref="R1259" r:id="rId1668" xr:uid="{00000000-0004-0000-0000-00008B060000}"/>
    <hyperlink ref="S1259" r:id="rId1669" xr:uid="{00000000-0004-0000-0000-00008C060000}"/>
    <hyperlink ref="R102" r:id="rId1670" xr:uid="{00000000-0004-0000-0000-00008D060000}"/>
    <hyperlink ref="R1260" r:id="rId1671" xr:uid="{00000000-0004-0000-0000-00008E060000}"/>
    <hyperlink ref="R1261" r:id="rId1672" xr:uid="{00000000-0004-0000-0000-00008F060000}"/>
    <hyperlink ref="R1152" r:id="rId1673" xr:uid="{00000000-0004-0000-0000-000090060000}"/>
    <hyperlink ref="R1159" r:id="rId1674" xr:uid="{00000000-0004-0000-0000-000091060000}"/>
    <hyperlink ref="S1159" r:id="rId1675" xr:uid="{00000000-0004-0000-0000-000092060000}"/>
    <hyperlink ref="R1262" r:id="rId1676" xr:uid="{00000000-0004-0000-0000-000093060000}"/>
    <hyperlink ref="S1262" r:id="rId1677" xr:uid="{00000000-0004-0000-0000-000094060000}"/>
    <hyperlink ref="R1263" r:id="rId1678" xr:uid="{00000000-0004-0000-0000-000095060000}"/>
    <hyperlink ref="S1263" r:id="rId1679" xr:uid="{00000000-0004-0000-0000-000096060000}"/>
    <hyperlink ref="R1264" r:id="rId1680" xr:uid="{00000000-0004-0000-0000-000097060000}"/>
    <hyperlink ref="S1264" r:id="rId1681" xr:uid="{00000000-0004-0000-0000-000098060000}"/>
    <hyperlink ref="R1265" r:id="rId1682" xr:uid="{00000000-0004-0000-0000-000099060000}"/>
    <hyperlink ref="R1266" r:id="rId1683" xr:uid="{00000000-0004-0000-0000-00009A060000}"/>
    <hyperlink ref="R379" r:id="rId1684" xr:uid="{00000000-0004-0000-0000-00009B060000}"/>
    <hyperlink ref="R245" r:id="rId1685" xr:uid="{00000000-0004-0000-0000-00009C060000}"/>
    <hyperlink ref="S245" r:id="rId1686" xr:uid="{00000000-0004-0000-0000-00009D060000}"/>
    <hyperlink ref="R1267" r:id="rId1687" xr:uid="{00000000-0004-0000-0000-00009E060000}"/>
    <hyperlink ref="R1056" r:id="rId1688" xr:uid="{00000000-0004-0000-0000-00009F060000}"/>
    <hyperlink ref="R1268" r:id="rId1689" xr:uid="{00000000-0004-0000-0000-0000A0060000}"/>
    <hyperlink ref="R1269" r:id="rId1690" xr:uid="{00000000-0004-0000-0000-0000A1060000}"/>
    <hyperlink ref="R756" r:id="rId1691" xr:uid="{00000000-0004-0000-0000-0000A2060000}"/>
    <hyperlink ref="R1270" r:id="rId1692" xr:uid="{00000000-0004-0000-0000-0000A3060000}"/>
    <hyperlink ref="S1270" r:id="rId1693" xr:uid="{00000000-0004-0000-0000-0000A4060000}"/>
    <hyperlink ref="R1271" r:id="rId1694" xr:uid="{00000000-0004-0000-0000-0000A5060000}"/>
    <hyperlink ref="R1272" r:id="rId1695" xr:uid="{00000000-0004-0000-0000-0000A6060000}"/>
    <hyperlink ref="R1273" r:id="rId1696" xr:uid="{00000000-0004-0000-0000-0000A7060000}"/>
    <hyperlink ref="R1274" r:id="rId1697" xr:uid="{00000000-0004-0000-0000-0000A8060000}"/>
    <hyperlink ref="R696" r:id="rId1698" xr:uid="{00000000-0004-0000-0000-0000A9060000}"/>
    <hyperlink ref="S696" r:id="rId1699" xr:uid="{00000000-0004-0000-0000-0000AA060000}"/>
    <hyperlink ref="R1275" r:id="rId1700" xr:uid="{00000000-0004-0000-0000-0000AB060000}"/>
    <hyperlink ref="R1276" r:id="rId1701" xr:uid="{00000000-0004-0000-0000-0000AC060000}"/>
    <hyperlink ref="R1277" r:id="rId1702" xr:uid="{00000000-0004-0000-0000-0000AD060000}"/>
    <hyperlink ref="R1278" r:id="rId1703" xr:uid="{00000000-0004-0000-0000-0000AE060000}"/>
    <hyperlink ref="R1048" r:id="rId1704" xr:uid="{00000000-0004-0000-0000-0000AF060000}"/>
    <hyperlink ref="S1048" r:id="rId1705" xr:uid="{00000000-0004-0000-0000-0000B0060000}"/>
    <hyperlink ref="R1279" r:id="rId1706" xr:uid="{00000000-0004-0000-0000-0000B1060000}"/>
    <hyperlink ref="S1279" r:id="rId1707" xr:uid="{00000000-0004-0000-0000-0000B2060000}"/>
    <hyperlink ref="R563" r:id="rId1708" xr:uid="{00000000-0004-0000-0000-0000B3060000}"/>
    <hyperlink ref="R226" r:id="rId1709" xr:uid="{00000000-0004-0000-0000-0000B4060000}"/>
    <hyperlink ref="S226" r:id="rId1710" xr:uid="{00000000-0004-0000-0000-0000B5060000}"/>
    <hyperlink ref="R1281" r:id="rId1711" xr:uid="{00000000-0004-0000-0000-0000B6060000}"/>
    <hyperlink ref="R511" r:id="rId1712" xr:uid="{00000000-0004-0000-0000-0000B7060000}"/>
    <hyperlink ref="R1282" r:id="rId1713" xr:uid="{00000000-0004-0000-0000-0000B8060000}"/>
    <hyperlink ref="R1186" r:id="rId1714" xr:uid="{00000000-0004-0000-0000-0000B9060000}"/>
    <hyperlink ref="S1186" r:id="rId1715" xr:uid="{00000000-0004-0000-0000-0000BA060000}"/>
    <hyperlink ref="R1283" r:id="rId1716" xr:uid="{00000000-0004-0000-0000-0000BB060000}"/>
    <hyperlink ref="S1283" r:id="rId1717" xr:uid="{00000000-0004-0000-0000-0000BC060000}"/>
    <hyperlink ref="R1255" r:id="rId1718" xr:uid="{00000000-0004-0000-0000-0000BD060000}"/>
    <hyperlink ref="S1255" r:id="rId1719" xr:uid="{00000000-0004-0000-0000-0000BE060000}"/>
    <hyperlink ref="R1284" r:id="rId1720" xr:uid="{00000000-0004-0000-0000-0000BF060000}"/>
    <hyperlink ref="R818" r:id="rId1721" xr:uid="{00000000-0004-0000-0000-0000C0060000}"/>
    <hyperlink ref="S818" r:id="rId1722" xr:uid="{00000000-0004-0000-0000-0000C1060000}"/>
    <hyperlink ref="R1164" r:id="rId1723" xr:uid="{00000000-0004-0000-0000-0000C2060000}"/>
    <hyperlink ref="R1285" r:id="rId1724" xr:uid="{00000000-0004-0000-0000-0000C3060000}"/>
    <hyperlink ref="S1285" r:id="rId1725" xr:uid="{00000000-0004-0000-0000-0000C4060000}"/>
    <hyperlink ref="R1286" r:id="rId1726" xr:uid="{00000000-0004-0000-0000-0000C5060000}"/>
    <hyperlink ref="S1286" r:id="rId1727" xr:uid="{00000000-0004-0000-0000-0000C6060000}"/>
    <hyperlink ref="R1287" r:id="rId1728" xr:uid="{00000000-0004-0000-0000-0000C7060000}"/>
    <hyperlink ref="R516" r:id="rId1729" xr:uid="{00000000-0004-0000-0000-0000C8060000}"/>
    <hyperlink ref="S516" r:id="rId1730" xr:uid="{00000000-0004-0000-0000-0000C9060000}"/>
    <hyperlink ref="R598" r:id="rId1731" xr:uid="{00000000-0004-0000-0000-0000CA060000}"/>
    <hyperlink ref="S598" r:id="rId1732" xr:uid="{00000000-0004-0000-0000-0000CB060000}"/>
    <hyperlink ref="R1288" r:id="rId1733" xr:uid="{00000000-0004-0000-0000-0000CC060000}"/>
    <hyperlink ref="R1289" r:id="rId1734" xr:uid="{00000000-0004-0000-0000-0000CD060000}"/>
    <hyperlink ref="R886" r:id="rId1735" xr:uid="{00000000-0004-0000-0000-0000CE060000}"/>
    <hyperlink ref="R1238" r:id="rId1736" xr:uid="{00000000-0004-0000-0000-0000CF060000}"/>
    <hyperlink ref="R1290" r:id="rId1737" xr:uid="{00000000-0004-0000-0000-0000D0060000}"/>
    <hyperlink ref="S1290" r:id="rId1738" xr:uid="{00000000-0004-0000-0000-0000D1060000}"/>
    <hyperlink ref="R1291" r:id="rId1739" xr:uid="{00000000-0004-0000-0000-0000D2060000}"/>
    <hyperlink ref="S1291" r:id="rId1740" xr:uid="{00000000-0004-0000-0000-0000D3060000}"/>
    <hyperlink ref="R1292" r:id="rId1741" xr:uid="{00000000-0004-0000-0000-0000D4060000}"/>
    <hyperlink ref="S1292" r:id="rId1742" xr:uid="{00000000-0004-0000-0000-0000D5060000}"/>
    <hyperlink ref="R1293" r:id="rId1743" xr:uid="{00000000-0004-0000-0000-0000D6060000}"/>
    <hyperlink ref="R6" r:id="rId1744" xr:uid="{00000000-0004-0000-0000-0000D7060000}"/>
    <hyperlink ref="R1294" r:id="rId1745" xr:uid="{00000000-0004-0000-0000-0000D8060000}"/>
    <hyperlink ref="S1294" r:id="rId1746" xr:uid="{00000000-0004-0000-0000-0000D9060000}"/>
    <hyperlink ref="R1295" r:id="rId1747" xr:uid="{00000000-0004-0000-0000-0000DA060000}"/>
    <hyperlink ref="S1295" r:id="rId1748" xr:uid="{00000000-0004-0000-0000-0000DB060000}"/>
    <hyperlink ref="R1296" r:id="rId1749" xr:uid="{00000000-0004-0000-0000-0000DC060000}"/>
    <hyperlink ref="S1296" r:id="rId1750" xr:uid="{00000000-0004-0000-0000-0000DD060000}"/>
    <hyperlink ref="R1297" r:id="rId1751" xr:uid="{00000000-0004-0000-0000-0000DE060000}"/>
    <hyperlink ref="R549" r:id="rId1752" xr:uid="{00000000-0004-0000-0000-0000DF060000}"/>
    <hyperlink ref="R881" r:id="rId1753" xr:uid="{00000000-0004-0000-0000-0000E0060000}"/>
    <hyperlink ref="R1298" r:id="rId1754" xr:uid="{00000000-0004-0000-0000-0000E1060000}"/>
    <hyperlink ref="S1298" r:id="rId1755" xr:uid="{00000000-0004-0000-0000-0000E2060000}"/>
    <hyperlink ref="R1299" r:id="rId1756" xr:uid="{00000000-0004-0000-0000-0000E3060000}"/>
    <hyperlink ref="S1299" r:id="rId1757" xr:uid="{00000000-0004-0000-0000-0000E4060000}"/>
    <hyperlink ref="R1300" r:id="rId1758" xr:uid="{00000000-0004-0000-0000-0000E5060000}"/>
    <hyperlink ref="S1300" r:id="rId1759" xr:uid="{00000000-0004-0000-0000-0000E6060000}"/>
    <hyperlink ref="R1301" r:id="rId1760" xr:uid="{00000000-0004-0000-0000-0000E7060000}"/>
    <hyperlink ref="S1301" r:id="rId1761" xr:uid="{00000000-0004-0000-0000-0000E8060000}"/>
    <hyperlink ref="R648" r:id="rId1762" xr:uid="{00000000-0004-0000-0000-0000E9060000}"/>
    <hyperlink ref="R1302" r:id="rId1763" xr:uid="{00000000-0004-0000-0000-0000EA060000}"/>
    <hyperlink ref="R232" r:id="rId1764" xr:uid="{00000000-0004-0000-0000-0000EB060000}"/>
    <hyperlink ref="R794" r:id="rId1765" xr:uid="{00000000-0004-0000-0000-0000EC060000}"/>
    <hyperlink ref="S794" r:id="rId1766" xr:uid="{00000000-0004-0000-0000-0000ED060000}"/>
    <hyperlink ref="R273" r:id="rId1767" xr:uid="{00000000-0004-0000-0000-0000EE060000}"/>
    <hyperlink ref="R543" r:id="rId1768" xr:uid="{00000000-0004-0000-0000-0000EF060000}"/>
    <hyperlink ref="S543" r:id="rId1769" xr:uid="{00000000-0004-0000-0000-0000F0060000}"/>
    <hyperlink ref="R1303" r:id="rId1770" xr:uid="{00000000-0004-0000-0000-0000F1060000}"/>
    <hyperlink ref="R1304" r:id="rId1771" xr:uid="{00000000-0004-0000-0000-0000F2060000}"/>
    <hyperlink ref="R1305" r:id="rId1772" xr:uid="{00000000-0004-0000-0000-0000F3060000}"/>
    <hyperlink ref="R1239" r:id="rId1773" xr:uid="{00000000-0004-0000-0000-0000F4060000}"/>
    <hyperlink ref="R1306" r:id="rId1774" xr:uid="{00000000-0004-0000-0000-0000F5060000}"/>
    <hyperlink ref="R971" r:id="rId1775" xr:uid="{00000000-0004-0000-0000-0000F6060000}"/>
    <hyperlink ref="S971" r:id="rId1776" xr:uid="{00000000-0004-0000-0000-0000F7060000}"/>
    <hyperlink ref="R1240" r:id="rId1777" xr:uid="{00000000-0004-0000-0000-0000F8060000}"/>
    <hyperlink ref="R1307" r:id="rId1778" xr:uid="{00000000-0004-0000-0000-0000F9060000}"/>
    <hyperlink ref="R532" r:id="rId1779" xr:uid="{00000000-0004-0000-0000-0000FA060000}"/>
    <hyperlink ref="S532" r:id="rId1780" xr:uid="{00000000-0004-0000-0000-0000FB060000}"/>
    <hyperlink ref="R1308" r:id="rId1781" xr:uid="{00000000-0004-0000-0000-0000FC060000}"/>
    <hyperlink ref="S1308" r:id="rId1782" xr:uid="{00000000-0004-0000-0000-0000FD060000}"/>
    <hyperlink ref="R215" r:id="rId1783" xr:uid="{00000000-0004-0000-0000-0000FE060000}"/>
    <hyperlink ref="R1309" r:id="rId1784" xr:uid="{00000000-0004-0000-0000-0000FF060000}"/>
    <hyperlink ref="S1309" r:id="rId1785" xr:uid="{00000000-0004-0000-0000-000000070000}"/>
    <hyperlink ref="R854" r:id="rId1786" xr:uid="{00000000-0004-0000-0000-000001070000}"/>
    <hyperlink ref="S854" r:id="rId1787" xr:uid="{00000000-0004-0000-0000-000002070000}"/>
    <hyperlink ref="R1310" r:id="rId1788" xr:uid="{00000000-0004-0000-0000-000003070000}"/>
    <hyperlink ref="S1310" r:id="rId1789" xr:uid="{00000000-0004-0000-0000-000004070000}"/>
    <hyperlink ref="R1311" r:id="rId1790" xr:uid="{00000000-0004-0000-0000-000005070000}"/>
    <hyperlink ref="S1311" r:id="rId1791" xr:uid="{00000000-0004-0000-0000-000006070000}"/>
    <hyperlink ref="R1312" r:id="rId1792" xr:uid="{00000000-0004-0000-0000-000007070000}"/>
    <hyperlink ref="S1312" r:id="rId1793" xr:uid="{00000000-0004-0000-0000-000008070000}"/>
    <hyperlink ref="R1313" r:id="rId1794" xr:uid="{00000000-0004-0000-0000-000009070000}"/>
    <hyperlink ref="R1241" r:id="rId1795" xr:uid="{00000000-0004-0000-0000-00000A070000}"/>
    <hyperlink ref="R1314" r:id="rId1796" xr:uid="{00000000-0004-0000-0000-00000B070000}"/>
    <hyperlink ref="S1314" r:id="rId1797" xr:uid="{00000000-0004-0000-0000-00000C070000}"/>
    <hyperlink ref="R147" r:id="rId1798" xr:uid="{00000000-0004-0000-0000-00000D070000}"/>
    <hyperlink ref="R1315" r:id="rId1799" xr:uid="{00000000-0004-0000-0000-00000E070000}"/>
    <hyperlink ref="R1316" r:id="rId1800" xr:uid="{00000000-0004-0000-0000-00000F070000}"/>
    <hyperlink ref="R1317" r:id="rId1801" xr:uid="{00000000-0004-0000-0000-000010070000}"/>
    <hyperlink ref="R1318" r:id="rId1802" xr:uid="{00000000-0004-0000-0000-000011070000}"/>
    <hyperlink ref="R322" r:id="rId1803" xr:uid="{00000000-0004-0000-0000-000012070000}"/>
    <hyperlink ref="R1319" r:id="rId1804" xr:uid="{00000000-0004-0000-0000-000013070000}"/>
    <hyperlink ref="S1319" r:id="rId1805" xr:uid="{00000000-0004-0000-0000-000014070000}"/>
    <hyperlink ref="R181" r:id="rId1806" xr:uid="{00000000-0004-0000-0000-000015070000}"/>
    <hyperlink ref="R1320" r:id="rId1807" xr:uid="{00000000-0004-0000-0000-000016070000}"/>
    <hyperlink ref="S709" r:id="rId1808" xr:uid="{00000000-0004-0000-0000-000017070000}"/>
    <hyperlink ref="S728" r:id="rId1809" xr:uid="{00000000-0004-0000-0000-000019070000}"/>
    <hyperlink ref="S727" r:id="rId1810" xr:uid="{00000000-0004-0000-0000-00001A070000}"/>
    <hyperlink ref="S725" r:id="rId1811" xr:uid="{00000000-0004-0000-0000-00001B070000}"/>
    <hyperlink ref="S723" r:id="rId1812" xr:uid="{00000000-0004-0000-0000-00001C070000}"/>
    <hyperlink ref="S720" r:id="rId1813" xr:uid="{00000000-0004-0000-0000-00001D070000}"/>
    <hyperlink ref="S718" r:id="rId1814" xr:uid="{00000000-0004-0000-0000-00001E070000}"/>
    <hyperlink ref="S716" r:id="rId1815" xr:uid="{00000000-0004-0000-0000-00001F070000}"/>
    <hyperlink ref="S730" r:id="rId1816" xr:uid="{00000000-0004-0000-0000-000021070000}"/>
    <hyperlink ref="S731" r:id="rId1817" xr:uid="{00000000-0004-0000-0000-000022070000}"/>
    <hyperlink ref="S732" r:id="rId1818" xr:uid="{00000000-0004-0000-0000-000023070000}"/>
    <hyperlink ref="S736" r:id="rId1819" xr:uid="{00000000-0004-0000-0000-000024070000}"/>
    <hyperlink ref="S734" r:id="rId1820" xr:uid="{00000000-0004-0000-0000-000025070000}"/>
    <hyperlink ref="S710" r:id="rId1821" xr:uid="{00000000-0004-0000-0000-000026070000}"/>
    <hyperlink ref="S733" r:id="rId1822" xr:uid="{00000000-0004-0000-0000-000027070000}"/>
    <hyperlink ref="S729" r:id="rId1823" xr:uid="{00000000-0004-0000-0000-000028070000}"/>
    <hyperlink ref="S724" r:id="rId1824" xr:uid="{00000000-0004-0000-0000-000029070000}"/>
    <hyperlink ref="S719" r:id="rId1825" xr:uid="{00000000-0004-0000-0000-00002A070000}"/>
    <hyperlink ref="S721" r:id="rId1826" xr:uid="{00000000-0004-0000-0000-00002B070000}"/>
    <hyperlink ref="S717" r:id="rId1827" xr:uid="{00000000-0004-0000-0000-00002C070000}"/>
    <hyperlink ref="S715" r:id="rId1828" display="www.residencialmariaejose.com.br" xr:uid="{00000000-0004-0000-0000-00002D070000}"/>
    <hyperlink ref="S713" r:id="rId1829" xr:uid="{00000000-0004-0000-0000-00002E070000}"/>
    <hyperlink ref="S712" r:id="rId1830" xr:uid="{00000000-0004-0000-0000-00002F070000}"/>
    <hyperlink ref="R1321" r:id="rId1831" xr:uid="{00000000-0004-0000-0000-000030070000}"/>
    <hyperlink ref="R1322" r:id="rId1832" xr:uid="{00000000-0004-0000-0000-000031070000}"/>
    <hyperlink ref="R1323" r:id="rId1833" xr:uid="{00000000-0004-0000-0000-000032070000}"/>
    <hyperlink ref="S1323" r:id="rId1834" xr:uid="{00000000-0004-0000-0000-000033070000}"/>
    <hyperlink ref="R1324" r:id="rId1835" xr:uid="{00000000-0004-0000-0000-000034070000}"/>
    <hyperlink ref="R1325" r:id="rId1836" xr:uid="{00000000-0004-0000-0000-000035070000}"/>
    <hyperlink ref="S1325" r:id="rId1837" xr:uid="{00000000-0004-0000-0000-000036070000}"/>
    <hyperlink ref="R1326" r:id="rId1838" xr:uid="{00000000-0004-0000-0000-000037070000}"/>
    <hyperlink ref="R1327" r:id="rId1839" xr:uid="{00000000-0004-0000-0000-000038070000}"/>
    <hyperlink ref="R821" r:id="rId1840" xr:uid="{00000000-0004-0000-0000-000039070000}"/>
    <hyperlink ref="S821" r:id="rId1841" xr:uid="{00000000-0004-0000-0000-00003A070000}"/>
    <hyperlink ref="R1328" r:id="rId1842" xr:uid="{00000000-0004-0000-0000-00003B070000}"/>
    <hyperlink ref="R1329" r:id="rId1843" xr:uid="{00000000-0004-0000-0000-00003C070000}"/>
    <hyperlink ref="R1330" r:id="rId1844" xr:uid="{00000000-0004-0000-0000-00003D070000}"/>
    <hyperlink ref="R1331" r:id="rId1845" xr:uid="{00000000-0004-0000-0000-00003E070000}"/>
    <hyperlink ref="R1332" r:id="rId1846" xr:uid="{00000000-0004-0000-0000-00003F070000}"/>
    <hyperlink ref="R1333" r:id="rId1847" xr:uid="{00000000-0004-0000-0000-000040070000}"/>
    <hyperlink ref="R1334" r:id="rId1848" xr:uid="{00000000-0004-0000-0000-000041070000}"/>
    <hyperlink ref="S1334" r:id="rId1849" xr:uid="{00000000-0004-0000-0000-000042070000}"/>
    <hyperlink ref="R1335" r:id="rId1850" xr:uid="{00000000-0004-0000-0000-000043070000}"/>
    <hyperlink ref="R1336" r:id="rId1851" xr:uid="{00000000-0004-0000-0000-000044070000}"/>
    <hyperlink ref="S1336" r:id="rId1852" xr:uid="{00000000-0004-0000-0000-000045070000}"/>
    <hyperlink ref="R1337" r:id="rId1853" xr:uid="{00000000-0004-0000-0000-000046070000}"/>
    <hyperlink ref="R438" r:id="rId1854" xr:uid="{00000000-0004-0000-0000-000047070000}"/>
    <hyperlink ref="R808" r:id="rId1855" xr:uid="{00000000-0004-0000-0000-000048070000}"/>
    <hyperlink ref="S808" r:id="rId1856" xr:uid="{00000000-0004-0000-0000-000049070000}"/>
    <hyperlink ref="R1338" r:id="rId1857" xr:uid="{00000000-0004-0000-0000-00004A070000}"/>
    <hyperlink ref="S1338" r:id="rId1858" xr:uid="{00000000-0004-0000-0000-00004B070000}"/>
    <hyperlink ref="R845" r:id="rId1859" xr:uid="{00000000-0004-0000-0000-00004C070000}"/>
    <hyperlink ref="R1339" r:id="rId1860" xr:uid="{00000000-0004-0000-0000-00004D070000}"/>
    <hyperlink ref="R478" r:id="rId1861" xr:uid="{00000000-0004-0000-0000-00004E070000}"/>
    <hyperlink ref="S478" r:id="rId1862" xr:uid="{00000000-0004-0000-0000-00004F070000}"/>
    <hyperlink ref="R1340" r:id="rId1863" xr:uid="{00000000-0004-0000-0000-000050070000}"/>
    <hyperlink ref="R1341" r:id="rId1864" xr:uid="{00000000-0004-0000-0000-000051070000}"/>
    <hyperlink ref="R1342" r:id="rId1865" xr:uid="{00000000-0004-0000-0000-000052070000}"/>
    <hyperlink ref="S1342" r:id="rId1866" xr:uid="{00000000-0004-0000-0000-000053070000}"/>
    <hyperlink ref="R1343" r:id="rId1867" xr:uid="{00000000-0004-0000-0000-000054070000}"/>
    <hyperlink ref="R922" r:id="rId1868" xr:uid="{00000000-0004-0000-0000-000055070000}"/>
    <hyperlink ref="S922" r:id="rId1869" xr:uid="{00000000-0004-0000-0000-000056070000}"/>
    <hyperlink ref="R294" r:id="rId1870" xr:uid="{00000000-0004-0000-0000-000057070000}"/>
    <hyperlink ref="R1345" r:id="rId1871" xr:uid="{00000000-0004-0000-0000-000058070000}"/>
    <hyperlink ref="S1345" r:id="rId1872" xr:uid="{00000000-0004-0000-0000-000059070000}"/>
    <hyperlink ref="S1346" r:id="rId1873" display="residamoremfamilia@gmail.com" xr:uid="{00000000-0004-0000-0000-00005A070000}"/>
    <hyperlink ref="R1346" r:id="rId1874" xr:uid="{00000000-0004-0000-0000-00005B070000}"/>
    <hyperlink ref="R1347" r:id="rId1875" xr:uid="{00000000-0004-0000-0000-00005C070000}"/>
    <hyperlink ref="R89" r:id="rId1876" xr:uid="{00000000-0004-0000-0000-00005D070000}"/>
    <hyperlink ref="S89" r:id="rId1877" xr:uid="{00000000-0004-0000-0000-00005E070000}"/>
    <hyperlink ref="R1348" r:id="rId1878" xr:uid="{00000000-0004-0000-0000-00005F070000}"/>
    <hyperlink ref="R587" r:id="rId1879" xr:uid="{00000000-0004-0000-0000-000060070000}"/>
    <hyperlink ref="S587" r:id="rId1880" xr:uid="{00000000-0004-0000-0000-000061070000}"/>
    <hyperlink ref="R1349" r:id="rId1881" xr:uid="{00000000-0004-0000-0000-000062070000}"/>
    <hyperlink ref="R1350" r:id="rId1882" xr:uid="{00000000-0004-0000-0000-000063070000}"/>
    <hyperlink ref="R1351" r:id="rId1883" xr:uid="{00000000-0004-0000-0000-000064070000}"/>
    <hyperlink ref="S1351" r:id="rId1884" xr:uid="{00000000-0004-0000-0000-000065070000}"/>
    <hyperlink ref="R1352" r:id="rId1885" xr:uid="{00000000-0004-0000-0000-000066070000}"/>
    <hyperlink ref="R233" r:id="rId1886" xr:uid="{00000000-0004-0000-0000-000067070000}"/>
    <hyperlink ref="R1353" r:id="rId1887" xr:uid="{00000000-0004-0000-0000-000068070000}"/>
    <hyperlink ref="R1354" r:id="rId1888" xr:uid="{00000000-0004-0000-0000-000069070000}"/>
    <hyperlink ref="R1355" r:id="rId1889" xr:uid="{00000000-0004-0000-0000-00006A070000}"/>
    <hyperlink ref="R220" r:id="rId1890" xr:uid="{00000000-0004-0000-0000-00006B070000}"/>
    <hyperlink ref="R1356" r:id="rId1891" xr:uid="{00000000-0004-0000-0000-00006C070000}"/>
    <hyperlink ref="R1357" r:id="rId1892" xr:uid="{00000000-0004-0000-0000-00006D070000}"/>
    <hyperlink ref="R1358" r:id="rId1893" xr:uid="{00000000-0004-0000-0000-00006E070000}"/>
    <hyperlink ref="R1359" r:id="rId1894" xr:uid="{00000000-0004-0000-0000-00006F070000}"/>
    <hyperlink ref="R1126" r:id="rId1895" xr:uid="{00000000-0004-0000-0000-000070070000}"/>
    <hyperlink ref="S1126" r:id="rId1896" xr:uid="{00000000-0004-0000-0000-000071070000}"/>
    <hyperlink ref="R404" r:id="rId1897" xr:uid="{D99B38FE-340E-43EC-AA73-AAF864839D37}"/>
    <hyperlink ref="R1360" r:id="rId1898" xr:uid="{7FCD1B24-1F75-4E58-8436-3655D314351E}"/>
    <hyperlink ref="R1130" r:id="rId1899" xr:uid="{F527549A-328A-40A9-A44F-3C771FDEBE82}"/>
    <hyperlink ref="R1361" r:id="rId1900" xr:uid="{CFEEEF64-DCBF-4F72-B813-8CC9C6BEC79D}"/>
    <hyperlink ref="R304" r:id="rId1901" xr:uid="{934A6DE9-8D74-45AF-8FAB-1F50E0B5931A}"/>
    <hyperlink ref="S304" r:id="rId1902" xr:uid="{C680D81A-6522-4DF7-9FCD-445ED9043F6B}"/>
    <hyperlink ref="R1362" r:id="rId1903" xr:uid="{F2CB8197-0E7C-4797-B377-CF6463E70654}"/>
    <hyperlink ref="R1363" r:id="rId1904" xr:uid="{630642CF-C855-49AC-B662-DA742C5C8F7A}"/>
    <hyperlink ref="R1364" r:id="rId1905" xr:uid="{195CB5F9-1957-4993-883E-8332E138D584}"/>
    <hyperlink ref="R1365" r:id="rId1906" xr:uid="{4441E4DA-B2F5-4B5C-BD40-63EAC0F86CCF}"/>
    <hyperlink ref="R1366" r:id="rId1907" xr:uid="{72B42E38-FF2E-4150-BA26-7AB1E5809B6B}"/>
    <hyperlink ref="R1367" r:id="rId1908" xr:uid="{E09A4C95-D357-4F8A-BA14-AD6DC1613AD0}"/>
    <hyperlink ref="R383" r:id="rId1909" xr:uid="{9FE7B056-832D-4C27-8DFB-F15B0C6E3675}"/>
    <hyperlink ref="R1368" r:id="rId1910" xr:uid="{3901F2B8-A1A4-49AD-B461-F43E62DD6193}"/>
    <hyperlink ref="R1369" r:id="rId1911" xr:uid="{1A66F21A-B219-4255-8B0B-2972E993CD3A}"/>
    <hyperlink ref="R1370" r:id="rId1912" xr:uid="{FF18B36A-81CF-4914-B55B-B3E247AEBF6F}"/>
    <hyperlink ref="R1371" r:id="rId1913" xr:uid="{82916432-0BEB-419E-8C37-449151CEF97B}"/>
    <hyperlink ref="R1372" r:id="rId1914" xr:uid="{2FBB9773-343B-4191-92C9-1D43780BAC65}"/>
    <hyperlink ref="R802" r:id="rId1915" xr:uid="{192F8B97-71A0-4E04-88FD-F42E0F1BA222}"/>
    <hyperlink ref="R1373" r:id="rId1916" xr:uid="{26688943-24BB-4B68-AF07-94281626E588}"/>
    <hyperlink ref="R1374" r:id="rId1917" xr:uid="{81BFF376-8A90-43CB-9264-7A04130FBBC6}"/>
    <hyperlink ref="R1375" r:id="rId1918" xr:uid="{16D1BBFE-D292-4118-8398-2477DC900B4B}"/>
    <hyperlink ref="R1376" r:id="rId1919" xr:uid="{8EB32B2A-4D91-4E5A-8029-41C64D6E3E6A}"/>
    <hyperlink ref="R1015" r:id="rId1920" xr:uid="{BCD32CA7-C521-4716-A113-C6798045546E}"/>
    <hyperlink ref="R666" r:id="rId1921" xr:uid="{0F533A86-18DF-4DA2-BB81-030F0253A530}"/>
    <hyperlink ref="S666" r:id="rId1922" xr:uid="{7668A170-9388-40F8-9368-57A9D702DC31}"/>
    <hyperlink ref="R1377" r:id="rId1923" xr:uid="{4B54BBB3-B335-4BF3-843F-A5D5168F26EC}"/>
    <hyperlink ref="R1378" r:id="rId1924" xr:uid="{D20F9005-A10B-40C0-9E65-AED33CB48F23}"/>
    <hyperlink ref="R1379" r:id="rId1925" xr:uid="{21FF3CAD-DE0E-4EA6-ABE9-0A565D8510CA}"/>
    <hyperlink ref="R1380" r:id="rId1926" xr:uid="{D54A5B69-D255-4DC3-9D80-9F09E56D5F19}"/>
    <hyperlink ref="R1280" r:id="rId1927" xr:uid="{5331A355-3D8E-4414-8D2E-606C8222C09F}"/>
    <hyperlink ref="R218" r:id="rId1928" xr:uid="{3497A5F7-579C-43DE-A93C-AC019888DD3D}"/>
    <hyperlink ref="R1096" r:id="rId1929" xr:uid="{D08346CF-4983-4ED2-B64B-E65CF5B40290}"/>
    <hyperlink ref="R1381" r:id="rId1930" xr:uid="{E9F05BEA-0CEF-49E0-B7A0-D66E61CA4FF1}"/>
    <hyperlink ref="R1382" r:id="rId1931" xr:uid="{F1972B30-0F65-4A48-9A0E-89E6A6A903A0}"/>
    <hyperlink ref="R426" r:id="rId1932" xr:uid="{FE56FC7C-8DA3-405F-8D37-E6F065AFF9ED}"/>
    <hyperlink ref="R1383" r:id="rId1933" xr:uid="{BB45F1C6-19DE-4C51-B742-F8646CC427C8}"/>
    <hyperlink ref="R667" r:id="rId1934" xr:uid="{F5D20F01-CB8F-477E-88F1-CB61542268F3}"/>
    <hyperlink ref="S667" r:id="rId1935" xr:uid="{8FE6BC69-6E07-4B70-B490-673CF75393F3}"/>
    <hyperlink ref="R668" r:id="rId1936" xr:uid="{F905F54E-EE42-4ED0-AEA8-F13EE3FFDD2E}"/>
    <hyperlink ref="S668" r:id="rId1937" xr:uid="{8CB3D814-748D-43E5-949F-1CC0C7FCE95E}"/>
    <hyperlink ref="R669" r:id="rId1938" xr:uid="{E5930028-69DE-46CE-BCDA-A9B1952D9604}"/>
    <hyperlink ref="S669" r:id="rId1939" xr:uid="{CAD90A1C-EB58-40EF-AEB1-6C7DC73399DA}"/>
    <hyperlink ref="R1384" r:id="rId1940" xr:uid="{FC8D9B1A-8993-4B9C-B2DC-E128847A2A6C}"/>
    <hyperlink ref="R1385" r:id="rId1941" xr:uid="{DA61964C-B0BD-4F1C-97A5-3CAA95DB7C0A}"/>
    <hyperlink ref="R1386" r:id="rId1942" xr:uid="{D7E2F5F6-BB3F-4C9B-B6EF-D977D67C38F2}"/>
    <hyperlink ref="R1387" r:id="rId1943" xr:uid="{2BAD5287-00A4-4FEE-A135-25ED4286D2D1}"/>
  </hyperlinks>
  <pageMargins left="0.23622047244094491" right="0.23622047244094491" top="0.74803149606299213" bottom="0.74803149606299213" header="0.31496062992125984" footer="0.31496062992125984"/>
  <pageSetup paperSize="9" scale="50" orientation="landscape" horizontalDpi="300" verticalDpi="300" r:id="rId1944"/>
  <drawing r:id="rId1945"/>
  <legacyDrawing r:id="rId1946"/>
  <tableParts count="1">
    <tablePart r:id="rId19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41"/>
  <sheetViews>
    <sheetView workbookViewId="0">
      <pane ySplit="1" topLeftCell="A2" activePane="bottomLeft" state="frozen"/>
      <selection pane="bottomLeft" activeCell="C2" sqref="C2:C33"/>
    </sheetView>
  </sheetViews>
  <sheetFormatPr defaultRowHeight="15" x14ac:dyDescent="0.25"/>
  <cols>
    <col min="1" max="1" width="2.42578125" customWidth="1"/>
    <col min="2" max="2" width="10.28515625" customWidth="1"/>
    <col min="3" max="3" width="23.42578125" customWidth="1"/>
    <col min="4" max="4" width="14.5703125" customWidth="1"/>
    <col min="5" max="5" width="14.140625" customWidth="1"/>
    <col min="6" max="6" width="14.42578125" customWidth="1"/>
    <col min="7" max="8" width="12.85546875" customWidth="1"/>
    <col min="9" max="9" width="13.85546875" customWidth="1"/>
    <col min="10" max="10" width="14" customWidth="1"/>
    <col min="12" max="12" width="13.85546875" customWidth="1"/>
    <col min="13" max="13" width="15.7109375" customWidth="1"/>
  </cols>
  <sheetData>
    <row r="1" spans="2:13" ht="48" customHeight="1" thickBot="1" x14ac:dyDescent="0.3">
      <c r="B1" s="104" t="s">
        <v>1522</v>
      </c>
      <c r="C1" s="104" t="s">
        <v>1521</v>
      </c>
      <c r="D1" s="104" t="s">
        <v>11940</v>
      </c>
      <c r="E1" s="104" t="s">
        <v>11941</v>
      </c>
      <c r="F1" s="104" t="s">
        <v>11942</v>
      </c>
      <c r="G1" s="104" t="s">
        <v>11943</v>
      </c>
      <c r="H1" s="104" t="s">
        <v>11944</v>
      </c>
      <c r="I1" s="104" t="s">
        <v>11945</v>
      </c>
      <c r="J1" s="104" t="s">
        <v>11946</v>
      </c>
      <c r="K1" s="104" t="s">
        <v>105</v>
      </c>
      <c r="L1" s="104" t="s">
        <v>2702</v>
      </c>
      <c r="M1" s="105" t="s">
        <v>11947</v>
      </c>
    </row>
    <row r="2" spans="2:13" ht="15.75" thickBot="1" x14ac:dyDescent="0.3">
      <c r="B2" s="106" t="s">
        <v>16</v>
      </c>
      <c r="C2" s="106" t="s">
        <v>1055</v>
      </c>
      <c r="D2" s="106">
        <v>48</v>
      </c>
      <c r="E2" s="106">
        <v>0</v>
      </c>
      <c r="F2" s="106">
        <v>3</v>
      </c>
      <c r="G2" s="106">
        <v>0</v>
      </c>
      <c r="H2" s="106">
        <v>1</v>
      </c>
      <c r="I2" s="106">
        <v>0</v>
      </c>
      <c r="J2" s="106">
        <v>0</v>
      </c>
      <c r="K2" s="106">
        <v>0</v>
      </c>
      <c r="L2" s="106">
        <v>0</v>
      </c>
      <c r="M2" s="106">
        <f t="shared" ref="M2:M33" si="0">SUM(D2:L2)</f>
        <v>52</v>
      </c>
    </row>
    <row r="3" spans="2:13" ht="15.75" thickBot="1" x14ac:dyDescent="0.3">
      <c r="B3" s="106" t="s">
        <v>4</v>
      </c>
      <c r="C3" s="106" t="s">
        <v>97</v>
      </c>
      <c r="D3" s="106">
        <v>30</v>
      </c>
      <c r="E3" s="106">
        <v>0</v>
      </c>
      <c r="F3" s="106">
        <v>3</v>
      </c>
      <c r="G3" s="106">
        <v>0</v>
      </c>
      <c r="H3" s="106">
        <v>1</v>
      </c>
      <c r="I3" s="106">
        <v>1</v>
      </c>
      <c r="J3" s="106">
        <v>0</v>
      </c>
      <c r="K3" s="106">
        <v>0</v>
      </c>
      <c r="L3" s="106">
        <v>0</v>
      </c>
      <c r="M3" s="106">
        <f t="shared" si="0"/>
        <v>35</v>
      </c>
    </row>
    <row r="4" spans="2:13" ht="15.75" thickBot="1" x14ac:dyDescent="0.3">
      <c r="B4" s="106" t="s">
        <v>9</v>
      </c>
      <c r="C4" s="106" t="s">
        <v>165</v>
      </c>
      <c r="D4" s="106">
        <v>9</v>
      </c>
      <c r="E4" s="106">
        <v>1</v>
      </c>
      <c r="F4" s="106">
        <v>0</v>
      </c>
      <c r="G4" s="106">
        <v>0</v>
      </c>
      <c r="H4" s="106">
        <v>1</v>
      </c>
      <c r="I4" s="106">
        <v>7</v>
      </c>
      <c r="J4" s="106">
        <v>4</v>
      </c>
      <c r="K4" s="106">
        <v>0</v>
      </c>
      <c r="L4" s="106">
        <v>0</v>
      </c>
      <c r="M4" s="106">
        <f t="shared" si="0"/>
        <v>22</v>
      </c>
    </row>
    <row r="5" spans="2:13" ht="15.75" thickBot="1" x14ac:dyDescent="0.3">
      <c r="B5" s="106" t="s">
        <v>9</v>
      </c>
      <c r="C5" s="106" t="s">
        <v>21</v>
      </c>
      <c r="D5" s="106">
        <v>23</v>
      </c>
      <c r="E5" s="106">
        <v>1</v>
      </c>
      <c r="F5" s="106">
        <v>3</v>
      </c>
      <c r="G5" s="106">
        <v>0</v>
      </c>
      <c r="H5" s="106">
        <v>1</v>
      </c>
      <c r="I5" s="106">
        <v>3</v>
      </c>
      <c r="J5" s="106">
        <v>0</v>
      </c>
      <c r="K5" s="106">
        <v>1</v>
      </c>
      <c r="L5" s="106">
        <v>1</v>
      </c>
      <c r="M5" s="106">
        <f t="shared" si="0"/>
        <v>33</v>
      </c>
    </row>
    <row r="6" spans="2:13" ht="24.75" thickBot="1" x14ac:dyDescent="0.3">
      <c r="B6" s="106" t="s">
        <v>68</v>
      </c>
      <c r="C6" s="106" t="s">
        <v>11948</v>
      </c>
      <c r="D6" s="106">
        <v>9</v>
      </c>
      <c r="E6" s="106">
        <v>1</v>
      </c>
      <c r="F6" s="106">
        <v>0</v>
      </c>
      <c r="G6" s="106">
        <v>0</v>
      </c>
      <c r="H6" s="106">
        <v>1</v>
      </c>
      <c r="I6" s="106">
        <v>3</v>
      </c>
      <c r="J6" s="106">
        <v>2</v>
      </c>
      <c r="K6" s="106">
        <v>1</v>
      </c>
      <c r="L6" s="106">
        <v>0</v>
      </c>
      <c r="M6" s="106">
        <f t="shared" si="0"/>
        <v>17</v>
      </c>
    </row>
    <row r="7" spans="2:13" ht="15.75" thickBot="1" x14ac:dyDescent="0.3">
      <c r="B7" s="106" t="s">
        <v>9</v>
      </c>
      <c r="C7" s="106" t="s">
        <v>204</v>
      </c>
      <c r="D7" s="106">
        <v>10</v>
      </c>
      <c r="E7" s="106">
        <v>0</v>
      </c>
      <c r="F7" s="106">
        <v>2</v>
      </c>
      <c r="G7" s="106">
        <v>0</v>
      </c>
      <c r="H7" s="106">
        <v>0</v>
      </c>
      <c r="I7" s="106">
        <v>2</v>
      </c>
      <c r="J7" s="106">
        <v>0</v>
      </c>
      <c r="K7" s="106">
        <v>1</v>
      </c>
      <c r="L7" s="106">
        <v>0</v>
      </c>
      <c r="M7" s="106">
        <f t="shared" si="0"/>
        <v>15</v>
      </c>
    </row>
    <row r="8" spans="2:13" ht="15.75" thickBot="1" x14ac:dyDescent="0.3">
      <c r="B8" s="106" t="s">
        <v>16</v>
      </c>
      <c r="C8" s="106" t="s">
        <v>1732</v>
      </c>
      <c r="D8" s="106">
        <v>0</v>
      </c>
      <c r="E8" s="106">
        <v>0</v>
      </c>
      <c r="F8" s="106">
        <v>0</v>
      </c>
      <c r="G8" s="106">
        <v>0</v>
      </c>
      <c r="H8" s="106">
        <v>1</v>
      </c>
      <c r="I8" s="106">
        <v>1</v>
      </c>
      <c r="J8" s="106">
        <v>0</v>
      </c>
      <c r="K8" s="106">
        <v>0</v>
      </c>
      <c r="L8" s="106">
        <v>0</v>
      </c>
      <c r="M8" s="106">
        <f t="shared" si="0"/>
        <v>2</v>
      </c>
    </row>
    <row r="9" spans="2:13" ht="15.75" thickBot="1" x14ac:dyDescent="0.3">
      <c r="B9" s="106" t="s">
        <v>16</v>
      </c>
      <c r="C9" s="106" t="s">
        <v>48</v>
      </c>
      <c r="D9" s="106">
        <v>3</v>
      </c>
      <c r="E9" s="106">
        <v>0</v>
      </c>
      <c r="F9" s="106">
        <v>1</v>
      </c>
      <c r="G9" s="106">
        <v>0</v>
      </c>
      <c r="H9" s="106">
        <v>1</v>
      </c>
      <c r="I9" s="106">
        <v>3</v>
      </c>
      <c r="J9" s="106">
        <v>1</v>
      </c>
      <c r="K9" s="106">
        <v>0</v>
      </c>
      <c r="L9" s="106">
        <v>0</v>
      </c>
      <c r="M9" s="106">
        <f t="shared" si="0"/>
        <v>9</v>
      </c>
    </row>
    <row r="10" spans="2:13" ht="15.75" thickBot="1" x14ac:dyDescent="0.3">
      <c r="B10" s="106" t="s">
        <v>68</v>
      </c>
      <c r="C10" s="106" t="s">
        <v>11949</v>
      </c>
      <c r="D10" s="106">
        <v>8</v>
      </c>
      <c r="E10" s="106">
        <v>1</v>
      </c>
      <c r="F10" s="106">
        <v>1</v>
      </c>
      <c r="G10" s="106">
        <v>0</v>
      </c>
      <c r="H10" s="106">
        <v>0</v>
      </c>
      <c r="I10" s="106">
        <v>0</v>
      </c>
      <c r="J10" s="106">
        <v>3</v>
      </c>
      <c r="K10" s="106">
        <v>0</v>
      </c>
      <c r="L10" s="106">
        <v>2</v>
      </c>
      <c r="M10" s="106">
        <f t="shared" si="0"/>
        <v>15</v>
      </c>
    </row>
    <row r="11" spans="2:13" ht="15.75" thickBot="1" x14ac:dyDescent="0.3">
      <c r="B11" s="106" t="s">
        <v>16</v>
      </c>
      <c r="C11" s="106" t="s">
        <v>925</v>
      </c>
      <c r="D11" s="106">
        <v>3</v>
      </c>
      <c r="E11" s="106">
        <v>0</v>
      </c>
      <c r="F11" s="106">
        <v>0</v>
      </c>
      <c r="G11" s="106">
        <v>0</v>
      </c>
      <c r="H11" s="106">
        <v>0</v>
      </c>
      <c r="I11" s="106">
        <v>2</v>
      </c>
      <c r="J11" s="106">
        <v>0</v>
      </c>
      <c r="K11" s="106">
        <v>0</v>
      </c>
      <c r="L11" s="106">
        <v>0</v>
      </c>
      <c r="M11" s="106">
        <f t="shared" si="0"/>
        <v>5</v>
      </c>
    </row>
    <row r="12" spans="2:13" ht="15.75" thickBot="1" x14ac:dyDescent="0.3">
      <c r="B12" s="106" t="s">
        <v>9</v>
      </c>
      <c r="C12" s="106" t="s">
        <v>177</v>
      </c>
      <c r="D12" s="106">
        <v>24</v>
      </c>
      <c r="E12" s="106">
        <v>0</v>
      </c>
      <c r="F12" s="106">
        <v>0</v>
      </c>
      <c r="G12" s="106">
        <v>1</v>
      </c>
      <c r="H12" s="106">
        <v>1</v>
      </c>
      <c r="I12" s="106">
        <v>1</v>
      </c>
      <c r="J12" s="106">
        <v>4</v>
      </c>
      <c r="K12" s="106">
        <v>0</v>
      </c>
      <c r="L12" s="106">
        <v>0</v>
      </c>
      <c r="M12" s="106">
        <f t="shared" si="0"/>
        <v>31</v>
      </c>
    </row>
    <row r="13" spans="2:13" ht="15.75" thickBot="1" x14ac:dyDescent="0.3">
      <c r="B13" s="106" t="s">
        <v>16</v>
      </c>
      <c r="C13" s="106" t="s">
        <v>704</v>
      </c>
      <c r="D13" s="106">
        <v>9</v>
      </c>
      <c r="E13" s="106">
        <v>1</v>
      </c>
      <c r="F13" s="106">
        <v>7</v>
      </c>
      <c r="G13" s="106">
        <v>0</v>
      </c>
      <c r="H13" s="106">
        <v>0</v>
      </c>
      <c r="I13" s="106">
        <v>4</v>
      </c>
      <c r="J13" s="106">
        <v>0</v>
      </c>
      <c r="K13" s="106">
        <v>0</v>
      </c>
      <c r="L13" s="106">
        <v>0</v>
      </c>
      <c r="M13" s="106">
        <f t="shared" si="0"/>
        <v>21</v>
      </c>
    </row>
    <row r="14" spans="2:13" ht="15.75" thickBot="1" x14ac:dyDescent="0.3">
      <c r="B14" s="106" t="s">
        <v>16</v>
      </c>
      <c r="C14" s="106" t="s">
        <v>445</v>
      </c>
      <c r="D14" s="106">
        <v>20</v>
      </c>
      <c r="E14" s="106">
        <v>1</v>
      </c>
      <c r="F14" s="106">
        <v>1</v>
      </c>
      <c r="G14" s="106">
        <v>0</v>
      </c>
      <c r="H14" s="106">
        <v>1</v>
      </c>
      <c r="I14" s="106">
        <v>4</v>
      </c>
      <c r="J14" s="106">
        <v>5</v>
      </c>
      <c r="K14" s="106">
        <v>1</v>
      </c>
      <c r="L14" s="106">
        <v>1</v>
      </c>
      <c r="M14" s="106">
        <f t="shared" si="0"/>
        <v>34</v>
      </c>
    </row>
    <row r="15" spans="2:13" ht="15.75" thickBot="1" x14ac:dyDescent="0.3">
      <c r="B15" s="106" t="s">
        <v>9</v>
      </c>
      <c r="C15" s="106" t="s">
        <v>172</v>
      </c>
      <c r="D15" s="106">
        <v>18</v>
      </c>
      <c r="E15" s="106">
        <v>0</v>
      </c>
      <c r="F15" s="106">
        <v>1</v>
      </c>
      <c r="G15" s="106">
        <v>0</v>
      </c>
      <c r="H15" s="106">
        <v>0</v>
      </c>
      <c r="I15" s="106">
        <v>2</v>
      </c>
      <c r="J15" s="106">
        <v>0</v>
      </c>
      <c r="K15" s="106">
        <v>0</v>
      </c>
      <c r="L15" s="106">
        <v>1</v>
      </c>
      <c r="M15" s="106">
        <f t="shared" si="0"/>
        <v>22</v>
      </c>
    </row>
    <row r="16" spans="2:13" ht="15.75" thickBot="1" x14ac:dyDescent="0.3">
      <c r="B16" s="106" t="s">
        <v>68</v>
      </c>
      <c r="C16" s="106" t="s">
        <v>1889</v>
      </c>
      <c r="D16" s="106">
        <v>18</v>
      </c>
      <c r="E16" s="106">
        <v>0</v>
      </c>
      <c r="F16" s="106">
        <v>2</v>
      </c>
      <c r="G16" s="106">
        <v>0</v>
      </c>
      <c r="H16" s="106">
        <v>1</v>
      </c>
      <c r="I16" s="106">
        <v>1</v>
      </c>
      <c r="J16" s="106">
        <v>0</v>
      </c>
      <c r="K16" s="106">
        <v>0</v>
      </c>
      <c r="L16" s="106">
        <v>0</v>
      </c>
      <c r="M16" s="106">
        <f t="shared" si="0"/>
        <v>22</v>
      </c>
    </row>
    <row r="17" spans="2:13" ht="15.75" thickBot="1" x14ac:dyDescent="0.3">
      <c r="B17" s="106" t="s">
        <v>4</v>
      </c>
      <c r="C17" s="106" t="s">
        <v>136</v>
      </c>
      <c r="D17" s="106">
        <v>48</v>
      </c>
      <c r="E17" s="106">
        <v>0</v>
      </c>
      <c r="F17" s="106">
        <v>0</v>
      </c>
      <c r="G17" s="106">
        <v>0</v>
      </c>
      <c r="H17" s="106">
        <v>1</v>
      </c>
      <c r="I17" s="106">
        <v>2</v>
      </c>
      <c r="J17" s="106">
        <v>1</v>
      </c>
      <c r="K17" s="106">
        <v>0</v>
      </c>
      <c r="L17" s="106">
        <v>0</v>
      </c>
      <c r="M17" s="106">
        <f t="shared" si="0"/>
        <v>52</v>
      </c>
    </row>
    <row r="18" spans="2:13" ht="15.75" thickBot="1" x14ac:dyDescent="0.3">
      <c r="B18" s="106" t="s">
        <v>9</v>
      </c>
      <c r="C18" s="106" t="s">
        <v>5460</v>
      </c>
      <c r="D18" s="106">
        <v>2</v>
      </c>
      <c r="E18" s="106">
        <v>0</v>
      </c>
      <c r="F18" s="106">
        <v>0</v>
      </c>
      <c r="G18" s="106">
        <v>0</v>
      </c>
      <c r="H18" s="106">
        <v>0</v>
      </c>
      <c r="I18" s="106">
        <v>11</v>
      </c>
      <c r="J18" s="106">
        <v>1</v>
      </c>
      <c r="K18" s="106">
        <v>0</v>
      </c>
      <c r="L18" s="106">
        <v>0</v>
      </c>
      <c r="M18" s="106">
        <f t="shared" si="0"/>
        <v>14</v>
      </c>
    </row>
    <row r="19" spans="2:13" ht="15.75" thickBot="1" x14ac:dyDescent="0.3">
      <c r="B19" s="106" t="s">
        <v>16</v>
      </c>
      <c r="C19" s="106" t="s">
        <v>15</v>
      </c>
      <c r="D19" s="106">
        <v>45</v>
      </c>
      <c r="E19" s="106">
        <v>2</v>
      </c>
      <c r="F19" s="106">
        <v>1</v>
      </c>
      <c r="G19" s="106">
        <v>0</v>
      </c>
      <c r="H19" s="106">
        <v>1</v>
      </c>
      <c r="I19" s="106">
        <v>2</v>
      </c>
      <c r="J19" s="106">
        <v>1</v>
      </c>
      <c r="K19" s="106">
        <v>2</v>
      </c>
      <c r="L19" s="106">
        <v>0</v>
      </c>
      <c r="M19" s="106">
        <f t="shared" si="0"/>
        <v>54</v>
      </c>
    </row>
    <row r="20" spans="2:13" ht="15.75" thickBot="1" x14ac:dyDescent="0.3">
      <c r="B20" s="106" t="s">
        <v>9</v>
      </c>
      <c r="C20" s="106" t="s">
        <v>27</v>
      </c>
      <c r="D20" s="106">
        <v>7</v>
      </c>
      <c r="E20" s="106">
        <v>1</v>
      </c>
      <c r="F20" s="106">
        <v>3</v>
      </c>
      <c r="G20" s="106">
        <v>0</v>
      </c>
      <c r="H20" s="106">
        <v>1</v>
      </c>
      <c r="I20" s="106">
        <v>1</v>
      </c>
      <c r="J20" s="106">
        <v>1</v>
      </c>
      <c r="K20" s="106">
        <v>0</v>
      </c>
      <c r="L20" s="106">
        <v>0</v>
      </c>
      <c r="M20" s="106">
        <f t="shared" si="0"/>
        <v>14</v>
      </c>
    </row>
    <row r="21" spans="2:13" ht="15.75" thickBot="1" x14ac:dyDescent="0.3">
      <c r="B21" s="106" t="s">
        <v>16</v>
      </c>
      <c r="C21" s="106" t="s">
        <v>128</v>
      </c>
      <c r="D21" s="106">
        <v>29</v>
      </c>
      <c r="E21" s="106">
        <v>0</v>
      </c>
      <c r="F21" s="106">
        <v>3</v>
      </c>
      <c r="G21" s="106">
        <v>0</v>
      </c>
      <c r="H21" s="106">
        <v>0</v>
      </c>
      <c r="I21" s="106">
        <v>0</v>
      </c>
      <c r="J21" s="106">
        <v>0</v>
      </c>
      <c r="K21" s="106">
        <v>0</v>
      </c>
      <c r="L21" s="106">
        <v>0</v>
      </c>
      <c r="M21" s="106">
        <f t="shared" si="0"/>
        <v>32</v>
      </c>
    </row>
    <row r="22" spans="2:13" ht="15.75" thickBot="1" x14ac:dyDescent="0.3">
      <c r="B22" s="106" t="s">
        <v>68</v>
      </c>
      <c r="C22" s="106" t="s">
        <v>9664</v>
      </c>
      <c r="D22" s="106">
        <v>2</v>
      </c>
      <c r="E22" s="106">
        <v>0</v>
      </c>
      <c r="F22" s="106">
        <v>0</v>
      </c>
      <c r="G22" s="106">
        <v>0</v>
      </c>
      <c r="H22" s="106">
        <v>1</v>
      </c>
      <c r="I22" s="106">
        <v>0</v>
      </c>
      <c r="J22" s="106">
        <v>1</v>
      </c>
      <c r="K22" s="106">
        <v>0</v>
      </c>
      <c r="L22" s="106">
        <v>0</v>
      </c>
      <c r="M22" s="106">
        <f t="shared" si="0"/>
        <v>4</v>
      </c>
    </row>
    <row r="23" spans="2:13" ht="15.75" thickBot="1" x14ac:dyDescent="0.3">
      <c r="B23" s="106" t="s">
        <v>4</v>
      </c>
      <c r="C23" s="106" t="s">
        <v>36</v>
      </c>
      <c r="D23" s="106">
        <v>40</v>
      </c>
      <c r="E23" s="106">
        <v>0</v>
      </c>
      <c r="F23" s="106">
        <v>2</v>
      </c>
      <c r="G23" s="106">
        <v>1</v>
      </c>
      <c r="H23" s="106">
        <v>1</v>
      </c>
      <c r="I23" s="106">
        <v>1</v>
      </c>
      <c r="J23" s="106">
        <v>1</v>
      </c>
      <c r="K23" s="106">
        <v>0</v>
      </c>
      <c r="L23" s="106">
        <v>0</v>
      </c>
      <c r="M23" s="106">
        <f t="shared" si="0"/>
        <v>46</v>
      </c>
    </row>
    <row r="24" spans="2:13" ht="15.75" thickBot="1" x14ac:dyDescent="0.3">
      <c r="B24" s="106" t="s">
        <v>68</v>
      </c>
      <c r="C24" s="106" t="s">
        <v>1847</v>
      </c>
      <c r="D24" s="106">
        <v>36</v>
      </c>
      <c r="E24" s="106">
        <v>0</v>
      </c>
      <c r="F24" s="106">
        <v>0</v>
      </c>
      <c r="G24" s="106">
        <v>0</v>
      </c>
      <c r="H24" s="106">
        <v>1</v>
      </c>
      <c r="I24" s="106">
        <v>2</v>
      </c>
      <c r="J24" s="106">
        <v>0</v>
      </c>
      <c r="K24" s="106">
        <v>0</v>
      </c>
      <c r="L24" s="106">
        <v>0</v>
      </c>
      <c r="M24" s="106">
        <f t="shared" si="0"/>
        <v>39</v>
      </c>
    </row>
    <row r="25" spans="2:13" ht="15.75" thickBot="1" x14ac:dyDescent="0.3">
      <c r="B25" s="106" t="s">
        <v>68</v>
      </c>
      <c r="C25" s="106" t="s">
        <v>2146</v>
      </c>
      <c r="D25" s="106">
        <v>69</v>
      </c>
      <c r="E25" s="106">
        <v>1</v>
      </c>
      <c r="F25" s="106">
        <v>6</v>
      </c>
      <c r="G25" s="106">
        <v>2</v>
      </c>
      <c r="H25" s="106">
        <v>1</v>
      </c>
      <c r="I25" s="106">
        <v>1</v>
      </c>
      <c r="J25" s="106">
        <v>0</v>
      </c>
      <c r="K25" s="106">
        <v>1</v>
      </c>
      <c r="L25" s="106">
        <v>0</v>
      </c>
      <c r="M25" s="106">
        <f t="shared" si="0"/>
        <v>81</v>
      </c>
    </row>
    <row r="26" spans="2:13" ht="15.75" thickBot="1" x14ac:dyDescent="0.3">
      <c r="B26" s="106" t="s">
        <v>9</v>
      </c>
      <c r="C26" s="106" t="s">
        <v>61</v>
      </c>
      <c r="D26" s="106">
        <v>54</v>
      </c>
      <c r="E26" s="106">
        <v>0</v>
      </c>
      <c r="F26" s="106">
        <v>4</v>
      </c>
      <c r="G26" s="106">
        <v>0</v>
      </c>
      <c r="H26" s="106">
        <v>1</v>
      </c>
      <c r="I26" s="106">
        <v>0</v>
      </c>
      <c r="J26" s="106">
        <v>0</v>
      </c>
      <c r="K26" s="106">
        <v>1</v>
      </c>
      <c r="L26" s="106">
        <v>0</v>
      </c>
      <c r="M26" s="106">
        <f t="shared" si="0"/>
        <v>60</v>
      </c>
    </row>
    <row r="27" spans="2:13" ht="15.75" thickBot="1" x14ac:dyDescent="0.3">
      <c r="B27" s="106" t="s">
        <v>16</v>
      </c>
      <c r="C27" s="106" t="s">
        <v>743</v>
      </c>
      <c r="D27" s="106">
        <v>6</v>
      </c>
      <c r="E27" s="106">
        <v>1</v>
      </c>
      <c r="F27" s="106">
        <v>0</v>
      </c>
      <c r="G27" s="106">
        <v>0</v>
      </c>
      <c r="H27" s="106">
        <v>2</v>
      </c>
      <c r="I27" s="106">
        <v>2</v>
      </c>
      <c r="J27" s="106">
        <v>2</v>
      </c>
      <c r="K27" s="106">
        <v>0</v>
      </c>
      <c r="L27" s="106">
        <v>0</v>
      </c>
      <c r="M27" s="106">
        <f t="shared" si="0"/>
        <v>13</v>
      </c>
    </row>
    <row r="28" spans="2:13" ht="15.75" thickBot="1" x14ac:dyDescent="0.3">
      <c r="B28" s="106" t="s">
        <v>16</v>
      </c>
      <c r="C28" s="106" t="s">
        <v>293</v>
      </c>
      <c r="D28" s="106">
        <v>12</v>
      </c>
      <c r="E28" s="106">
        <v>2</v>
      </c>
      <c r="F28" s="106">
        <v>1</v>
      </c>
      <c r="G28" s="106">
        <v>0</v>
      </c>
      <c r="H28" s="106">
        <v>1</v>
      </c>
      <c r="I28" s="106">
        <v>6</v>
      </c>
      <c r="J28" s="106">
        <v>0</v>
      </c>
      <c r="K28" s="106">
        <v>0</v>
      </c>
      <c r="L28" s="106">
        <v>0</v>
      </c>
      <c r="M28" s="106">
        <f t="shared" si="0"/>
        <v>22</v>
      </c>
    </row>
    <row r="29" spans="2:13" ht="15.75" thickBot="1" x14ac:dyDescent="0.3">
      <c r="B29" s="106" t="s">
        <v>16</v>
      </c>
      <c r="C29" s="106" t="s">
        <v>519</v>
      </c>
      <c r="D29" s="106">
        <v>5</v>
      </c>
      <c r="E29" s="106">
        <v>0</v>
      </c>
      <c r="F29" s="106">
        <v>0</v>
      </c>
      <c r="G29" s="106">
        <v>0</v>
      </c>
      <c r="H29" s="106">
        <v>0</v>
      </c>
      <c r="I29" s="106">
        <v>1</v>
      </c>
      <c r="J29" s="106">
        <v>0</v>
      </c>
      <c r="K29" s="106">
        <v>0</v>
      </c>
      <c r="L29" s="106">
        <v>0</v>
      </c>
      <c r="M29" s="106">
        <f t="shared" si="0"/>
        <v>6</v>
      </c>
    </row>
    <row r="30" spans="2:13" ht="15.75" thickBot="1" x14ac:dyDescent="0.3">
      <c r="B30" s="106" t="s">
        <v>54</v>
      </c>
      <c r="C30" s="106" t="s">
        <v>53</v>
      </c>
      <c r="D30" s="106">
        <v>12</v>
      </c>
      <c r="E30" s="106">
        <v>0</v>
      </c>
      <c r="F30" s="106">
        <v>2</v>
      </c>
      <c r="G30" s="106">
        <v>0</v>
      </c>
      <c r="H30" s="106">
        <v>1</v>
      </c>
      <c r="I30" s="106">
        <v>3</v>
      </c>
      <c r="J30" s="106">
        <v>1</v>
      </c>
      <c r="K30" s="106">
        <v>10</v>
      </c>
      <c r="L30" s="106">
        <v>0</v>
      </c>
      <c r="M30" s="106">
        <f t="shared" si="0"/>
        <v>29</v>
      </c>
    </row>
    <row r="31" spans="2:13" ht="15.75" thickBot="1" x14ac:dyDescent="0.3">
      <c r="B31" s="106" t="s">
        <v>68</v>
      </c>
      <c r="C31" s="106" t="s">
        <v>2085</v>
      </c>
      <c r="D31" s="106">
        <v>13</v>
      </c>
      <c r="E31" s="106">
        <v>1</v>
      </c>
      <c r="F31" s="106">
        <v>0</v>
      </c>
      <c r="G31" s="106">
        <v>0</v>
      </c>
      <c r="H31" s="106">
        <v>0</v>
      </c>
      <c r="I31" s="106">
        <v>2</v>
      </c>
      <c r="J31" s="106">
        <v>0</v>
      </c>
      <c r="K31" s="106">
        <v>0</v>
      </c>
      <c r="L31" s="106">
        <v>0</v>
      </c>
      <c r="M31" s="106">
        <f t="shared" si="0"/>
        <v>16</v>
      </c>
    </row>
    <row r="32" spans="2:13" ht="15.75" thickBot="1" x14ac:dyDescent="0.3">
      <c r="B32" s="106" t="s">
        <v>9</v>
      </c>
      <c r="C32" s="106" t="s">
        <v>8</v>
      </c>
      <c r="D32" s="106">
        <v>40</v>
      </c>
      <c r="E32" s="106">
        <v>1</v>
      </c>
      <c r="F32" s="106">
        <v>1</v>
      </c>
      <c r="G32" s="106">
        <v>2</v>
      </c>
      <c r="H32" s="106">
        <v>0</v>
      </c>
      <c r="I32" s="106">
        <v>0</v>
      </c>
      <c r="J32" s="106">
        <v>1</v>
      </c>
      <c r="K32" s="106">
        <v>0</v>
      </c>
      <c r="L32" s="106">
        <v>0</v>
      </c>
      <c r="M32" s="106">
        <f t="shared" si="0"/>
        <v>45</v>
      </c>
    </row>
    <row r="33" spans="2:13" ht="15.75" thickBot="1" x14ac:dyDescent="0.3">
      <c r="B33" s="106" t="s">
        <v>16</v>
      </c>
      <c r="C33" s="106" t="s">
        <v>240</v>
      </c>
      <c r="D33" s="106">
        <v>19</v>
      </c>
      <c r="E33" s="106">
        <v>0</v>
      </c>
      <c r="F33" s="106">
        <v>1</v>
      </c>
      <c r="G33" s="106">
        <v>0</v>
      </c>
      <c r="H33" s="106">
        <v>0</v>
      </c>
      <c r="I33" s="106">
        <v>2</v>
      </c>
      <c r="J33" s="106">
        <v>3</v>
      </c>
      <c r="K33" s="106">
        <v>0</v>
      </c>
      <c r="L33" s="106">
        <v>0</v>
      </c>
      <c r="M33" s="106">
        <f t="shared" si="0"/>
        <v>25</v>
      </c>
    </row>
    <row r="34" spans="2:13" x14ac:dyDescent="0.25">
      <c r="C34" s="122" t="s">
        <v>11953</v>
      </c>
      <c r="D34">
        <f t="shared" ref="D34:M34" si="1">SUM(D2:D33)</f>
        <v>671</v>
      </c>
      <c r="E34">
        <f t="shared" si="1"/>
        <v>15</v>
      </c>
      <c r="F34">
        <f t="shared" si="1"/>
        <v>48</v>
      </c>
      <c r="G34">
        <f t="shared" si="1"/>
        <v>6</v>
      </c>
      <c r="H34">
        <f t="shared" si="1"/>
        <v>22</v>
      </c>
      <c r="I34">
        <f t="shared" si="1"/>
        <v>70</v>
      </c>
      <c r="J34">
        <f t="shared" si="1"/>
        <v>32</v>
      </c>
      <c r="K34">
        <f t="shared" si="1"/>
        <v>18</v>
      </c>
      <c r="L34">
        <f t="shared" si="1"/>
        <v>5</v>
      </c>
      <c r="M34">
        <f t="shared" si="1"/>
        <v>887</v>
      </c>
    </row>
    <row r="35" spans="2:13" x14ac:dyDescent="0.25">
      <c r="B35" s="123" t="s">
        <v>11959</v>
      </c>
    </row>
    <row r="37" spans="2:13" x14ac:dyDescent="0.25">
      <c r="B37" s="124" t="s">
        <v>11954</v>
      </c>
      <c r="C37" s="107"/>
      <c r="D37" s="107"/>
    </row>
    <row r="38" spans="2:13" x14ac:dyDescent="0.25">
      <c r="B38" s="125" t="s">
        <v>11955</v>
      </c>
      <c r="C38" s="107"/>
      <c r="D38" s="107"/>
    </row>
    <row r="39" spans="2:13" x14ac:dyDescent="0.25">
      <c r="B39" s="125" t="s">
        <v>11956</v>
      </c>
      <c r="C39" s="107"/>
      <c r="D39" s="107"/>
    </row>
    <row r="40" spans="2:13" x14ac:dyDescent="0.25">
      <c r="B40" s="125" t="s">
        <v>11957</v>
      </c>
      <c r="C40" s="107"/>
      <c r="D40" s="107"/>
    </row>
    <row r="41" spans="2:13" x14ac:dyDescent="0.25">
      <c r="B41" s="126" t="s">
        <v>11958</v>
      </c>
      <c r="C41" s="107"/>
      <c r="D41" s="107"/>
    </row>
  </sheetData>
  <autoFilter ref="B1:M33" xr:uid="{00000000-0009-0000-0000-000001000000}">
    <sortState xmlns:xlrd2="http://schemas.microsoft.com/office/spreadsheetml/2017/richdata2" ref="B2:M35">
      <sortCondition ref="C2:C34"/>
    </sortState>
  </autoFilter>
  <pageMargins left="0.51181102362204722" right="0.51181102362204722" top="0.78740157480314965" bottom="0.78740157480314965" header="0.31496062992125984" footer="0.31496062992125984"/>
  <pageSetup paperSize="9" scale="79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B2:F502"/>
  <sheetViews>
    <sheetView workbookViewId="0">
      <selection activeCell="C2" sqref="C2"/>
    </sheetView>
  </sheetViews>
  <sheetFormatPr defaultRowHeight="15" x14ac:dyDescent="0.25"/>
  <cols>
    <col min="2" max="2" width="10.42578125" customWidth="1"/>
    <col min="3" max="3" width="86.5703125" customWidth="1"/>
    <col min="4" max="4" width="19.42578125" customWidth="1"/>
    <col min="5" max="5" width="19" bestFit="1" customWidth="1"/>
    <col min="6" max="6" width="18.5703125" bestFit="1" customWidth="1"/>
  </cols>
  <sheetData>
    <row r="2" spans="2:6" x14ac:dyDescent="0.25">
      <c r="B2">
        <f>'Base de Dados'!Y2:Y1392</f>
        <v>0</v>
      </c>
      <c r="C2" t="str">
        <f>'Base de Dados'!D1:D1095</f>
        <v>MODALIDADE</v>
      </c>
      <c r="D2" t="str">
        <f>'Base de Dados'!F2:F1098</f>
        <v>NOME FANTASIA</v>
      </c>
      <c r="E2" t="str">
        <f>'Base de Dados'!G2:G683</f>
        <v>CNPJ Matriz</v>
      </c>
      <c r="F2" t="str">
        <f>'Base de Dados'!I2:I683</f>
        <v>PROGRAMA</v>
      </c>
    </row>
    <row r="3" spans="2:6" x14ac:dyDescent="0.25">
      <c r="B3">
        <f>'Base de Dados'!Y3:Y1393</f>
        <v>0</v>
      </c>
      <c r="C3" t="str">
        <f>'Base de Dados'!E2:E1392</f>
        <v>ASSOCIAÇÃO SANTO AGOSTINHO - ASA</v>
      </c>
      <c r="D3" t="str">
        <f>'Base de Dados'!F3:F1392</f>
        <v>CDI LAR SANTO ALBERTO</v>
      </c>
      <c r="E3" t="str">
        <f>'Base de Dados'!G3:G683</f>
        <v>62.272.497/0001-54</v>
      </c>
      <c r="F3" t="str">
        <f>'Base de Dados'!I3:I1098</f>
        <v>CDI</v>
      </c>
    </row>
    <row r="4" spans="2:6" x14ac:dyDescent="0.25">
      <c r="B4" t="e">
        <f>'Base de Dados'!Y5:Y1394</f>
        <v>#VALUE!</v>
      </c>
      <c r="C4" t="str">
        <f>'Base de Dados'!E3:E1393</f>
        <v>ASSOCIAÇÃO SANTO AGOSTINHO - ASA</v>
      </c>
      <c r="D4" t="e">
        <f>'Base de Dados'!F5:F1393</f>
        <v>#VALUE!</v>
      </c>
      <c r="E4" t="e">
        <f>'Base de Dados'!G5:G1089</f>
        <v>#VALUE!</v>
      </c>
      <c r="F4" t="e">
        <f>'Base de Dados'!I5:I1095</f>
        <v>#VALUE!</v>
      </c>
    </row>
    <row r="5" spans="2:6" x14ac:dyDescent="0.25">
      <c r="B5" t="e">
        <f>'Base de Dados'!Y6:Y1395</f>
        <v>#VALUE!</v>
      </c>
      <c r="C5" t="str">
        <f>'Base de Dados'!E5:E1394</f>
        <v>ASSOCIAÇÃO DOS FAMILIARES E AMIGOS DOS IDOSOS - AFAI</v>
      </c>
      <c r="D5" t="e">
        <f>'Base de Dados'!F6:F1394</f>
        <v>#VALUE!</v>
      </c>
      <c r="E5" t="e">
        <f>'Base de Dados'!G6:G1095</f>
        <v>#VALUE!</v>
      </c>
      <c r="F5" t="e">
        <f>'Base de Dados'!I6:I1392</f>
        <v>#VALUE!</v>
      </c>
    </row>
    <row r="6" spans="2:6" x14ac:dyDescent="0.25">
      <c r="B6" t="e">
        <f>'Base de Dados'!Y7:Y1396</f>
        <v>#VALUE!</v>
      </c>
      <c r="C6" t="str">
        <f>'Base de Dados'!E6:E1395</f>
        <v>ASSOCIAÇÃO FRANCISCANA DE SOLIDARIEDADE</v>
      </c>
      <c r="D6" t="e">
        <f>'Base de Dados'!F7:F1395</f>
        <v>#VALUE!</v>
      </c>
      <c r="E6" t="e">
        <f>'Base de Dados'!G7:G1392</f>
        <v>#VALUE!</v>
      </c>
      <c r="F6" t="e">
        <f>'Base de Dados'!I7:I1393</f>
        <v>#VALUE!</v>
      </c>
    </row>
    <row r="7" spans="2:6" x14ac:dyDescent="0.25">
      <c r="B7" t="e">
        <f>'Base de Dados'!Y8:Y1397</f>
        <v>#VALUE!</v>
      </c>
      <c r="C7" t="str">
        <f>'Base de Dados'!E7:E1396</f>
        <v>ASSOCIAÇÃO FRANCISCANA DE SOLIDARIEDADE - SEFRAS</v>
      </c>
      <c r="D7" t="e">
        <f>'Base de Dados'!F8:F1396</f>
        <v>#VALUE!</v>
      </c>
      <c r="E7" t="e">
        <f>'Base de Dados'!G8:G1393</f>
        <v>#VALUE!</v>
      </c>
      <c r="F7" t="e">
        <f>'Base de Dados'!I8:I1394</f>
        <v>#VALUE!</v>
      </c>
    </row>
    <row r="8" spans="2:6" x14ac:dyDescent="0.25">
      <c r="B8" t="e">
        <f>'Base de Dados'!Y9:Y1398</f>
        <v>#VALUE!</v>
      </c>
      <c r="C8" t="str">
        <f>'Base de Dados'!E8:E1397</f>
        <v>SOCIEDADE BENEFICENTE EQUILIBRIO DE INTERLAGOS - SOBEI</v>
      </c>
      <c r="D8" t="e">
        <f>'Base de Dados'!F9:F1397</f>
        <v>#VALUE!</v>
      </c>
      <c r="E8" t="e">
        <f>'Base de Dados'!G9:G1394</f>
        <v>#VALUE!</v>
      </c>
      <c r="F8" t="e">
        <f>'Base de Dados'!I9:I1395</f>
        <v>#VALUE!</v>
      </c>
    </row>
    <row r="9" spans="2:6" x14ac:dyDescent="0.25">
      <c r="B9" t="e">
        <f>'Base de Dados'!Y10:Y1399</f>
        <v>#VALUE!</v>
      </c>
      <c r="C9" t="str">
        <f>'Base de Dados'!E9:E1398</f>
        <v>SOCIEDADE BENEFICENTE EQUILIBRIO DE INTERLAGOS - SOBEI</v>
      </c>
      <c r="D9" t="e">
        <f>'Base de Dados'!F10:F1398</f>
        <v>#VALUE!</v>
      </c>
      <c r="E9" t="e">
        <f>'Base de Dados'!G10:G1395</f>
        <v>#VALUE!</v>
      </c>
      <c r="F9" t="e">
        <f>'Base de Dados'!I10:I1396</f>
        <v>#VALUE!</v>
      </c>
    </row>
    <row r="10" spans="2:6" x14ac:dyDescent="0.25">
      <c r="B10" t="e">
        <f>'Base de Dados'!Y12:Y1400</f>
        <v>#VALUE!</v>
      </c>
      <c r="C10" t="str">
        <f>'Base de Dados'!E10:E1399</f>
        <v>SOCIEDADE BENEFICENTE EQUILIBRIO DE INTERLAGOS - SOBEI</v>
      </c>
      <c r="D10" t="e">
        <f>'Base de Dados'!F12:F1399</f>
        <v>#VALUE!</v>
      </c>
      <c r="E10" t="e">
        <f>'Base de Dados'!G12:G1396</f>
        <v>#VALUE!</v>
      </c>
      <c r="F10" t="e">
        <f>'Base de Dados'!I12:I1397</f>
        <v>#VALUE!</v>
      </c>
    </row>
    <row r="11" spans="2:6" x14ac:dyDescent="0.25">
      <c r="B11" t="e">
        <f>'Base de Dados'!Y13:Y1401</f>
        <v>#VALUE!</v>
      </c>
      <c r="C11" t="e">
        <f>'Base de Dados'!E12:E1400</f>
        <v>#VALUE!</v>
      </c>
      <c r="D11" t="e">
        <f>'Base de Dados'!F13:F1400</f>
        <v>#VALUE!</v>
      </c>
      <c r="E11" t="e">
        <f>'Base de Dados'!G13:G1397</f>
        <v>#VALUE!</v>
      </c>
      <c r="F11" t="e">
        <f>'Base de Dados'!I13:I1398</f>
        <v>#VALUE!</v>
      </c>
    </row>
    <row r="12" spans="2:6" x14ac:dyDescent="0.25">
      <c r="B12" t="e">
        <f>'Base de Dados'!Y14:Y1402</f>
        <v>#VALUE!</v>
      </c>
      <c r="C12" t="e">
        <f>'Base de Dados'!E13:E1401</f>
        <v>#VALUE!</v>
      </c>
      <c r="D12" t="e">
        <f>'Base de Dados'!F14:F1401</f>
        <v>#VALUE!</v>
      </c>
      <c r="E12" t="e">
        <f>'Base de Dados'!G14:G1398</f>
        <v>#VALUE!</v>
      </c>
      <c r="F12" t="e">
        <f>'Base de Dados'!I14:I1399</f>
        <v>#VALUE!</v>
      </c>
    </row>
    <row r="13" spans="2:6" x14ac:dyDescent="0.25">
      <c r="B13" t="e">
        <f>'Base de Dados'!Y15:Y1403</f>
        <v>#VALUE!</v>
      </c>
      <c r="C13" t="e">
        <f>'Base de Dados'!E14:E1402</f>
        <v>#VALUE!</v>
      </c>
      <c r="D13" t="e">
        <f>'Base de Dados'!F15:F1402</f>
        <v>#VALUE!</v>
      </c>
      <c r="E13" t="e">
        <f>'Base de Dados'!G15:G1399</f>
        <v>#VALUE!</v>
      </c>
      <c r="F13" t="e">
        <f>'Base de Dados'!I15:I1400</f>
        <v>#VALUE!</v>
      </c>
    </row>
    <row r="14" spans="2:6" x14ac:dyDescent="0.25">
      <c r="B14" t="e">
        <f>'Base de Dados'!Y16:Y1404</f>
        <v>#VALUE!</v>
      </c>
      <c r="C14" t="e">
        <f>'Base de Dados'!E15:E1403</f>
        <v>#VALUE!</v>
      </c>
      <c r="D14" t="e">
        <f>'Base de Dados'!F16:F1403</f>
        <v>#VALUE!</v>
      </c>
      <c r="E14" t="e">
        <f>'Base de Dados'!G16:G1400</f>
        <v>#VALUE!</v>
      </c>
      <c r="F14" t="e">
        <f>'Base de Dados'!I16:I1401</f>
        <v>#VALUE!</v>
      </c>
    </row>
    <row r="15" spans="2:6" x14ac:dyDescent="0.25">
      <c r="B15" t="e">
        <f>'Base de Dados'!Y17:Y1405</f>
        <v>#VALUE!</v>
      </c>
      <c r="C15" t="e">
        <f>'Base de Dados'!E16:E1404</f>
        <v>#VALUE!</v>
      </c>
      <c r="D15" t="e">
        <f>'Base de Dados'!F17:F1404</f>
        <v>#VALUE!</v>
      </c>
      <c r="E15" t="e">
        <f>'Base de Dados'!G17:G1401</f>
        <v>#VALUE!</v>
      </c>
      <c r="F15" t="e">
        <f>'Base de Dados'!I17:I1402</f>
        <v>#VALUE!</v>
      </c>
    </row>
    <row r="16" spans="2:6" x14ac:dyDescent="0.25">
      <c r="B16" t="e">
        <f>'Base de Dados'!Y18:Y1406</f>
        <v>#VALUE!</v>
      </c>
      <c r="C16" t="e">
        <f>'Base de Dados'!E17:E1405</f>
        <v>#VALUE!</v>
      </c>
      <c r="D16" t="e">
        <f>'Base de Dados'!F18:F1405</f>
        <v>#VALUE!</v>
      </c>
      <c r="E16" t="e">
        <f>'Base de Dados'!G18:G1402</f>
        <v>#VALUE!</v>
      </c>
      <c r="F16" t="e">
        <f>'Base de Dados'!I18:I1403</f>
        <v>#VALUE!</v>
      </c>
    </row>
    <row r="17" spans="2:6" x14ac:dyDescent="0.25">
      <c r="B17" t="e">
        <f>'Base de Dados'!Y19:Y1407</f>
        <v>#VALUE!</v>
      </c>
      <c r="C17" t="e">
        <f>'Base de Dados'!E18:E1406</f>
        <v>#VALUE!</v>
      </c>
      <c r="D17" t="e">
        <f>'Base de Dados'!F19:F1406</f>
        <v>#VALUE!</v>
      </c>
      <c r="E17" t="e">
        <f>'Base de Dados'!G19:G1403</f>
        <v>#VALUE!</v>
      </c>
      <c r="F17" t="e">
        <f>'Base de Dados'!I19:I1404</f>
        <v>#VALUE!</v>
      </c>
    </row>
    <row r="18" spans="2:6" x14ac:dyDescent="0.25">
      <c r="B18" t="e">
        <f>'Base de Dados'!Y20:Y1408</f>
        <v>#VALUE!</v>
      </c>
      <c r="C18" t="e">
        <f>'Base de Dados'!E19:E1407</f>
        <v>#VALUE!</v>
      </c>
      <c r="D18" t="e">
        <f>'Base de Dados'!F20:F1407</f>
        <v>#VALUE!</v>
      </c>
      <c r="E18" t="e">
        <f>'Base de Dados'!G20:G1404</f>
        <v>#VALUE!</v>
      </c>
      <c r="F18" t="e">
        <f>'Base de Dados'!I20:I1405</f>
        <v>#VALUE!</v>
      </c>
    </row>
    <row r="19" spans="2:6" x14ac:dyDescent="0.25">
      <c r="B19" t="e">
        <f>'Base de Dados'!Y21:Y1409</f>
        <v>#VALUE!</v>
      </c>
      <c r="C19" t="e">
        <f>'Base de Dados'!E20:E1408</f>
        <v>#VALUE!</v>
      </c>
      <c r="D19" t="e">
        <f>'Base de Dados'!F21:F1408</f>
        <v>#VALUE!</v>
      </c>
      <c r="E19" t="e">
        <f>'Base de Dados'!G21:G1405</f>
        <v>#VALUE!</v>
      </c>
      <c r="F19" t="e">
        <f>'Base de Dados'!I21:I1406</f>
        <v>#VALUE!</v>
      </c>
    </row>
    <row r="20" spans="2:6" x14ac:dyDescent="0.25">
      <c r="B20" t="e">
        <f>'Base de Dados'!Y22:Y1410</f>
        <v>#VALUE!</v>
      </c>
      <c r="C20" t="e">
        <f>'Base de Dados'!E21:E1409</f>
        <v>#VALUE!</v>
      </c>
      <c r="D20" t="e">
        <f>'Base de Dados'!F22:F1409</f>
        <v>#VALUE!</v>
      </c>
      <c r="E20" t="e">
        <f>'Base de Dados'!G22:G1406</f>
        <v>#VALUE!</v>
      </c>
      <c r="F20" t="e">
        <f>'Base de Dados'!I22:I1407</f>
        <v>#VALUE!</v>
      </c>
    </row>
    <row r="21" spans="2:6" x14ac:dyDescent="0.25">
      <c r="B21" t="e">
        <f>'Base de Dados'!Y23:Y1411</f>
        <v>#VALUE!</v>
      </c>
      <c r="C21" t="e">
        <f>'Base de Dados'!E22:E1410</f>
        <v>#VALUE!</v>
      </c>
      <c r="D21" t="e">
        <f>'Base de Dados'!F23:F1410</f>
        <v>#VALUE!</v>
      </c>
      <c r="E21" t="e">
        <f>'Base de Dados'!G23:G1407</f>
        <v>#VALUE!</v>
      </c>
      <c r="F21" t="e">
        <f>'Base de Dados'!I23:I1408</f>
        <v>#VALUE!</v>
      </c>
    </row>
    <row r="22" spans="2:6" x14ac:dyDescent="0.25">
      <c r="B22" t="e">
        <f>'Base de Dados'!Y24:Y1412</f>
        <v>#VALUE!</v>
      </c>
      <c r="C22" t="e">
        <f>'Base de Dados'!E23:E1411</f>
        <v>#VALUE!</v>
      </c>
      <c r="D22" t="e">
        <f>'Base de Dados'!F24:F1411</f>
        <v>#VALUE!</v>
      </c>
      <c r="E22" t="e">
        <f>'Base de Dados'!G24:G1408</f>
        <v>#VALUE!</v>
      </c>
      <c r="F22" t="e">
        <f>'Base de Dados'!I24:I1409</f>
        <v>#VALUE!</v>
      </c>
    </row>
    <row r="23" spans="2:6" x14ac:dyDescent="0.25">
      <c r="B23" t="e">
        <f>'Base de Dados'!Y25:Y1413</f>
        <v>#VALUE!</v>
      </c>
      <c r="C23" t="e">
        <f>'Base de Dados'!E24:E1412</f>
        <v>#VALUE!</v>
      </c>
      <c r="D23" t="e">
        <f>'Base de Dados'!F25:F1412</f>
        <v>#VALUE!</v>
      </c>
      <c r="E23" t="e">
        <f>'Base de Dados'!G25:G1409</f>
        <v>#VALUE!</v>
      </c>
      <c r="F23" t="e">
        <f>'Base de Dados'!I25:I1410</f>
        <v>#VALUE!</v>
      </c>
    </row>
    <row r="24" spans="2:6" x14ac:dyDescent="0.25">
      <c r="B24" t="e">
        <f>'Base de Dados'!Y26:Y1414</f>
        <v>#VALUE!</v>
      </c>
      <c r="C24" t="e">
        <f>'Base de Dados'!E25:E1413</f>
        <v>#VALUE!</v>
      </c>
      <c r="D24" t="e">
        <f>'Base de Dados'!F26:F1413</f>
        <v>#VALUE!</v>
      </c>
      <c r="E24" t="e">
        <f>'Base de Dados'!G26:G1410</f>
        <v>#VALUE!</v>
      </c>
      <c r="F24" t="e">
        <f>'Base de Dados'!I26:I1411</f>
        <v>#VALUE!</v>
      </c>
    </row>
    <row r="25" spans="2:6" x14ac:dyDescent="0.25">
      <c r="B25" t="e">
        <f>'Base de Dados'!Y27:Y1415</f>
        <v>#VALUE!</v>
      </c>
      <c r="C25" t="e">
        <f>'Base de Dados'!E26:E1414</f>
        <v>#VALUE!</v>
      </c>
      <c r="D25" t="e">
        <f>'Base de Dados'!F27:F1414</f>
        <v>#VALUE!</v>
      </c>
      <c r="E25" t="e">
        <f>'Base de Dados'!G27:G1411</f>
        <v>#VALUE!</v>
      </c>
      <c r="F25" t="e">
        <f>'Base de Dados'!I27:I1412</f>
        <v>#VALUE!</v>
      </c>
    </row>
    <row r="26" spans="2:6" x14ac:dyDescent="0.25">
      <c r="B26" t="e">
        <f>'Base de Dados'!Y28:Y1416</f>
        <v>#VALUE!</v>
      </c>
      <c r="C26" t="e">
        <f>'Base de Dados'!E27:E1415</f>
        <v>#VALUE!</v>
      </c>
      <c r="D26" t="e">
        <f>'Base de Dados'!F28:F1415</f>
        <v>#VALUE!</v>
      </c>
      <c r="E26" t="e">
        <f>'Base de Dados'!G28:G1412</f>
        <v>#VALUE!</v>
      </c>
      <c r="F26" t="e">
        <f>'Base de Dados'!I28:I1413</f>
        <v>#VALUE!</v>
      </c>
    </row>
    <row r="27" spans="2:6" x14ac:dyDescent="0.25">
      <c r="B27" t="e">
        <f>'Base de Dados'!Y29:Y1417</f>
        <v>#VALUE!</v>
      </c>
      <c r="C27" t="e">
        <f>'Base de Dados'!E28:E1416</f>
        <v>#VALUE!</v>
      </c>
      <c r="D27" t="e">
        <f>'Base de Dados'!F29:F1416</f>
        <v>#VALUE!</v>
      </c>
      <c r="E27" t="e">
        <f>'Base de Dados'!G29:G1413</f>
        <v>#VALUE!</v>
      </c>
      <c r="F27" t="e">
        <f>'Base de Dados'!I29:I1414</f>
        <v>#VALUE!</v>
      </c>
    </row>
    <row r="28" spans="2:6" x14ac:dyDescent="0.25">
      <c r="B28" t="e">
        <f>'Base de Dados'!Y30:Y1418</f>
        <v>#VALUE!</v>
      </c>
      <c r="C28" t="e">
        <f>'Base de Dados'!E29:E1417</f>
        <v>#VALUE!</v>
      </c>
      <c r="D28" t="e">
        <f>'Base de Dados'!F30:F1417</f>
        <v>#VALUE!</v>
      </c>
      <c r="E28" t="e">
        <f>'Base de Dados'!G30:G1414</f>
        <v>#VALUE!</v>
      </c>
      <c r="F28" t="e">
        <f>'Base de Dados'!I30:I1415</f>
        <v>#VALUE!</v>
      </c>
    </row>
    <row r="29" spans="2:6" x14ac:dyDescent="0.25">
      <c r="B29" t="e">
        <f>'Base de Dados'!Y31:Y1419</f>
        <v>#VALUE!</v>
      </c>
      <c r="C29" t="e">
        <f>'Base de Dados'!E30:E1418</f>
        <v>#VALUE!</v>
      </c>
      <c r="D29" t="e">
        <f>'Base de Dados'!F31:F1418</f>
        <v>#VALUE!</v>
      </c>
      <c r="E29" t="e">
        <f>'Base de Dados'!G31:G1415</f>
        <v>#VALUE!</v>
      </c>
      <c r="F29" t="e">
        <f>'Base de Dados'!I31:I1416</f>
        <v>#VALUE!</v>
      </c>
    </row>
    <row r="30" spans="2:6" x14ac:dyDescent="0.25">
      <c r="B30" t="e">
        <f>'Base de Dados'!Y32:Y1420</f>
        <v>#VALUE!</v>
      </c>
      <c r="C30" t="e">
        <f>'Base de Dados'!E31:E1419</f>
        <v>#VALUE!</v>
      </c>
      <c r="D30" t="e">
        <f>'Base de Dados'!F32:F1419</f>
        <v>#VALUE!</v>
      </c>
      <c r="E30" t="e">
        <f>'Base de Dados'!G32:G1416</f>
        <v>#VALUE!</v>
      </c>
      <c r="F30" t="e">
        <f>'Base de Dados'!I32:I1417</f>
        <v>#VALUE!</v>
      </c>
    </row>
    <row r="31" spans="2:6" x14ac:dyDescent="0.25">
      <c r="B31" t="e">
        <f>'Base de Dados'!Y33:Y1421</f>
        <v>#VALUE!</v>
      </c>
      <c r="C31" t="e">
        <f>'Base de Dados'!E32:E1420</f>
        <v>#VALUE!</v>
      </c>
      <c r="D31" t="e">
        <f>'Base de Dados'!F33:F1420</f>
        <v>#VALUE!</v>
      </c>
      <c r="E31" t="e">
        <f>'Base de Dados'!G33:G1417</f>
        <v>#VALUE!</v>
      </c>
      <c r="F31" t="e">
        <f>'Base de Dados'!I33:I1418</f>
        <v>#VALUE!</v>
      </c>
    </row>
    <row r="32" spans="2:6" x14ac:dyDescent="0.25">
      <c r="B32" t="e">
        <f>'Base de Dados'!Y36:Y1422</f>
        <v>#VALUE!</v>
      </c>
      <c r="C32" t="e">
        <f>'Base de Dados'!E33:E1421</f>
        <v>#VALUE!</v>
      </c>
      <c r="D32" t="e">
        <f>'Base de Dados'!F36:F1421</f>
        <v>#VALUE!</v>
      </c>
      <c r="E32" t="e">
        <f>'Base de Dados'!G36:G1418</f>
        <v>#VALUE!</v>
      </c>
      <c r="F32" t="e">
        <f>'Base de Dados'!I36:I1419</f>
        <v>#VALUE!</v>
      </c>
    </row>
    <row r="33" spans="2:6" x14ac:dyDescent="0.25">
      <c r="B33" t="e">
        <f>'Base de Dados'!Y37:Y1423</f>
        <v>#VALUE!</v>
      </c>
      <c r="C33" t="e">
        <f>'Base de Dados'!E36:E1422</f>
        <v>#VALUE!</v>
      </c>
      <c r="D33" t="e">
        <f>'Base de Dados'!F37:F1422</f>
        <v>#VALUE!</v>
      </c>
      <c r="E33" t="e">
        <f>'Base de Dados'!G37:G1419</f>
        <v>#VALUE!</v>
      </c>
      <c r="F33" t="e">
        <f>'Base de Dados'!I37:I1420</f>
        <v>#VALUE!</v>
      </c>
    </row>
    <row r="34" spans="2:6" x14ac:dyDescent="0.25">
      <c r="B34" t="e">
        <f>'Base de Dados'!Y38:Y1424</f>
        <v>#VALUE!</v>
      </c>
      <c r="C34" t="e">
        <f>'Base de Dados'!E37:E1423</f>
        <v>#VALUE!</v>
      </c>
      <c r="D34" t="e">
        <f>'Base de Dados'!F38:F1423</f>
        <v>#VALUE!</v>
      </c>
      <c r="E34" t="e">
        <f>'Base de Dados'!G38:G1420</f>
        <v>#VALUE!</v>
      </c>
      <c r="F34" t="e">
        <f>'Base de Dados'!I38:I1421</f>
        <v>#VALUE!</v>
      </c>
    </row>
    <row r="35" spans="2:6" x14ac:dyDescent="0.25">
      <c r="B35" t="e">
        <f>'Base de Dados'!Y39:Y1425</f>
        <v>#VALUE!</v>
      </c>
      <c r="C35" t="e">
        <f>'Base de Dados'!E38:E1424</f>
        <v>#VALUE!</v>
      </c>
      <c r="D35" t="e">
        <f>'Base de Dados'!F39:F1424</f>
        <v>#VALUE!</v>
      </c>
      <c r="E35" t="e">
        <f>'Base de Dados'!G39:G1421</f>
        <v>#VALUE!</v>
      </c>
      <c r="F35" t="e">
        <f>'Base de Dados'!I39:I1422</f>
        <v>#VALUE!</v>
      </c>
    </row>
    <row r="36" spans="2:6" x14ac:dyDescent="0.25">
      <c r="B36" t="e">
        <f>'Base de Dados'!Y40:Y1426</f>
        <v>#VALUE!</v>
      </c>
      <c r="C36" t="e">
        <f>'Base de Dados'!E39:E1425</f>
        <v>#VALUE!</v>
      </c>
      <c r="D36" t="e">
        <f>'Base de Dados'!F40:F1425</f>
        <v>#VALUE!</v>
      </c>
      <c r="E36" t="e">
        <f>'Base de Dados'!G40:G1422</f>
        <v>#VALUE!</v>
      </c>
      <c r="F36" t="e">
        <f>'Base de Dados'!I40:I1423</f>
        <v>#VALUE!</v>
      </c>
    </row>
    <row r="37" spans="2:6" x14ac:dyDescent="0.25">
      <c r="B37" t="e">
        <f>'Base de Dados'!Y41:Y1427</f>
        <v>#VALUE!</v>
      </c>
      <c r="C37" t="e">
        <f>'Base de Dados'!E40:E1426</f>
        <v>#VALUE!</v>
      </c>
      <c r="D37" t="e">
        <f>'Base de Dados'!F41:F1426</f>
        <v>#VALUE!</v>
      </c>
      <c r="E37" t="e">
        <f>'Base de Dados'!G41:G1423</f>
        <v>#VALUE!</v>
      </c>
      <c r="F37" t="e">
        <f>'Base de Dados'!I41:I1424</f>
        <v>#VALUE!</v>
      </c>
    </row>
    <row r="38" spans="2:6" x14ac:dyDescent="0.25">
      <c r="B38" t="e">
        <f>'Base de Dados'!Y42:Y1428</f>
        <v>#VALUE!</v>
      </c>
      <c r="C38" t="e">
        <f>'Base de Dados'!E41:E1427</f>
        <v>#VALUE!</v>
      </c>
      <c r="D38" t="e">
        <f>'Base de Dados'!F42:F1427</f>
        <v>#VALUE!</v>
      </c>
      <c r="E38" t="e">
        <f>'Base de Dados'!G42:G1424</f>
        <v>#VALUE!</v>
      </c>
      <c r="F38" t="e">
        <f>'Base de Dados'!I42:I1425</f>
        <v>#VALUE!</v>
      </c>
    </row>
    <row r="39" spans="2:6" x14ac:dyDescent="0.25">
      <c r="B39" t="e">
        <f>'Base de Dados'!Y43:Y1429</f>
        <v>#VALUE!</v>
      </c>
      <c r="C39" t="e">
        <f>'Base de Dados'!E42:E1428</f>
        <v>#VALUE!</v>
      </c>
      <c r="D39" t="e">
        <f>'Base de Dados'!F43:F1428</f>
        <v>#VALUE!</v>
      </c>
      <c r="E39" t="e">
        <f>'Base de Dados'!G43:G1425</f>
        <v>#VALUE!</v>
      </c>
      <c r="F39" t="e">
        <f>'Base de Dados'!I43:I1426</f>
        <v>#VALUE!</v>
      </c>
    </row>
    <row r="40" spans="2:6" x14ac:dyDescent="0.25">
      <c r="B40" t="e">
        <f>'Base de Dados'!Y44:Y1430</f>
        <v>#VALUE!</v>
      </c>
      <c r="C40" t="e">
        <f>'Base de Dados'!E43:E1429</f>
        <v>#VALUE!</v>
      </c>
      <c r="D40" t="e">
        <f>'Base de Dados'!F44:F1429</f>
        <v>#VALUE!</v>
      </c>
      <c r="E40" t="e">
        <f>'Base de Dados'!G44:G1426</f>
        <v>#VALUE!</v>
      </c>
      <c r="F40" t="e">
        <f>'Base de Dados'!I44:I1427</f>
        <v>#VALUE!</v>
      </c>
    </row>
    <row r="41" spans="2:6" x14ac:dyDescent="0.25">
      <c r="B41" t="e">
        <f>'Base de Dados'!Y45:Y1431</f>
        <v>#VALUE!</v>
      </c>
      <c r="C41" t="e">
        <f>'Base de Dados'!E44:E1430</f>
        <v>#VALUE!</v>
      </c>
      <c r="D41" t="e">
        <f>'Base de Dados'!F45:F1430</f>
        <v>#VALUE!</v>
      </c>
      <c r="E41" t="e">
        <f>'Base de Dados'!G45:G1427</f>
        <v>#VALUE!</v>
      </c>
      <c r="F41" t="e">
        <f>'Base de Dados'!I45:I1428</f>
        <v>#VALUE!</v>
      </c>
    </row>
    <row r="42" spans="2:6" x14ac:dyDescent="0.25">
      <c r="B42" t="e">
        <f>'Base de Dados'!Y46:Y1432</f>
        <v>#VALUE!</v>
      </c>
      <c r="C42" t="e">
        <f>'Base de Dados'!E45:E1431</f>
        <v>#VALUE!</v>
      </c>
      <c r="D42" t="e">
        <f>'Base de Dados'!F46:F1431</f>
        <v>#VALUE!</v>
      </c>
      <c r="E42" t="e">
        <f>'Base de Dados'!G46:G1428</f>
        <v>#VALUE!</v>
      </c>
      <c r="F42" t="e">
        <f>'Base de Dados'!I46:I1429</f>
        <v>#VALUE!</v>
      </c>
    </row>
    <row r="43" spans="2:6" x14ac:dyDescent="0.25">
      <c r="B43" t="e">
        <f>'Base de Dados'!Y47:Y1433</f>
        <v>#VALUE!</v>
      </c>
      <c r="C43" t="e">
        <f>'Base de Dados'!E46:E1432</f>
        <v>#VALUE!</v>
      </c>
      <c r="D43" t="e">
        <f>'Base de Dados'!F47:F1432</f>
        <v>#VALUE!</v>
      </c>
      <c r="E43" t="e">
        <f>'Base de Dados'!G47:G1429</f>
        <v>#VALUE!</v>
      </c>
      <c r="F43" t="e">
        <f>'Base de Dados'!I47:I1430</f>
        <v>#VALUE!</v>
      </c>
    </row>
    <row r="44" spans="2:6" x14ac:dyDescent="0.25">
      <c r="B44" t="e">
        <f>'Base de Dados'!Y48:Y1434</f>
        <v>#VALUE!</v>
      </c>
      <c r="C44" t="e">
        <f>'Base de Dados'!E47:E1433</f>
        <v>#VALUE!</v>
      </c>
      <c r="D44" t="e">
        <f>'Base de Dados'!F48:F1433</f>
        <v>#VALUE!</v>
      </c>
      <c r="E44" t="e">
        <f>'Base de Dados'!G48:G1430</f>
        <v>#VALUE!</v>
      </c>
      <c r="F44" t="e">
        <f>'Base de Dados'!I48:I1431</f>
        <v>#VALUE!</v>
      </c>
    </row>
    <row r="45" spans="2:6" x14ac:dyDescent="0.25">
      <c r="B45" t="e">
        <f>'Base de Dados'!Y49:Y1435</f>
        <v>#VALUE!</v>
      </c>
      <c r="C45" t="e">
        <f>'Base de Dados'!E48:E1434</f>
        <v>#VALUE!</v>
      </c>
      <c r="D45" t="e">
        <f>'Base de Dados'!F49:F1434</f>
        <v>#VALUE!</v>
      </c>
      <c r="E45" t="e">
        <f>'Base de Dados'!G49:G1431</f>
        <v>#VALUE!</v>
      </c>
      <c r="F45" t="e">
        <f>'Base de Dados'!I49:I1432</f>
        <v>#VALUE!</v>
      </c>
    </row>
    <row r="46" spans="2:6" x14ac:dyDescent="0.25">
      <c r="B46" t="e">
        <f>'Base de Dados'!Y50:Y1436</f>
        <v>#VALUE!</v>
      </c>
      <c r="C46" t="e">
        <f>'Base de Dados'!E49:E1435</f>
        <v>#VALUE!</v>
      </c>
      <c r="D46" t="e">
        <f>'Base de Dados'!F50:F1435</f>
        <v>#VALUE!</v>
      </c>
      <c r="E46" t="e">
        <f>'Base de Dados'!G50:G1432</f>
        <v>#VALUE!</v>
      </c>
      <c r="F46" t="e">
        <f>'Base de Dados'!I50:I1433</f>
        <v>#VALUE!</v>
      </c>
    </row>
    <row r="47" spans="2:6" x14ac:dyDescent="0.25">
      <c r="B47" t="e">
        <f>'Base de Dados'!Y51:Y1437</f>
        <v>#VALUE!</v>
      </c>
      <c r="C47" t="e">
        <f>'Base de Dados'!E50:E1436</f>
        <v>#VALUE!</v>
      </c>
      <c r="D47" t="e">
        <f>'Base de Dados'!F51:F1436</f>
        <v>#VALUE!</v>
      </c>
      <c r="E47" t="e">
        <f>'Base de Dados'!G51:G1433</f>
        <v>#VALUE!</v>
      </c>
      <c r="F47" t="e">
        <f>'Base de Dados'!I51:I1434</f>
        <v>#VALUE!</v>
      </c>
    </row>
    <row r="48" spans="2:6" x14ac:dyDescent="0.25">
      <c r="B48" t="e">
        <f>'Base de Dados'!Y52:Y1438</f>
        <v>#VALUE!</v>
      </c>
      <c r="C48" t="e">
        <f>'Base de Dados'!E51:E1437</f>
        <v>#VALUE!</v>
      </c>
      <c r="D48" t="e">
        <f>'Base de Dados'!F52:F1437</f>
        <v>#VALUE!</v>
      </c>
      <c r="E48" t="e">
        <f>'Base de Dados'!G52:G1434</f>
        <v>#VALUE!</v>
      </c>
      <c r="F48" t="e">
        <f>'Base de Dados'!I52:I1435</f>
        <v>#VALUE!</v>
      </c>
    </row>
    <row r="49" spans="2:6" x14ac:dyDescent="0.25">
      <c r="B49" t="e">
        <f>'Base de Dados'!Y53:Y1439</f>
        <v>#VALUE!</v>
      </c>
      <c r="C49" t="e">
        <f>'Base de Dados'!E52:E1438</f>
        <v>#VALUE!</v>
      </c>
      <c r="D49" t="e">
        <f>'Base de Dados'!F53:F1438</f>
        <v>#VALUE!</v>
      </c>
      <c r="E49" t="e">
        <f>'Base de Dados'!G53:G1435</f>
        <v>#VALUE!</v>
      </c>
      <c r="F49" t="e">
        <f>'Base de Dados'!I53:I1436</f>
        <v>#VALUE!</v>
      </c>
    </row>
    <row r="50" spans="2:6" x14ac:dyDescent="0.25">
      <c r="B50" t="e">
        <f>'Base de Dados'!Y54:Y1440</f>
        <v>#VALUE!</v>
      </c>
      <c r="C50" t="e">
        <f>'Base de Dados'!E53:E1439</f>
        <v>#VALUE!</v>
      </c>
      <c r="D50" t="e">
        <f>'Base de Dados'!F54:F1439</f>
        <v>#VALUE!</v>
      </c>
      <c r="E50" t="e">
        <f>'Base de Dados'!G54:G1436</f>
        <v>#VALUE!</v>
      </c>
      <c r="F50" t="e">
        <f>'Base de Dados'!I54:I1437</f>
        <v>#VALUE!</v>
      </c>
    </row>
    <row r="51" spans="2:6" x14ac:dyDescent="0.25">
      <c r="B51" t="e">
        <f>'Base de Dados'!Y55:Y1441</f>
        <v>#VALUE!</v>
      </c>
      <c r="C51" t="e">
        <f>'Base de Dados'!E54:E1440</f>
        <v>#VALUE!</v>
      </c>
      <c r="D51" t="e">
        <f>'Base de Dados'!F55:F1440</f>
        <v>#VALUE!</v>
      </c>
      <c r="E51" t="e">
        <f>'Base de Dados'!G55:G1437</f>
        <v>#VALUE!</v>
      </c>
      <c r="F51" t="e">
        <f>'Base de Dados'!I55:I1438</f>
        <v>#VALUE!</v>
      </c>
    </row>
    <row r="52" spans="2:6" x14ac:dyDescent="0.25">
      <c r="B52" t="e">
        <f>'Base de Dados'!Y57:Y1442</f>
        <v>#VALUE!</v>
      </c>
      <c r="C52" t="e">
        <f>'Base de Dados'!E55:E1441</f>
        <v>#VALUE!</v>
      </c>
      <c r="D52" t="e">
        <f>'Base de Dados'!F57:F1441</f>
        <v>#VALUE!</v>
      </c>
      <c r="E52" t="e">
        <f>'Base de Dados'!G57:G1438</f>
        <v>#VALUE!</v>
      </c>
      <c r="F52" t="e">
        <f>'Base de Dados'!I57:I1439</f>
        <v>#VALUE!</v>
      </c>
    </row>
    <row r="53" spans="2:6" x14ac:dyDescent="0.25">
      <c r="B53" t="e">
        <f>'Base de Dados'!Y58:Y1443</f>
        <v>#VALUE!</v>
      </c>
      <c r="C53" t="e">
        <f>'Base de Dados'!E57:E1442</f>
        <v>#VALUE!</v>
      </c>
      <c r="D53" t="e">
        <f>'Base de Dados'!F58:F1442</f>
        <v>#VALUE!</v>
      </c>
      <c r="E53" t="e">
        <f>'Base de Dados'!G58:G1439</f>
        <v>#VALUE!</v>
      </c>
      <c r="F53" t="e">
        <f>'Base de Dados'!I58:I1440</f>
        <v>#VALUE!</v>
      </c>
    </row>
    <row r="54" spans="2:6" x14ac:dyDescent="0.25">
      <c r="B54" t="e">
        <f>'Base de Dados'!Y59:Y1444</f>
        <v>#VALUE!</v>
      </c>
      <c r="C54" t="e">
        <f>'Base de Dados'!E58:E1443</f>
        <v>#VALUE!</v>
      </c>
      <c r="D54" t="e">
        <f>'Base de Dados'!F59:F1443</f>
        <v>#VALUE!</v>
      </c>
      <c r="E54" t="e">
        <f>'Base de Dados'!G59:G1440</f>
        <v>#VALUE!</v>
      </c>
      <c r="F54" t="e">
        <f>'Base de Dados'!I59:I1441</f>
        <v>#VALUE!</v>
      </c>
    </row>
    <row r="55" spans="2:6" x14ac:dyDescent="0.25">
      <c r="B55" t="e">
        <f>'Base de Dados'!Y60:Y1445</f>
        <v>#VALUE!</v>
      </c>
      <c r="C55" t="e">
        <f>'Base de Dados'!E59:E1444</f>
        <v>#VALUE!</v>
      </c>
      <c r="D55" t="e">
        <f>'Base de Dados'!F60:F1444</f>
        <v>#VALUE!</v>
      </c>
      <c r="E55" t="e">
        <f>'Base de Dados'!G60:G1441</f>
        <v>#VALUE!</v>
      </c>
      <c r="F55" t="e">
        <f>'Base de Dados'!I60:I1442</f>
        <v>#VALUE!</v>
      </c>
    </row>
    <row r="56" spans="2:6" x14ac:dyDescent="0.25">
      <c r="B56" t="e">
        <f>'Base de Dados'!Y62:Y1446</f>
        <v>#VALUE!</v>
      </c>
      <c r="C56" t="e">
        <f>'Base de Dados'!E60:E1445</f>
        <v>#VALUE!</v>
      </c>
      <c r="D56" t="e">
        <f>'Base de Dados'!F62:F1445</f>
        <v>#VALUE!</v>
      </c>
      <c r="E56" t="e">
        <f>'Base de Dados'!G62:G1442</f>
        <v>#VALUE!</v>
      </c>
      <c r="F56" t="e">
        <f>'Base de Dados'!I62:I1443</f>
        <v>#VALUE!</v>
      </c>
    </row>
    <row r="57" spans="2:6" x14ac:dyDescent="0.25">
      <c r="B57" t="e">
        <f>'Base de Dados'!Y63:Y1447</f>
        <v>#VALUE!</v>
      </c>
      <c r="C57" t="e">
        <f>'Base de Dados'!E62:E1446</f>
        <v>#VALUE!</v>
      </c>
      <c r="D57" t="e">
        <f>'Base de Dados'!F63:F1446</f>
        <v>#VALUE!</v>
      </c>
      <c r="E57" t="e">
        <f>'Base de Dados'!G63:G1443</f>
        <v>#VALUE!</v>
      </c>
      <c r="F57" t="e">
        <f>'Base de Dados'!I63:I1444</f>
        <v>#VALUE!</v>
      </c>
    </row>
    <row r="58" spans="2:6" x14ac:dyDescent="0.25">
      <c r="B58" t="e">
        <f>'Base de Dados'!Y64:Y1448</f>
        <v>#VALUE!</v>
      </c>
      <c r="C58" t="e">
        <f>'Base de Dados'!E63:E1447</f>
        <v>#VALUE!</v>
      </c>
      <c r="D58" t="e">
        <f>'Base de Dados'!F64:F1447</f>
        <v>#VALUE!</v>
      </c>
      <c r="E58" t="e">
        <f>'Base de Dados'!G64:G1444</f>
        <v>#VALUE!</v>
      </c>
      <c r="F58" t="e">
        <f>'Base de Dados'!I64:I1445</f>
        <v>#VALUE!</v>
      </c>
    </row>
    <row r="59" spans="2:6" x14ac:dyDescent="0.25">
      <c r="B59" t="e">
        <f>'Base de Dados'!Y67:Y1449</f>
        <v>#VALUE!</v>
      </c>
      <c r="C59" t="e">
        <f>'Base de Dados'!E64:E1448</f>
        <v>#VALUE!</v>
      </c>
      <c r="D59" t="e">
        <f>'Base de Dados'!F67:F1448</f>
        <v>#VALUE!</v>
      </c>
      <c r="E59" t="e">
        <f>'Base de Dados'!G67:G1445</f>
        <v>#VALUE!</v>
      </c>
      <c r="F59" t="e">
        <f>'Base de Dados'!I67:I1446</f>
        <v>#VALUE!</v>
      </c>
    </row>
    <row r="60" spans="2:6" x14ac:dyDescent="0.25">
      <c r="B60" t="e">
        <f>'Base de Dados'!Y67:Y1450</f>
        <v>#VALUE!</v>
      </c>
      <c r="C60" t="e">
        <f>'Base de Dados'!E67:E1449</f>
        <v>#VALUE!</v>
      </c>
      <c r="D60" t="e">
        <f>'Base de Dados'!F67:F1449</f>
        <v>#VALUE!</v>
      </c>
      <c r="E60" t="e">
        <f>'Base de Dados'!G67:G1446</f>
        <v>#VALUE!</v>
      </c>
      <c r="F60" t="e">
        <f>'Base de Dados'!I67:I1447</f>
        <v>#VALUE!</v>
      </c>
    </row>
    <row r="61" spans="2:6" x14ac:dyDescent="0.25">
      <c r="B61" t="e">
        <f>'Base de Dados'!Y68:Y1451</f>
        <v>#VALUE!</v>
      </c>
      <c r="C61" t="e">
        <f>'Base de Dados'!E67:E1450</f>
        <v>#VALUE!</v>
      </c>
      <c r="D61" t="e">
        <f>'Base de Dados'!F68:F1450</f>
        <v>#VALUE!</v>
      </c>
      <c r="E61" t="e">
        <f>'Base de Dados'!G68:G1447</f>
        <v>#VALUE!</v>
      </c>
      <c r="F61" t="e">
        <f>'Base de Dados'!I68:I1448</f>
        <v>#VALUE!</v>
      </c>
    </row>
    <row r="62" spans="2:6" x14ac:dyDescent="0.25">
      <c r="B62" t="e">
        <f>'Base de Dados'!Y69:Y1452</f>
        <v>#VALUE!</v>
      </c>
      <c r="C62" t="e">
        <f>'Base de Dados'!E68:E1451</f>
        <v>#VALUE!</v>
      </c>
      <c r="D62" t="e">
        <f>'Base de Dados'!F69:F1451</f>
        <v>#VALUE!</v>
      </c>
      <c r="E62" t="e">
        <f>'Base de Dados'!G69:G1448</f>
        <v>#VALUE!</v>
      </c>
      <c r="F62" t="e">
        <f>'Base de Dados'!I69:I1449</f>
        <v>#VALUE!</v>
      </c>
    </row>
    <row r="63" spans="2:6" x14ac:dyDescent="0.25">
      <c r="B63" t="e">
        <f>'Base de Dados'!Y71:Y1453</f>
        <v>#VALUE!</v>
      </c>
      <c r="C63" t="e">
        <f>'Base de Dados'!E69:E1452</f>
        <v>#VALUE!</v>
      </c>
      <c r="D63" t="e">
        <f>'Base de Dados'!F71:F1452</f>
        <v>#VALUE!</v>
      </c>
      <c r="E63" t="e">
        <f>'Base de Dados'!G71:G1449</f>
        <v>#VALUE!</v>
      </c>
      <c r="F63" t="e">
        <f>'Base de Dados'!I71:I1450</f>
        <v>#VALUE!</v>
      </c>
    </row>
    <row r="64" spans="2:6" x14ac:dyDescent="0.25">
      <c r="B64" t="e">
        <f>'Base de Dados'!Y72:Y1454</f>
        <v>#VALUE!</v>
      </c>
      <c r="C64" t="e">
        <f>'Base de Dados'!E71:E1453</f>
        <v>#VALUE!</v>
      </c>
      <c r="D64" t="e">
        <f>'Base de Dados'!F72:F1453</f>
        <v>#VALUE!</v>
      </c>
      <c r="E64" t="e">
        <f>'Base de Dados'!G72:G1450</f>
        <v>#VALUE!</v>
      </c>
      <c r="F64" t="e">
        <f>'Base de Dados'!I72:I1451</f>
        <v>#VALUE!</v>
      </c>
    </row>
    <row r="65" spans="2:6" x14ac:dyDescent="0.25">
      <c r="B65" t="e">
        <f>'Base de Dados'!Y74:Y1455</f>
        <v>#VALUE!</v>
      </c>
      <c r="C65" t="e">
        <f>'Base de Dados'!E72:E1454</f>
        <v>#VALUE!</v>
      </c>
      <c r="D65" t="e">
        <f>'Base de Dados'!F74:F1454</f>
        <v>#VALUE!</v>
      </c>
      <c r="E65" t="e">
        <f>'Base de Dados'!G74:G1451</f>
        <v>#VALUE!</v>
      </c>
      <c r="F65" t="e">
        <f>'Base de Dados'!I74:I1452</f>
        <v>#VALUE!</v>
      </c>
    </row>
    <row r="66" spans="2:6" x14ac:dyDescent="0.25">
      <c r="B66" t="e">
        <f>'Base de Dados'!Y75:Y1456</f>
        <v>#VALUE!</v>
      </c>
      <c r="C66" t="e">
        <f>'Base de Dados'!E74:E1455</f>
        <v>#VALUE!</v>
      </c>
      <c r="D66" t="e">
        <f>'Base de Dados'!F75:F1455</f>
        <v>#VALUE!</v>
      </c>
      <c r="E66" t="e">
        <f>'Base de Dados'!G75:G1452</f>
        <v>#VALUE!</v>
      </c>
      <c r="F66" t="e">
        <f>'Base de Dados'!I75:I1453</f>
        <v>#VALUE!</v>
      </c>
    </row>
    <row r="67" spans="2:6" x14ac:dyDescent="0.25">
      <c r="B67" t="e">
        <f>'Base de Dados'!Y76:Y1457</f>
        <v>#VALUE!</v>
      </c>
      <c r="C67" t="e">
        <f>'Base de Dados'!E75:E1456</f>
        <v>#VALUE!</v>
      </c>
      <c r="D67" t="e">
        <f>'Base de Dados'!F76:F1456</f>
        <v>#VALUE!</v>
      </c>
      <c r="E67" t="e">
        <f>'Base de Dados'!G76:G1453</f>
        <v>#VALUE!</v>
      </c>
      <c r="F67" t="e">
        <f>'Base de Dados'!I76:I1454</f>
        <v>#VALUE!</v>
      </c>
    </row>
    <row r="68" spans="2:6" x14ac:dyDescent="0.25">
      <c r="B68" t="e">
        <f>'Base de Dados'!Y77:Y1458</f>
        <v>#VALUE!</v>
      </c>
      <c r="C68" t="e">
        <f>'Base de Dados'!E76:E1457</f>
        <v>#VALUE!</v>
      </c>
      <c r="D68" t="e">
        <f>'Base de Dados'!F77:F1457</f>
        <v>#VALUE!</v>
      </c>
      <c r="E68" t="e">
        <f>'Base de Dados'!G77:G1454</f>
        <v>#VALUE!</v>
      </c>
      <c r="F68" t="e">
        <f>'Base de Dados'!I77:I1455</f>
        <v>#VALUE!</v>
      </c>
    </row>
    <row r="69" spans="2:6" x14ac:dyDescent="0.25">
      <c r="B69" t="e">
        <f>'Base de Dados'!Y78:Y1459</f>
        <v>#VALUE!</v>
      </c>
      <c r="C69" t="e">
        <f>'Base de Dados'!E77:E1458</f>
        <v>#VALUE!</v>
      </c>
      <c r="D69" t="e">
        <f>'Base de Dados'!F78:F1458</f>
        <v>#VALUE!</v>
      </c>
      <c r="E69" t="e">
        <f>'Base de Dados'!G78:G1455</f>
        <v>#VALUE!</v>
      </c>
      <c r="F69" t="e">
        <f>'Base de Dados'!I78:I1456</f>
        <v>#VALUE!</v>
      </c>
    </row>
    <row r="70" spans="2:6" x14ac:dyDescent="0.25">
      <c r="B70" t="e">
        <f>'Base de Dados'!Y79:Y1460</f>
        <v>#VALUE!</v>
      </c>
      <c r="C70" t="e">
        <f>'Base de Dados'!E78:E1459</f>
        <v>#VALUE!</v>
      </c>
      <c r="D70" t="e">
        <f>'Base de Dados'!F79:F1459</f>
        <v>#VALUE!</v>
      </c>
      <c r="E70" t="e">
        <f>'Base de Dados'!G79:G1456</f>
        <v>#VALUE!</v>
      </c>
      <c r="F70" t="e">
        <f>'Base de Dados'!I79:I1457</f>
        <v>#VALUE!</v>
      </c>
    </row>
    <row r="71" spans="2:6" x14ac:dyDescent="0.25">
      <c r="B71" t="e">
        <f>'Base de Dados'!Y80:Y1461</f>
        <v>#VALUE!</v>
      </c>
      <c r="C71" t="e">
        <f>'Base de Dados'!E79:E1460</f>
        <v>#VALUE!</v>
      </c>
      <c r="D71" t="e">
        <f>'Base de Dados'!F80:F1460</f>
        <v>#VALUE!</v>
      </c>
      <c r="E71" t="e">
        <f>'Base de Dados'!G80:G1457</f>
        <v>#VALUE!</v>
      </c>
      <c r="F71" t="e">
        <f>'Base de Dados'!I80:I1458</f>
        <v>#VALUE!</v>
      </c>
    </row>
    <row r="72" spans="2:6" x14ac:dyDescent="0.25">
      <c r="B72" t="e">
        <f>'Base de Dados'!Y81:Y1462</f>
        <v>#VALUE!</v>
      </c>
      <c r="C72" t="e">
        <f>'Base de Dados'!E80:E1461</f>
        <v>#VALUE!</v>
      </c>
      <c r="D72" t="e">
        <f>'Base de Dados'!F81:F1461</f>
        <v>#VALUE!</v>
      </c>
      <c r="E72" t="e">
        <f>'Base de Dados'!G81:G1458</f>
        <v>#VALUE!</v>
      </c>
      <c r="F72" t="e">
        <f>'Base de Dados'!I81:I1459</f>
        <v>#VALUE!</v>
      </c>
    </row>
    <row r="73" spans="2:6" x14ac:dyDescent="0.25">
      <c r="B73" t="e">
        <f>'Base de Dados'!Y82:Y1463</f>
        <v>#VALUE!</v>
      </c>
      <c r="C73" t="e">
        <f>'Base de Dados'!E81:E1462</f>
        <v>#VALUE!</v>
      </c>
      <c r="D73" t="e">
        <f>'Base de Dados'!F82:F1462</f>
        <v>#VALUE!</v>
      </c>
      <c r="E73" t="e">
        <f>'Base de Dados'!G82:G1459</f>
        <v>#VALUE!</v>
      </c>
      <c r="F73" t="e">
        <f>'Base de Dados'!I82:I1460</f>
        <v>#VALUE!</v>
      </c>
    </row>
    <row r="74" spans="2:6" x14ac:dyDescent="0.25">
      <c r="B74" t="e">
        <f>'Base de Dados'!Y83:Y1464</f>
        <v>#VALUE!</v>
      </c>
      <c r="C74" t="e">
        <f>'Base de Dados'!E82:E1463</f>
        <v>#VALUE!</v>
      </c>
      <c r="D74" t="e">
        <f>'Base de Dados'!F83:F1463</f>
        <v>#VALUE!</v>
      </c>
      <c r="E74" t="e">
        <f>'Base de Dados'!G83:G1460</f>
        <v>#VALUE!</v>
      </c>
      <c r="F74" t="e">
        <f>'Base de Dados'!I83:I1461</f>
        <v>#VALUE!</v>
      </c>
    </row>
    <row r="75" spans="2:6" x14ac:dyDescent="0.25">
      <c r="B75" t="e">
        <f>'Base de Dados'!Y84:Y1465</f>
        <v>#VALUE!</v>
      </c>
      <c r="C75" t="e">
        <f>'Base de Dados'!E83:E1464</f>
        <v>#VALUE!</v>
      </c>
      <c r="D75" t="e">
        <f>'Base de Dados'!F84:F1464</f>
        <v>#VALUE!</v>
      </c>
      <c r="E75" t="e">
        <f>'Base de Dados'!G84:G1461</f>
        <v>#VALUE!</v>
      </c>
      <c r="F75" t="e">
        <f>'Base de Dados'!I84:I1462</f>
        <v>#VALUE!</v>
      </c>
    </row>
    <row r="76" spans="2:6" x14ac:dyDescent="0.25">
      <c r="B76" t="e">
        <f>'Base de Dados'!Y85:Y1466</f>
        <v>#VALUE!</v>
      </c>
      <c r="C76" t="e">
        <f>'Base de Dados'!E84:E1465</f>
        <v>#VALUE!</v>
      </c>
      <c r="D76" t="e">
        <f>'Base de Dados'!F85:F1465</f>
        <v>#VALUE!</v>
      </c>
      <c r="E76" t="e">
        <f>'Base de Dados'!G85:G1462</f>
        <v>#VALUE!</v>
      </c>
      <c r="F76" t="e">
        <f>'Base de Dados'!I85:I1463</f>
        <v>#VALUE!</v>
      </c>
    </row>
    <row r="77" spans="2:6" x14ac:dyDescent="0.25">
      <c r="B77" t="e">
        <f>'Base de Dados'!Y86:Y1467</f>
        <v>#VALUE!</v>
      </c>
      <c r="C77" t="e">
        <f>'Base de Dados'!E85:E1466</f>
        <v>#VALUE!</v>
      </c>
      <c r="D77" t="e">
        <f>'Base de Dados'!F86:F1466</f>
        <v>#VALUE!</v>
      </c>
      <c r="E77" t="e">
        <f>'Base de Dados'!G86:G1463</f>
        <v>#VALUE!</v>
      </c>
      <c r="F77" t="e">
        <f>'Base de Dados'!I86:I1464</f>
        <v>#VALUE!</v>
      </c>
    </row>
    <row r="78" spans="2:6" x14ac:dyDescent="0.25">
      <c r="B78" t="e">
        <f>'Base de Dados'!Y87:Y1468</f>
        <v>#VALUE!</v>
      </c>
      <c r="C78" t="e">
        <f>'Base de Dados'!E86:E1467</f>
        <v>#VALUE!</v>
      </c>
      <c r="D78" t="e">
        <f>'Base de Dados'!F87:F1467</f>
        <v>#VALUE!</v>
      </c>
      <c r="E78" t="e">
        <f>'Base de Dados'!G87:G1464</f>
        <v>#VALUE!</v>
      </c>
      <c r="F78" t="e">
        <f>'Base de Dados'!I87:I1465</f>
        <v>#VALUE!</v>
      </c>
    </row>
    <row r="79" spans="2:6" x14ac:dyDescent="0.25">
      <c r="B79" t="e">
        <f>'Base de Dados'!Y88:Y1469</f>
        <v>#VALUE!</v>
      </c>
      <c r="C79" t="e">
        <f>'Base de Dados'!E87:E1468</f>
        <v>#VALUE!</v>
      </c>
      <c r="D79" t="e">
        <f>'Base de Dados'!F88:F1468</f>
        <v>#VALUE!</v>
      </c>
      <c r="E79" t="e">
        <f>'Base de Dados'!G88:G1465</f>
        <v>#VALUE!</v>
      </c>
      <c r="F79" t="e">
        <f>'Base de Dados'!I88:I1466</f>
        <v>#VALUE!</v>
      </c>
    </row>
    <row r="80" spans="2:6" x14ac:dyDescent="0.25">
      <c r="B80" t="e">
        <f>'Base de Dados'!Y90:Y1470</f>
        <v>#VALUE!</v>
      </c>
      <c r="C80" t="e">
        <f>'Base de Dados'!E88:E1469</f>
        <v>#VALUE!</v>
      </c>
      <c r="D80" t="e">
        <f>'Base de Dados'!F90:F1469</f>
        <v>#VALUE!</v>
      </c>
      <c r="E80" t="e">
        <f>'Base de Dados'!G90:G1466</f>
        <v>#VALUE!</v>
      </c>
      <c r="F80" t="e">
        <f>'Base de Dados'!I90:I1467</f>
        <v>#VALUE!</v>
      </c>
    </row>
    <row r="81" spans="2:6" x14ac:dyDescent="0.25">
      <c r="B81" t="e">
        <f>'Base de Dados'!Y91:Y1471</f>
        <v>#VALUE!</v>
      </c>
      <c r="C81" t="e">
        <f>'Base de Dados'!E90:E1470</f>
        <v>#VALUE!</v>
      </c>
      <c r="D81" t="e">
        <f>'Base de Dados'!F91:F1470</f>
        <v>#VALUE!</v>
      </c>
      <c r="E81" t="e">
        <f>'Base de Dados'!G91:G1467</f>
        <v>#VALUE!</v>
      </c>
      <c r="F81" t="e">
        <f>'Base de Dados'!I91:I1468</f>
        <v>#VALUE!</v>
      </c>
    </row>
    <row r="82" spans="2:6" x14ac:dyDescent="0.25">
      <c r="B82" t="e">
        <f>'Base de Dados'!Y92:Y1472</f>
        <v>#VALUE!</v>
      </c>
      <c r="C82" t="e">
        <f>'Base de Dados'!E91:E1471</f>
        <v>#VALUE!</v>
      </c>
      <c r="D82" t="e">
        <f>'Base de Dados'!F92:F1471</f>
        <v>#VALUE!</v>
      </c>
      <c r="E82" t="e">
        <f>'Base de Dados'!G92:G1468</f>
        <v>#VALUE!</v>
      </c>
      <c r="F82" t="e">
        <f>'Base de Dados'!I92:I1469</f>
        <v>#VALUE!</v>
      </c>
    </row>
    <row r="83" spans="2:6" x14ac:dyDescent="0.25">
      <c r="B83" t="e">
        <f>'Base de Dados'!Y93:Y1473</f>
        <v>#VALUE!</v>
      </c>
      <c r="C83" t="e">
        <f>'Base de Dados'!E92:E1472</f>
        <v>#VALUE!</v>
      </c>
      <c r="D83" t="e">
        <f>'Base de Dados'!F93:F1472</f>
        <v>#VALUE!</v>
      </c>
      <c r="E83" t="e">
        <f>'Base de Dados'!G93:G1469</f>
        <v>#VALUE!</v>
      </c>
      <c r="F83" t="e">
        <f>'Base de Dados'!I93:I1470</f>
        <v>#VALUE!</v>
      </c>
    </row>
    <row r="84" spans="2:6" x14ac:dyDescent="0.25">
      <c r="B84" t="e">
        <f>'Base de Dados'!Y94:Y1474</f>
        <v>#VALUE!</v>
      </c>
      <c r="C84" t="e">
        <f>'Base de Dados'!E93:E1473</f>
        <v>#VALUE!</v>
      </c>
      <c r="D84" t="e">
        <f>'Base de Dados'!F94:F1473</f>
        <v>#VALUE!</v>
      </c>
      <c r="E84" t="e">
        <f>'Base de Dados'!G94:G1470</f>
        <v>#VALUE!</v>
      </c>
      <c r="F84" t="e">
        <f>'Base de Dados'!I94:I1471</f>
        <v>#VALUE!</v>
      </c>
    </row>
    <row r="85" spans="2:6" x14ac:dyDescent="0.25">
      <c r="B85" t="e">
        <f>'Base de Dados'!Y95:Y1475</f>
        <v>#VALUE!</v>
      </c>
      <c r="C85" t="e">
        <f>'Base de Dados'!E94:E1474</f>
        <v>#VALUE!</v>
      </c>
      <c r="D85" t="e">
        <f>'Base de Dados'!F95:F1474</f>
        <v>#VALUE!</v>
      </c>
      <c r="E85" t="e">
        <f>'Base de Dados'!G95:G1471</f>
        <v>#VALUE!</v>
      </c>
      <c r="F85" t="e">
        <f>'Base de Dados'!I95:I1472</f>
        <v>#VALUE!</v>
      </c>
    </row>
    <row r="86" spans="2:6" x14ac:dyDescent="0.25">
      <c r="B86" t="e">
        <f>'Base de Dados'!Y96:Y1476</f>
        <v>#VALUE!</v>
      </c>
      <c r="C86" t="e">
        <f>'Base de Dados'!E95:E1475</f>
        <v>#VALUE!</v>
      </c>
      <c r="D86" t="e">
        <f>'Base de Dados'!F96:F1475</f>
        <v>#VALUE!</v>
      </c>
      <c r="E86" t="e">
        <f>'Base de Dados'!G96:G1472</f>
        <v>#VALUE!</v>
      </c>
      <c r="F86" t="e">
        <f>'Base de Dados'!I96:I1473</f>
        <v>#VALUE!</v>
      </c>
    </row>
    <row r="87" spans="2:6" x14ac:dyDescent="0.25">
      <c r="B87" t="e">
        <f>'Base de Dados'!Y97:Y1477</f>
        <v>#VALUE!</v>
      </c>
      <c r="C87" t="e">
        <f>'Base de Dados'!E96:E1476</f>
        <v>#VALUE!</v>
      </c>
      <c r="D87" t="e">
        <f>'Base de Dados'!F97:F1476</f>
        <v>#VALUE!</v>
      </c>
      <c r="E87" t="e">
        <f>'Base de Dados'!G97:G1473</f>
        <v>#VALUE!</v>
      </c>
      <c r="F87" t="e">
        <f>'Base de Dados'!I97:I1474</f>
        <v>#VALUE!</v>
      </c>
    </row>
    <row r="88" spans="2:6" x14ac:dyDescent="0.25">
      <c r="B88" t="e">
        <f>'Base de Dados'!Y98:Y1478</f>
        <v>#VALUE!</v>
      </c>
      <c r="C88" t="e">
        <f>'Base de Dados'!E97:E1477</f>
        <v>#VALUE!</v>
      </c>
      <c r="D88" t="e">
        <f>'Base de Dados'!F98:F1477</f>
        <v>#VALUE!</v>
      </c>
      <c r="E88" t="e">
        <f>'Base de Dados'!G98:G1474</f>
        <v>#VALUE!</v>
      </c>
      <c r="F88" t="e">
        <f>'Base de Dados'!I98:I1475</f>
        <v>#VALUE!</v>
      </c>
    </row>
    <row r="89" spans="2:6" x14ac:dyDescent="0.25">
      <c r="B89" t="e">
        <f>'Base de Dados'!Y99:Y1479</f>
        <v>#VALUE!</v>
      </c>
      <c r="C89" t="e">
        <f>'Base de Dados'!E98:E1478</f>
        <v>#VALUE!</v>
      </c>
      <c r="D89" t="e">
        <f>'Base de Dados'!F99:F1478</f>
        <v>#VALUE!</v>
      </c>
      <c r="E89" t="e">
        <f>'Base de Dados'!G99:G1475</f>
        <v>#VALUE!</v>
      </c>
      <c r="F89" t="e">
        <f>'Base de Dados'!I99:I1476</f>
        <v>#VALUE!</v>
      </c>
    </row>
    <row r="90" spans="2:6" x14ac:dyDescent="0.25">
      <c r="B90" t="e">
        <f>'Base de Dados'!Y100:Y1480</f>
        <v>#VALUE!</v>
      </c>
      <c r="C90" t="e">
        <f>'Base de Dados'!E99:E1479</f>
        <v>#VALUE!</v>
      </c>
      <c r="D90" t="e">
        <f>'Base de Dados'!F100:F1479</f>
        <v>#VALUE!</v>
      </c>
      <c r="E90" t="e">
        <f>'Base de Dados'!G100:G1476</f>
        <v>#VALUE!</v>
      </c>
      <c r="F90" t="e">
        <f>'Base de Dados'!I100:I1477</f>
        <v>#VALUE!</v>
      </c>
    </row>
    <row r="91" spans="2:6" x14ac:dyDescent="0.25">
      <c r="B91" t="e">
        <f>'Base de Dados'!Y101:Y1481</f>
        <v>#VALUE!</v>
      </c>
      <c r="C91" t="e">
        <f>'Base de Dados'!E100:E1480</f>
        <v>#VALUE!</v>
      </c>
      <c r="D91" t="e">
        <f>'Base de Dados'!F101:F1480</f>
        <v>#VALUE!</v>
      </c>
      <c r="E91" t="e">
        <f>'Base de Dados'!G101:G1477</f>
        <v>#VALUE!</v>
      </c>
      <c r="F91" t="e">
        <f>'Base de Dados'!I101:I1478</f>
        <v>#VALUE!</v>
      </c>
    </row>
    <row r="92" spans="2:6" x14ac:dyDescent="0.25">
      <c r="B92" t="e">
        <f>'Base de Dados'!Y102:Y1482</f>
        <v>#VALUE!</v>
      </c>
      <c r="C92" t="e">
        <f>'Base de Dados'!E101:E1481</f>
        <v>#VALUE!</v>
      </c>
      <c r="D92" t="e">
        <f>'Base de Dados'!F102:F1481</f>
        <v>#VALUE!</v>
      </c>
      <c r="E92" t="e">
        <f>'Base de Dados'!G102:G1478</f>
        <v>#VALUE!</v>
      </c>
      <c r="F92" t="e">
        <f>'Base de Dados'!I102:I1479</f>
        <v>#VALUE!</v>
      </c>
    </row>
    <row r="93" spans="2:6" x14ac:dyDescent="0.25">
      <c r="B93" t="e">
        <f>'Base de Dados'!Y103:Y1483</f>
        <v>#VALUE!</v>
      </c>
      <c r="C93" t="e">
        <f>'Base de Dados'!E102:E1482</f>
        <v>#VALUE!</v>
      </c>
      <c r="D93" t="e">
        <f>'Base de Dados'!F103:F1482</f>
        <v>#VALUE!</v>
      </c>
      <c r="E93" t="e">
        <f>'Base de Dados'!G103:G1479</f>
        <v>#VALUE!</v>
      </c>
      <c r="F93" t="e">
        <f>'Base de Dados'!I103:I1480</f>
        <v>#VALUE!</v>
      </c>
    </row>
    <row r="94" spans="2:6" x14ac:dyDescent="0.25">
      <c r="B94" t="e">
        <f>'Base de Dados'!Y105:Y1484</f>
        <v>#VALUE!</v>
      </c>
      <c r="C94" t="e">
        <f>'Base de Dados'!E103:E1483</f>
        <v>#VALUE!</v>
      </c>
      <c r="D94" t="e">
        <f>'Base de Dados'!F105:F1483</f>
        <v>#VALUE!</v>
      </c>
      <c r="E94" t="e">
        <f>'Base de Dados'!G105:G1480</f>
        <v>#VALUE!</v>
      </c>
      <c r="F94" t="e">
        <f>'Base de Dados'!I105:I1481</f>
        <v>#VALUE!</v>
      </c>
    </row>
    <row r="95" spans="2:6" x14ac:dyDescent="0.25">
      <c r="B95" t="e">
        <f>'Base de Dados'!Y106:Y1485</f>
        <v>#VALUE!</v>
      </c>
      <c r="C95" t="e">
        <f>'Base de Dados'!E105:E1484</f>
        <v>#VALUE!</v>
      </c>
      <c r="D95" t="e">
        <f>'Base de Dados'!F106:F1484</f>
        <v>#VALUE!</v>
      </c>
      <c r="E95" t="e">
        <f>'Base de Dados'!G106:G1481</f>
        <v>#VALUE!</v>
      </c>
      <c r="F95" t="e">
        <f>'Base de Dados'!I106:I1482</f>
        <v>#VALUE!</v>
      </c>
    </row>
    <row r="96" spans="2:6" x14ac:dyDescent="0.25">
      <c r="B96" t="e">
        <f>'Base de Dados'!Y107:Y1486</f>
        <v>#VALUE!</v>
      </c>
      <c r="C96" t="e">
        <f>'Base de Dados'!E106:E1485</f>
        <v>#VALUE!</v>
      </c>
      <c r="D96" t="e">
        <f>'Base de Dados'!F107:F1485</f>
        <v>#VALUE!</v>
      </c>
      <c r="E96" t="e">
        <f>'Base de Dados'!G107:G1482</f>
        <v>#VALUE!</v>
      </c>
      <c r="F96" t="e">
        <f>'Base de Dados'!I107:I1483</f>
        <v>#VALUE!</v>
      </c>
    </row>
    <row r="97" spans="2:6" x14ac:dyDescent="0.25">
      <c r="B97" t="e">
        <f>'Base de Dados'!Y109:Y1487</f>
        <v>#VALUE!</v>
      </c>
      <c r="C97" t="e">
        <f>'Base de Dados'!E107:E1486</f>
        <v>#VALUE!</v>
      </c>
      <c r="D97" t="e">
        <f>'Base de Dados'!F109:F1486</f>
        <v>#VALUE!</v>
      </c>
      <c r="E97" t="e">
        <f>'Base de Dados'!G109:G1483</f>
        <v>#VALUE!</v>
      </c>
      <c r="F97" t="e">
        <f>'Base de Dados'!I109:I1484</f>
        <v>#VALUE!</v>
      </c>
    </row>
    <row r="98" spans="2:6" x14ac:dyDescent="0.25">
      <c r="B98" t="e">
        <f>'Base de Dados'!Y110:Y1488</f>
        <v>#VALUE!</v>
      </c>
      <c r="C98" t="e">
        <f>'Base de Dados'!E109:E1487</f>
        <v>#VALUE!</v>
      </c>
      <c r="D98" t="e">
        <f>'Base de Dados'!F110:F1487</f>
        <v>#VALUE!</v>
      </c>
      <c r="E98" t="e">
        <f>'Base de Dados'!G110:G1484</f>
        <v>#VALUE!</v>
      </c>
      <c r="F98" t="e">
        <f>'Base de Dados'!I110:I1485</f>
        <v>#VALUE!</v>
      </c>
    </row>
    <row r="99" spans="2:6" x14ac:dyDescent="0.25">
      <c r="B99" t="e">
        <f>'Base de Dados'!Y111:Y1489</f>
        <v>#VALUE!</v>
      </c>
      <c r="C99" t="e">
        <f>'Base de Dados'!E110:E1488</f>
        <v>#VALUE!</v>
      </c>
      <c r="D99" t="e">
        <f>'Base de Dados'!F111:F1488</f>
        <v>#VALUE!</v>
      </c>
      <c r="E99" t="e">
        <f>'Base de Dados'!G111:G1485</f>
        <v>#VALUE!</v>
      </c>
      <c r="F99" t="e">
        <f>'Base de Dados'!I111:I1486</f>
        <v>#VALUE!</v>
      </c>
    </row>
    <row r="100" spans="2:6" x14ac:dyDescent="0.25">
      <c r="B100" t="e">
        <f>'Base de Dados'!Y113:Y1490</f>
        <v>#VALUE!</v>
      </c>
      <c r="C100" t="e">
        <f>'Base de Dados'!E111:E1489</f>
        <v>#VALUE!</v>
      </c>
      <c r="D100" t="e">
        <f>'Base de Dados'!F113:F1489</f>
        <v>#VALUE!</v>
      </c>
      <c r="E100" t="e">
        <f>'Base de Dados'!G113:G1486</f>
        <v>#VALUE!</v>
      </c>
      <c r="F100" t="e">
        <f>'Base de Dados'!I113:I1487</f>
        <v>#VALUE!</v>
      </c>
    </row>
    <row r="101" spans="2:6" x14ac:dyDescent="0.25">
      <c r="B101" t="e">
        <f>'Base de Dados'!Y114:Y1491</f>
        <v>#VALUE!</v>
      </c>
      <c r="C101" t="e">
        <f>'Base de Dados'!E113:E1490</f>
        <v>#VALUE!</v>
      </c>
      <c r="D101" t="e">
        <f>'Base de Dados'!F114:F1490</f>
        <v>#VALUE!</v>
      </c>
      <c r="E101" t="e">
        <f>'Base de Dados'!G114:G1487</f>
        <v>#VALUE!</v>
      </c>
      <c r="F101" t="e">
        <f>'Base de Dados'!I114:I1488</f>
        <v>#VALUE!</v>
      </c>
    </row>
    <row r="102" spans="2:6" x14ac:dyDescent="0.25">
      <c r="B102" t="e">
        <f>'Base de Dados'!Y115:Y1492</f>
        <v>#VALUE!</v>
      </c>
      <c r="C102" t="e">
        <f>'Base de Dados'!E114:E1491</f>
        <v>#VALUE!</v>
      </c>
      <c r="D102" t="e">
        <f>'Base de Dados'!F115:F1491</f>
        <v>#VALUE!</v>
      </c>
      <c r="E102" t="e">
        <f>'Base de Dados'!G115:G1488</f>
        <v>#VALUE!</v>
      </c>
      <c r="F102" t="e">
        <f>'Base de Dados'!I115:I1489</f>
        <v>#VALUE!</v>
      </c>
    </row>
    <row r="103" spans="2:6" x14ac:dyDescent="0.25">
      <c r="B103" t="e">
        <f>'Base de Dados'!Y116:Y1493</f>
        <v>#VALUE!</v>
      </c>
      <c r="C103" t="e">
        <f>'Base de Dados'!E115:E1492</f>
        <v>#VALUE!</v>
      </c>
      <c r="D103" t="e">
        <f>'Base de Dados'!F116:F1492</f>
        <v>#VALUE!</v>
      </c>
      <c r="E103" t="e">
        <f>'Base de Dados'!G116:G1489</f>
        <v>#VALUE!</v>
      </c>
      <c r="F103" t="e">
        <f>'Base de Dados'!I116:I1490</f>
        <v>#VALUE!</v>
      </c>
    </row>
    <row r="104" spans="2:6" x14ac:dyDescent="0.25">
      <c r="B104" t="e">
        <f>'Base de Dados'!Y117:Y1494</f>
        <v>#VALUE!</v>
      </c>
      <c r="C104" t="e">
        <f>'Base de Dados'!E116:E1493</f>
        <v>#VALUE!</v>
      </c>
      <c r="D104" t="e">
        <f>'Base de Dados'!F117:F1493</f>
        <v>#VALUE!</v>
      </c>
      <c r="E104" t="e">
        <f>'Base de Dados'!G117:G1490</f>
        <v>#VALUE!</v>
      </c>
      <c r="F104" t="e">
        <f>'Base de Dados'!I117:I1491</f>
        <v>#VALUE!</v>
      </c>
    </row>
    <row r="105" spans="2:6" x14ac:dyDescent="0.25">
      <c r="B105" t="e">
        <f>'Base de Dados'!Y118:Y1495</f>
        <v>#VALUE!</v>
      </c>
      <c r="C105" t="e">
        <f>'Base de Dados'!E117:E1494</f>
        <v>#VALUE!</v>
      </c>
      <c r="D105" t="e">
        <f>'Base de Dados'!F118:F1494</f>
        <v>#VALUE!</v>
      </c>
      <c r="E105" t="e">
        <f>'Base de Dados'!G118:G1491</f>
        <v>#VALUE!</v>
      </c>
      <c r="F105" t="e">
        <f>'Base de Dados'!I118:I1492</f>
        <v>#VALUE!</v>
      </c>
    </row>
    <row r="106" spans="2:6" x14ac:dyDescent="0.25">
      <c r="B106" t="e">
        <f>'Base de Dados'!Y119:Y1496</f>
        <v>#VALUE!</v>
      </c>
      <c r="C106" t="e">
        <f>'Base de Dados'!E118:E1495</f>
        <v>#VALUE!</v>
      </c>
      <c r="D106" t="e">
        <f>'Base de Dados'!F119:F1495</f>
        <v>#VALUE!</v>
      </c>
      <c r="E106" t="e">
        <f>'Base de Dados'!G119:G1492</f>
        <v>#VALUE!</v>
      </c>
      <c r="F106" t="e">
        <f>'Base de Dados'!I119:I1493</f>
        <v>#VALUE!</v>
      </c>
    </row>
    <row r="107" spans="2:6" x14ac:dyDescent="0.25">
      <c r="B107" t="e">
        <f>'Base de Dados'!Y120:Y1497</f>
        <v>#VALUE!</v>
      </c>
      <c r="C107" t="e">
        <f>'Base de Dados'!E119:E1496</f>
        <v>#VALUE!</v>
      </c>
      <c r="D107" t="e">
        <f>'Base de Dados'!F120:F1496</f>
        <v>#VALUE!</v>
      </c>
      <c r="E107" t="e">
        <f>'Base de Dados'!G120:G1493</f>
        <v>#VALUE!</v>
      </c>
      <c r="F107" t="e">
        <f>'Base de Dados'!I120:I1494</f>
        <v>#VALUE!</v>
      </c>
    </row>
    <row r="108" spans="2:6" x14ac:dyDescent="0.25">
      <c r="B108" t="e">
        <f>'Base de Dados'!Y121:Y1498</f>
        <v>#VALUE!</v>
      </c>
      <c r="C108" t="e">
        <f>'Base de Dados'!E120:E1497</f>
        <v>#VALUE!</v>
      </c>
      <c r="D108" t="e">
        <f>'Base de Dados'!F121:F1497</f>
        <v>#VALUE!</v>
      </c>
      <c r="E108" t="e">
        <f>'Base de Dados'!G121:G1494</f>
        <v>#VALUE!</v>
      </c>
      <c r="F108" t="e">
        <f>'Base de Dados'!I121:I1495</f>
        <v>#VALUE!</v>
      </c>
    </row>
    <row r="109" spans="2:6" x14ac:dyDescent="0.25">
      <c r="B109" t="e">
        <f>'Base de Dados'!Y122:Y1499</f>
        <v>#VALUE!</v>
      </c>
      <c r="C109" t="e">
        <f>'Base de Dados'!E121:E1498</f>
        <v>#VALUE!</v>
      </c>
      <c r="D109" t="e">
        <f>'Base de Dados'!F122:F1498</f>
        <v>#VALUE!</v>
      </c>
      <c r="E109" t="e">
        <f>'Base de Dados'!G122:G1495</f>
        <v>#VALUE!</v>
      </c>
      <c r="F109" t="e">
        <f>'Base de Dados'!I122:I1496</f>
        <v>#VALUE!</v>
      </c>
    </row>
    <row r="110" spans="2:6" x14ac:dyDescent="0.25">
      <c r="B110" t="e">
        <f>'Base de Dados'!Y123:Y1500</f>
        <v>#VALUE!</v>
      </c>
      <c r="C110" t="e">
        <f>'Base de Dados'!E122:E1499</f>
        <v>#VALUE!</v>
      </c>
      <c r="D110" t="e">
        <f>'Base de Dados'!F123:F1499</f>
        <v>#VALUE!</v>
      </c>
      <c r="E110" t="e">
        <f>'Base de Dados'!G123:G1496</f>
        <v>#VALUE!</v>
      </c>
      <c r="F110" t="e">
        <f>'Base de Dados'!I123:I1497</f>
        <v>#VALUE!</v>
      </c>
    </row>
    <row r="111" spans="2:6" x14ac:dyDescent="0.25">
      <c r="B111" t="e">
        <f>'Base de Dados'!Y124:Y1501</f>
        <v>#VALUE!</v>
      </c>
      <c r="C111" t="e">
        <f>'Base de Dados'!E123:E1500</f>
        <v>#VALUE!</v>
      </c>
      <c r="D111" t="e">
        <f>'Base de Dados'!F124:F1500</f>
        <v>#VALUE!</v>
      </c>
      <c r="E111" t="e">
        <f>'Base de Dados'!G124:G1497</f>
        <v>#VALUE!</v>
      </c>
      <c r="F111" t="e">
        <f>'Base de Dados'!I124:I1498</f>
        <v>#VALUE!</v>
      </c>
    </row>
    <row r="112" spans="2:6" x14ac:dyDescent="0.25">
      <c r="B112" t="e">
        <f>'Base de Dados'!Y125:Y1502</f>
        <v>#VALUE!</v>
      </c>
      <c r="C112" t="e">
        <f>'Base de Dados'!E124:E1501</f>
        <v>#VALUE!</v>
      </c>
      <c r="D112" t="e">
        <f>'Base de Dados'!F125:F1501</f>
        <v>#VALUE!</v>
      </c>
      <c r="E112" t="e">
        <f>'Base de Dados'!G125:G1498</f>
        <v>#VALUE!</v>
      </c>
      <c r="F112" t="e">
        <f>'Base de Dados'!I125:I1499</f>
        <v>#VALUE!</v>
      </c>
    </row>
    <row r="113" spans="2:6" x14ac:dyDescent="0.25">
      <c r="B113" t="e">
        <f>'Base de Dados'!Y126:Y1503</f>
        <v>#VALUE!</v>
      </c>
      <c r="C113" t="e">
        <f>'Base de Dados'!E125:E1502</f>
        <v>#VALUE!</v>
      </c>
      <c r="D113" t="e">
        <f>'Base de Dados'!F126:F1502</f>
        <v>#VALUE!</v>
      </c>
      <c r="E113" t="e">
        <f>'Base de Dados'!G126:G1499</f>
        <v>#VALUE!</v>
      </c>
      <c r="F113" t="e">
        <f>'Base de Dados'!I126:I1500</f>
        <v>#VALUE!</v>
      </c>
    </row>
    <row r="114" spans="2:6" x14ac:dyDescent="0.25">
      <c r="B114" t="e">
        <f>'Base de Dados'!Y127:Y1504</f>
        <v>#VALUE!</v>
      </c>
      <c r="C114" t="e">
        <f>'Base de Dados'!E126:E1503</f>
        <v>#VALUE!</v>
      </c>
      <c r="D114" t="e">
        <f>'Base de Dados'!F127:F1503</f>
        <v>#VALUE!</v>
      </c>
      <c r="E114" t="e">
        <f>'Base de Dados'!G127:G1500</f>
        <v>#VALUE!</v>
      </c>
      <c r="F114" t="e">
        <f>'Base de Dados'!I127:I1501</f>
        <v>#VALUE!</v>
      </c>
    </row>
    <row r="115" spans="2:6" x14ac:dyDescent="0.25">
      <c r="B115" t="e">
        <f>'Base de Dados'!Y128:Y1505</f>
        <v>#VALUE!</v>
      </c>
      <c r="C115" t="e">
        <f>'Base de Dados'!E127:E1504</f>
        <v>#VALUE!</v>
      </c>
      <c r="D115" t="e">
        <f>'Base de Dados'!F128:F1504</f>
        <v>#VALUE!</v>
      </c>
      <c r="E115" t="e">
        <f>'Base de Dados'!G128:G1501</f>
        <v>#VALUE!</v>
      </c>
      <c r="F115" t="e">
        <f>'Base de Dados'!I128:I1502</f>
        <v>#VALUE!</v>
      </c>
    </row>
    <row r="116" spans="2:6" x14ac:dyDescent="0.25">
      <c r="B116" t="e">
        <f>'Base de Dados'!Y129:Y1506</f>
        <v>#VALUE!</v>
      </c>
      <c r="C116" t="e">
        <f>'Base de Dados'!E128:E1505</f>
        <v>#VALUE!</v>
      </c>
      <c r="D116" t="e">
        <f>'Base de Dados'!F129:F1505</f>
        <v>#VALUE!</v>
      </c>
      <c r="E116" t="e">
        <f>'Base de Dados'!G129:G1502</f>
        <v>#VALUE!</v>
      </c>
      <c r="F116" t="e">
        <f>'Base de Dados'!I129:I1503</f>
        <v>#VALUE!</v>
      </c>
    </row>
    <row r="117" spans="2:6" x14ac:dyDescent="0.25">
      <c r="B117" t="e">
        <f>'Base de Dados'!Y130:Y1507</f>
        <v>#VALUE!</v>
      </c>
      <c r="C117" t="e">
        <f>'Base de Dados'!E129:E1506</f>
        <v>#VALUE!</v>
      </c>
      <c r="D117" t="e">
        <f>'Base de Dados'!F130:F1506</f>
        <v>#VALUE!</v>
      </c>
      <c r="E117" t="e">
        <f>'Base de Dados'!G130:G1503</f>
        <v>#VALUE!</v>
      </c>
      <c r="F117" t="e">
        <f>'Base de Dados'!I130:I1504</f>
        <v>#VALUE!</v>
      </c>
    </row>
    <row r="118" spans="2:6" x14ac:dyDescent="0.25">
      <c r="B118" t="e">
        <f>'Base de Dados'!Y131:Y1508</f>
        <v>#VALUE!</v>
      </c>
      <c r="C118" t="e">
        <f>'Base de Dados'!E130:E1507</f>
        <v>#VALUE!</v>
      </c>
      <c r="D118" t="e">
        <f>'Base de Dados'!F131:F1507</f>
        <v>#VALUE!</v>
      </c>
      <c r="E118" t="e">
        <f>'Base de Dados'!G131:G1504</f>
        <v>#VALUE!</v>
      </c>
      <c r="F118" t="e">
        <f>'Base de Dados'!I131:I1505</f>
        <v>#VALUE!</v>
      </c>
    </row>
    <row r="119" spans="2:6" x14ac:dyDescent="0.25">
      <c r="B119" t="e">
        <f>'Base de Dados'!Y132:Y1509</f>
        <v>#VALUE!</v>
      </c>
      <c r="C119" t="e">
        <f>'Base de Dados'!E131:E1508</f>
        <v>#VALUE!</v>
      </c>
      <c r="D119" t="e">
        <f>'Base de Dados'!F132:F1508</f>
        <v>#VALUE!</v>
      </c>
      <c r="E119" t="e">
        <f>'Base de Dados'!G132:G1505</f>
        <v>#VALUE!</v>
      </c>
      <c r="F119" t="e">
        <f>'Base de Dados'!I132:I1506</f>
        <v>#VALUE!</v>
      </c>
    </row>
    <row r="120" spans="2:6" x14ac:dyDescent="0.25">
      <c r="B120" t="e">
        <f>'Base de Dados'!Y133:Y1510</f>
        <v>#VALUE!</v>
      </c>
      <c r="C120" t="e">
        <f>'Base de Dados'!E132:E1509</f>
        <v>#VALUE!</v>
      </c>
      <c r="D120" t="e">
        <f>'Base de Dados'!F133:F1509</f>
        <v>#VALUE!</v>
      </c>
      <c r="E120" t="e">
        <f>'Base de Dados'!G133:G1506</f>
        <v>#VALUE!</v>
      </c>
      <c r="F120" t="e">
        <f>'Base de Dados'!I133:I1507</f>
        <v>#VALUE!</v>
      </c>
    </row>
    <row r="121" spans="2:6" x14ac:dyDescent="0.25">
      <c r="B121" t="e">
        <f>'Base de Dados'!Y134:Y1511</f>
        <v>#VALUE!</v>
      </c>
      <c r="C121" t="e">
        <f>'Base de Dados'!E133:E1510</f>
        <v>#VALUE!</v>
      </c>
      <c r="D121" t="e">
        <f>'Base de Dados'!F134:F1510</f>
        <v>#VALUE!</v>
      </c>
      <c r="E121" t="e">
        <f>'Base de Dados'!G134:G1507</f>
        <v>#VALUE!</v>
      </c>
      <c r="F121" t="e">
        <f>'Base de Dados'!I134:I1508</f>
        <v>#VALUE!</v>
      </c>
    </row>
    <row r="122" spans="2:6" x14ac:dyDescent="0.25">
      <c r="B122" t="e">
        <f>'Base de Dados'!Y135:Y1512</f>
        <v>#VALUE!</v>
      </c>
      <c r="C122" t="e">
        <f>'Base de Dados'!E134:E1511</f>
        <v>#VALUE!</v>
      </c>
      <c r="D122" t="e">
        <f>'Base de Dados'!F135:F1511</f>
        <v>#VALUE!</v>
      </c>
      <c r="E122" t="e">
        <f>'Base de Dados'!G135:G1508</f>
        <v>#VALUE!</v>
      </c>
      <c r="F122" t="e">
        <f>'Base de Dados'!I135:I1509</f>
        <v>#VALUE!</v>
      </c>
    </row>
    <row r="123" spans="2:6" x14ac:dyDescent="0.25">
      <c r="B123" t="e">
        <f>'Base de Dados'!Y136:Y1513</f>
        <v>#VALUE!</v>
      </c>
      <c r="C123" t="e">
        <f>'Base de Dados'!E135:E1512</f>
        <v>#VALUE!</v>
      </c>
      <c r="D123" t="e">
        <f>'Base de Dados'!F136:F1512</f>
        <v>#VALUE!</v>
      </c>
      <c r="E123" t="e">
        <f>'Base de Dados'!G136:G1509</f>
        <v>#VALUE!</v>
      </c>
      <c r="F123" t="e">
        <f>'Base de Dados'!I136:I1510</f>
        <v>#VALUE!</v>
      </c>
    </row>
    <row r="124" spans="2:6" x14ac:dyDescent="0.25">
      <c r="B124" t="e">
        <f>'Base de Dados'!Y137:Y1514</f>
        <v>#VALUE!</v>
      </c>
      <c r="C124" t="e">
        <f>'Base de Dados'!E136:E1513</f>
        <v>#VALUE!</v>
      </c>
      <c r="D124" t="e">
        <f>'Base de Dados'!F137:F1513</f>
        <v>#VALUE!</v>
      </c>
      <c r="E124" t="e">
        <f>'Base de Dados'!G137:G1510</f>
        <v>#VALUE!</v>
      </c>
      <c r="F124" t="e">
        <f>'Base de Dados'!I137:I1511</f>
        <v>#VALUE!</v>
      </c>
    </row>
    <row r="125" spans="2:6" x14ac:dyDescent="0.25">
      <c r="B125" t="e">
        <f>'Base de Dados'!Y138:Y1515</f>
        <v>#VALUE!</v>
      </c>
      <c r="C125" t="e">
        <f>'Base de Dados'!E137:E1514</f>
        <v>#VALUE!</v>
      </c>
      <c r="D125" t="e">
        <f>'Base de Dados'!F138:F1514</f>
        <v>#VALUE!</v>
      </c>
      <c r="E125" t="e">
        <f>'Base de Dados'!G138:G1511</f>
        <v>#VALUE!</v>
      </c>
      <c r="F125" t="e">
        <f>'Base de Dados'!I138:I1512</f>
        <v>#VALUE!</v>
      </c>
    </row>
    <row r="126" spans="2:6" x14ac:dyDescent="0.25">
      <c r="B126" t="e">
        <f>'Base de Dados'!Y139:Y1516</f>
        <v>#VALUE!</v>
      </c>
      <c r="C126" t="e">
        <f>'Base de Dados'!E138:E1515</f>
        <v>#VALUE!</v>
      </c>
      <c r="D126" t="e">
        <f>'Base de Dados'!F139:F1515</f>
        <v>#VALUE!</v>
      </c>
      <c r="E126" t="e">
        <f>'Base de Dados'!G139:G1512</f>
        <v>#VALUE!</v>
      </c>
      <c r="F126" t="e">
        <f>'Base de Dados'!I139:I1513</f>
        <v>#VALUE!</v>
      </c>
    </row>
    <row r="127" spans="2:6" x14ac:dyDescent="0.25">
      <c r="B127" t="e">
        <f>'Base de Dados'!Y140:Y1517</f>
        <v>#VALUE!</v>
      </c>
      <c r="C127" t="e">
        <f>'Base de Dados'!E139:E1516</f>
        <v>#VALUE!</v>
      </c>
      <c r="D127" t="e">
        <f>'Base de Dados'!F140:F1516</f>
        <v>#VALUE!</v>
      </c>
      <c r="E127" t="e">
        <f>'Base de Dados'!G140:G1513</f>
        <v>#VALUE!</v>
      </c>
      <c r="F127" t="e">
        <f>'Base de Dados'!I140:I1514</f>
        <v>#VALUE!</v>
      </c>
    </row>
    <row r="128" spans="2:6" x14ac:dyDescent="0.25">
      <c r="B128" t="e">
        <f>'Base de Dados'!Y141:Y1518</f>
        <v>#VALUE!</v>
      </c>
      <c r="C128" t="e">
        <f>'Base de Dados'!E140:E1517</f>
        <v>#VALUE!</v>
      </c>
      <c r="D128" t="e">
        <f>'Base de Dados'!F141:F1517</f>
        <v>#VALUE!</v>
      </c>
      <c r="E128" t="e">
        <f>'Base de Dados'!G141:G1514</f>
        <v>#VALUE!</v>
      </c>
      <c r="F128" t="e">
        <f>'Base de Dados'!I141:I1515</f>
        <v>#VALUE!</v>
      </c>
    </row>
    <row r="129" spans="2:6" x14ac:dyDescent="0.25">
      <c r="B129" t="e">
        <f>'Base de Dados'!Y142:Y1519</f>
        <v>#VALUE!</v>
      </c>
      <c r="C129" t="e">
        <f>'Base de Dados'!E141:E1518</f>
        <v>#VALUE!</v>
      </c>
      <c r="D129" t="e">
        <f>'Base de Dados'!F142:F1518</f>
        <v>#VALUE!</v>
      </c>
      <c r="E129" t="e">
        <f>'Base de Dados'!G142:G1515</f>
        <v>#VALUE!</v>
      </c>
      <c r="F129" t="e">
        <f>'Base de Dados'!I142:I1516</f>
        <v>#VALUE!</v>
      </c>
    </row>
    <row r="130" spans="2:6" x14ac:dyDescent="0.25">
      <c r="B130" t="e">
        <f>'Base de Dados'!Y147:Y1520</f>
        <v>#VALUE!</v>
      </c>
      <c r="C130" t="e">
        <f>'Base de Dados'!E142:E1519</f>
        <v>#VALUE!</v>
      </c>
      <c r="D130" t="e">
        <f>'Base de Dados'!F147:F1519</f>
        <v>#VALUE!</v>
      </c>
      <c r="E130" t="e">
        <f>'Base de Dados'!G147:G1516</f>
        <v>#VALUE!</v>
      </c>
      <c r="F130" t="e">
        <f>'Base de Dados'!I147:I1517</f>
        <v>#VALUE!</v>
      </c>
    </row>
    <row r="131" spans="2:6" x14ac:dyDescent="0.25">
      <c r="B131" t="e">
        <f>'Base de Dados'!Y148:Y1521</f>
        <v>#VALUE!</v>
      </c>
      <c r="C131" t="e">
        <f>'Base de Dados'!E147:E1520</f>
        <v>#VALUE!</v>
      </c>
      <c r="D131" t="e">
        <f>'Base de Dados'!F148:F1520</f>
        <v>#VALUE!</v>
      </c>
      <c r="E131" t="e">
        <f>'Base de Dados'!G148:G1517</f>
        <v>#VALUE!</v>
      </c>
      <c r="F131" t="e">
        <f>'Base de Dados'!I148:I1518</f>
        <v>#VALUE!</v>
      </c>
    </row>
    <row r="132" spans="2:6" x14ac:dyDescent="0.25">
      <c r="B132" t="e">
        <f>'Base de Dados'!Y149:Y1522</f>
        <v>#VALUE!</v>
      </c>
      <c r="C132" t="e">
        <f>'Base de Dados'!E148:E1521</f>
        <v>#VALUE!</v>
      </c>
      <c r="D132" t="e">
        <f>'Base de Dados'!F149:F1521</f>
        <v>#VALUE!</v>
      </c>
      <c r="E132" t="e">
        <f>'Base de Dados'!G149:G1518</f>
        <v>#VALUE!</v>
      </c>
      <c r="F132" t="e">
        <f>'Base de Dados'!I149:I1519</f>
        <v>#VALUE!</v>
      </c>
    </row>
    <row r="133" spans="2:6" x14ac:dyDescent="0.25">
      <c r="B133" t="e">
        <f>'Base de Dados'!Y150:Y1523</f>
        <v>#VALUE!</v>
      </c>
      <c r="C133" t="e">
        <f>'Base de Dados'!E149:E1522</f>
        <v>#VALUE!</v>
      </c>
      <c r="D133" t="e">
        <f>'Base de Dados'!F150:F1522</f>
        <v>#VALUE!</v>
      </c>
      <c r="E133" t="e">
        <f>'Base de Dados'!G150:G1519</f>
        <v>#VALUE!</v>
      </c>
      <c r="F133" t="e">
        <f>'Base de Dados'!I150:I1520</f>
        <v>#VALUE!</v>
      </c>
    </row>
    <row r="134" spans="2:6" x14ac:dyDescent="0.25">
      <c r="B134" t="e">
        <f>'Base de Dados'!Y151:Y1524</f>
        <v>#VALUE!</v>
      </c>
      <c r="C134" t="e">
        <f>'Base de Dados'!E150:E1523</f>
        <v>#VALUE!</v>
      </c>
      <c r="D134" t="e">
        <f>'Base de Dados'!F151:F1523</f>
        <v>#VALUE!</v>
      </c>
      <c r="E134" t="e">
        <f>'Base de Dados'!G151:G1520</f>
        <v>#VALUE!</v>
      </c>
      <c r="F134" t="e">
        <f>'Base de Dados'!I151:I1521</f>
        <v>#VALUE!</v>
      </c>
    </row>
    <row r="135" spans="2:6" x14ac:dyDescent="0.25">
      <c r="B135" t="e">
        <f>'Base de Dados'!Y152:Y1525</f>
        <v>#VALUE!</v>
      </c>
      <c r="C135" t="e">
        <f>'Base de Dados'!E151:E1524</f>
        <v>#VALUE!</v>
      </c>
      <c r="D135" t="e">
        <f>'Base de Dados'!F152:F1524</f>
        <v>#VALUE!</v>
      </c>
      <c r="E135" t="e">
        <f>'Base de Dados'!G152:G1521</f>
        <v>#VALUE!</v>
      </c>
      <c r="F135" t="e">
        <f>'Base de Dados'!I152:I1522</f>
        <v>#VALUE!</v>
      </c>
    </row>
    <row r="136" spans="2:6" x14ac:dyDescent="0.25">
      <c r="B136" t="e">
        <f>'Base de Dados'!Y153:Y1526</f>
        <v>#VALUE!</v>
      </c>
      <c r="C136" t="e">
        <f>'Base de Dados'!E152:E1525</f>
        <v>#VALUE!</v>
      </c>
      <c r="D136" t="e">
        <f>'Base de Dados'!F153:F1525</f>
        <v>#VALUE!</v>
      </c>
      <c r="E136" t="e">
        <f>'Base de Dados'!G153:G1522</f>
        <v>#VALUE!</v>
      </c>
      <c r="F136" t="e">
        <f>'Base de Dados'!I153:I1523</f>
        <v>#VALUE!</v>
      </c>
    </row>
    <row r="137" spans="2:6" x14ac:dyDescent="0.25">
      <c r="B137" t="e">
        <f>'Base de Dados'!Y154:Y1527</f>
        <v>#VALUE!</v>
      </c>
      <c r="C137" t="e">
        <f>'Base de Dados'!E153:E1526</f>
        <v>#VALUE!</v>
      </c>
      <c r="D137" t="e">
        <f>'Base de Dados'!F154:F1526</f>
        <v>#VALUE!</v>
      </c>
      <c r="E137" t="e">
        <f>'Base de Dados'!G154:G1523</f>
        <v>#VALUE!</v>
      </c>
      <c r="F137" t="e">
        <f>'Base de Dados'!I154:I1524</f>
        <v>#VALUE!</v>
      </c>
    </row>
    <row r="138" spans="2:6" x14ac:dyDescent="0.25">
      <c r="B138" t="e">
        <f>'Base de Dados'!Y155:Y1528</f>
        <v>#VALUE!</v>
      </c>
      <c r="C138" t="e">
        <f>'Base de Dados'!E154:E1527</f>
        <v>#VALUE!</v>
      </c>
      <c r="D138" t="e">
        <f>'Base de Dados'!F155:F1527</f>
        <v>#VALUE!</v>
      </c>
      <c r="E138" t="e">
        <f>'Base de Dados'!G155:G1524</f>
        <v>#VALUE!</v>
      </c>
      <c r="F138" t="e">
        <f>'Base de Dados'!I155:I1525</f>
        <v>#VALUE!</v>
      </c>
    </row>
    <row r="139" spans="2:6" x14ac:dyDescent="0.25">
      <c r="B139" t="e">
        <f>'Base de Dados'!Y160:Y1529</f>
        <v>#VALUE!</v>
      </c>
      <c r="C139" t="e">
        <f>'Base de Dados'!E155:E1528</f>
        <v>#VALUE!</v>
      </c>
      <c r="D139" t="e">
        <f>'Base de Dados'!F160:F1528</f>
        <v>#VALUE!</v>
      </c>
      <c r="E139" t="e">
        <f>'Base de Dados'!G160:G1525</f>
        <v>#VALUE!</v>
      </c>
      <c r="F139" t="e">
        <f>'Base de Dados'!I160:I1526</f>
        <v>#VALUE!</v>
      </c>
    </row>
    <row r="140" spans="2:6" x14ac:dyDescent="0.25">
      <c r="B140" t="e">
        <f>'Base de Dados'!Y161:Y1530</f>
        <v>#VALUE!</v>
      </c>
      <c r="C140" t="e">
        <f>'Base de Dados'!E160:E1529</f>
        <v>#VALUE!</v>
      </c>
      <c r="D140" t="e">
        <f>'Base de Dados'!F161:F1529</f>
        <v>#VALUE!</v>
      </c>
      <c r="E140" t="e">
        <f>'Base de Dados'!G161:G1526</f>
        <v>#VALUE!</v>
      </c>
      <c r="F140" t="e">
        <f>'Base de Dados'!I161:I1527</f>
        <v>#VALUE!</v>
      </c>
    </row>
    <row r="141" spans="2:6" x14ac:dyDescent="0.25">
      <c r="B141" t="e">
        <f>'Base de Dados'!Y162:Y1531</f>
        <v>#VALUE!</v>
      </c>
      <c r="C141" t="e">
        <f>'Base de Dados'!E161:E1530</f>
        <v>#VALUE!</v>
      </c>
      <c r="D141" t="e">
        <f>'Base de Dados'!F162:F1530</f>
        <v>#VALUE!</v>
      </c>
      <c r="E141" t="e">
        <f>'Base de Dados'!G162:G1527</f>
        <v>#VALUE!</v>
      </c>
      <c r="F141" t="e">
        <f>'Base de Dados'!I162:I1528</f>
        <v>#VALUE!</v>
      </c>
    </row>
    <row r="142" spans="2:6" x14ac:dyDescent="0.25">
      <c r="B142" t="e">
        <f>'Base de Dados'!Y163:Y1532</f>
        <v>#VALUE!</v>
      </c>
      <c r="C142" t="e">
        <f>'Base de Dados'!E162:E1531</f>
        <v>#VALUE!</v>
      </c>
      <c r="D142" t="e">
        <f>'Base de Dados'!F163:F1531</f>
        <v>#VALUE!</v>
      </c>
      <c r="E142" t="e">
        <f>'Base de Dados'!G163:G1528</f>
        <v>#VALUE!</v>
      </c>
      <c r="F142" t="e">
        <f>'Base de Dados'!I163:I1529</f>
        <v>#VALUE!</v>
      </c>
    </row>
    <row r="143" spans="2:6" x14ac:dyDescent="0.25">
      <c r="B143" t="e">
        <f>'Base de Dados'!Y164:Y1533</f>
        <v>#VALUE!</v>
      </c>
      <c r="C143" t="e">
        <f>'Base de Dados'!E163:E1532</f>
        <v>#VALUE!</v>
      </c>
      <c r="D143" t="e">
        <f>'Base de Dados'!F164:F1532</f>
        <v>#VALUE!</v>
      </c>
      <c r="E143" t="e">
        <f>'Base de Dados'!G164:G1529</f>
        <v>#VALUE!</v>
      </c>
      <c r="F143" t="e">
        <f>'Base de Dados'!I164:I1530</f>
        <v>#VALUE!</v>
      </c>
    </row>
    <row r="144" spans="2:6" x14ac:dyDescent="0.25">
      <c r="B144" t="e">
        <f>'Base de Dados'!Y166:Y1534</f>
        <v>#VALUE!</v>
      </c>
      <c r="C144" t="e">
        <f>'Base de Dados'!E164:E1533</f>
        <v>#VALUE!</v>
      </c>
      <c r="D144" t="e">
        <f>'Base de Dados'!F166:F1533</f>
        <v>#VALUE!</v>
      </c>
      <c r="E144" t="e">
        <f>'Base de Dados'!G166:G1530</f>
        <v>#VALUE!</v>
      </c>
      <c r="F144" t="e">
        <f>'Base de Dados'!I166:I1531</f>
        <v>#VALUE!</v>
      </c>
    </row>
    <row r="145" spans="2:6" x14ac:dyDescent="0.25">
      <c r="B145" t="e">
        <f>'Base de Dados'!Y168:Y1535</f>
        <v>#VALUE!</v>
      </c>
      <c r="C145" t="e">
        <f>'Base de Dados'!E166:E1534</f>
        <v>#VALUE!</v>
      </c>
      <c r="D145" t="e">
        <f>'Base de Dados'!F168:F1534</f>
        <v>#VALUE!</v>
      </c>
      <c r="E145" t="e">
        <f>'Base de Dados'!G168:G1531</f>
        <v>#VALUE!</v>
      </c>
      <c r="F145" t="e">
        <f>'Base de Dados'!I168:I1532</f>
        <v>#VALUE!</v>
      </c>
    </row>
    <row r="146" spans="2:6" x14ac:dyDescent="0.25">
      <c r="B146" t="e">
        <f>'Base de Dados'!Y169:Y1536</f>
        <v>#VALUE!</v>
      </c>
      <c r="C146" t="e">
        <f>'Base de Dados'!E168:E1535</f>
        <v>#VALUE!</v>
      </c>
      <c r="D146" t="e">
        <f>'Base de Dados'!F169:F1535</f>
        <v>#VALUE!</v>
      </c>
      <c r="E146" t="e">
        <f>'Base de Dados'!G169:G1532</f>
        <v>#VALUE!</v>
      </c>
      <c r="F146" t="e">
        <f>'Base de Dados'!I169:I1533</f>
        <v>#VALUE!</v>
      </c>
    </row>
    <row r="147" spans="2:6" x14ac:dyDescent="0.25">
      <c r="B147" t="e">
        <f>'Base de Dados'!Y170:Y1537</f>
        <v>#VALUE!</v>
      </c>
      <c r="C147" t="e">
        <f>'Base de Dados'!E169:E1536</f>
        <v>#VALUE!</v>
      </c>
      <c r="D147" t="e">
        <f>'Base de Dados'!F170:F1536</f>
        <v>#VALUE!</v>
      </c>
      <c r="E147" t="e">
        <f>'Base de Dados'!G170:G1533</f>
        <v>#VALUE!</v>
      </c>
      <c r="F147" t="e">
        <f>'Base de Dados'!I170:I1534</f>
        <v>#VALUE!</v>
      </c>
    </row>
    <row r="148" spans="2:6" x14ac:dyDescent="0.25">
      <c r="B148" t="e">
        <f>'Base de Dados'!Y171:Y1538</f>
        <v>#VALUE!</v>
      </c>
      <c r="C148" t="e">
        <f>'Base de Dados'!E170:E1537</f>
        <v>#VALUE!</v>
      </c>
      <c r="D148" t="e">
        <f>'Base de Dados'!F171:F1537</f>
        <v>#VALUE!</v>
      </c>
      <c r="E148" t="e">
        <f>'Base de Dados'!G171:G1534</f>
        <v>#VALUE!</v>
      </c>
      <c r="F148" t="e">
        <f>'Base de Dados'!I171:I1535</f>
        <v>#VALUE!</v>
      </c>
    </row>
    <row r="149" spans="2:6" x14ac:dyDescent="0.25">
      <c r="B149" t="e">
        <f>'Base de Dados'!Y172:Y1539</f>
        <v>#VALUE!</v>
      </c>
      <c r="C149" t="e">
        <f>'Base de Dados'!E171:E1538</f>
        <v>#VALUE!</v>
      </c>
      <c r="D149" t="e">
        <f>'Base de Dados'!F172:F1538</f>
        <v>#VALUE!</v>
      </c>
      <c r="E149" t="e">
        <f>'Base de Dados'!G172:G1535</f>
        <v>#VALUE!</v>
      </c>
      <c r="F149" t="e">
        <f>'Base de Dados'!I172:I1536</f>
        <v>#VALUE!</v>
      </c>
    </row>
    <row r="150" spans="2:6" x14ac:dyDescent="0.25">
      <c r="B150" t="e">
        <f>'Base de Dados'!Y173:Y1540</f>
        <v>#VALUE!</v>
      </c>
      <c r="C150" t="e">
        <f>'Base de Dados'!E172:E1539</f>
        <v>#VALUE!</v>
      </c>
      <c r="D150" t="e">
        <f>'Base de Dados'!F173:F1539</f>
        <v>#VALUE!</v>
      </c>
      <c r="E150" t="e">
        <f>'Base de Dados'!G173:G1536</f>
        <v>#VALUE!</v>
      </c>
      <c r="F150" t="e">
        <f>'Base de Dados'!I173:I1537</f>
        <v>#VALUE!</v>
      </c>
    </row>
    <row r="151" spans="2:6" x14ac:dyDescent="0.25">
      <c r="B151" t="e">
        <f>'Base de Dados'!Y174:Y1541</f>
        <v>#VALUE!</v>
      </c>
      <c r="C151" t="e">
        <f>'Base de Dados'!E173:E1540</f>
        <v>#VALUE!</v>
      </c>
      <c r="D151" t="e">
        <f>'Base de Dados'!F174:F1540</f>
        <v>#VALUE!</v>
      </c>
      <c r="E151" t="e">
        <f>'Base de Dados'!G174:G1537</f>
        <v>#VALUE!</v>
      </c>
      <c r="F151" t="e">
        <f>'Base de Dados'!I174:I1538</f>
        <v>#VALUE!</v>
      </c>
    </row>
    <row r="152" spans="2:6" x14ac:dyDescent="0.25">
      <c r="B152" t="e">
        <f>'Base de Dados'!Y175:Y1542</f>
        <v>#VALUE!</v>
      </c>
      <c r="C152" t="e">
        <f>'Base de Dados'!E174:E1541</f>
        <v>#VALUE!</v>
      </c>
      <c r="D152" t="e">
        <f>'Base de Dados'!F175:F1541</f>
        <v>#VALUE!</v>
      </c>
      <c r="E152" t="e">
        <f>'Base de Dados'!G175:G1538</f>
        <v>#VALUE!</v>
      </c>
      <c r="F152" t="e">
        <f>'Base de Dados'!I175:I1539</f>
        <v>#VALUE!</v>
      </c>
    </row>
    <row r="153" spans="2:6" x14ac:dyDescent="0.25">
      <c r="B153" t="e">
        <f>'Base de Dados'!Y176:Y1543</f>
        <v>#VALUE!</v>
      </c>
      <c r="C153" t="e">
        <f>'Base de Dados'!E175:E1542</f>
        <v>#VALUE!</v>
      </c>
      <c r="D153" t="e">
        <f>'Base de Dados'!F176:F1542</f>
        <v>#VALUE!</v>
      </c>
      <c r="E153" t="e">
        <f>'Base de Dados'!G176:G1539</f>
        <v>#VALUE!</v>
      </c>
      <c r="F153" t="e">
        <f>'Base de Dados'!I176:I1540</f>
        <v>#VALUE!</v>
      </c>
    </row>
    <row r="154" spans="2:6" x14ac:dyDescent="0.25">
      <c r="B154" t="e">
        <f>'Base de Dados'!Y177:Y1544</f>
        <v>#VALUE!</v>
      </c>
      <c r="C154" t="e">
        <f>'Base de Dados'!E176:E1543</f>
        <v>#VALUE!</v>
      </c>
      <c r="D154" t="e">
        <f>'Base de Dados'!F177:F1543</f>
        <v>#VALUE!</v>
      </c>
      <c r="E154" t="e">
        <f>'Base de Dados'!G177:G1540</f>
        <v>#VALUE!</v>
      </c>
      <c r="F154" t="e">
        <f>'Base de Dados'!I177:I1541</f>
        <v>#VALUE!</v>
      </c>
    </row>
    <row r="155" spans="2:6" x14ac:dyDescent="0.25">
      <c r="B155" t="e">
        <f>'Base de Dados'!Y178:Y1545</f>
        <v>#VALUE!</v>
      </c>
      <c r="C155" t="e">
        <f>'Base de Dados'!E177:E1544</f>
        <v>#VALUE!</v>
      </c>
      <c r="D155" t="e">
        <f>'Base de Dados'!F178:F1544</f>
        <v>#VALUE!</v>
      </c>
      <c r="E155" t="e">
        <f>'Base de Dados'!G178:G1541</f>
        <v>#VALUE!</v>
      </c>
      <c r="F155" t="e">
        <f>'Base de Dados'!I178:I1542</f>
        <v>#VALUE!</v>
      </c>
    </row>
    <row r="156" spans="2:6" x14ac:dyDescent="0.25">
      <c r="B156" t="e">
        <f>'Base de Dados'!Y179:Y1546</f>
        <v>#VALUE!</v>
      </c>
      <c r="C156" t="e">
        <f>'Base de Dados'!E178:E1545</f>
        <v>#VALUE!</v>
      </c>
      <c r="D156" t="e">
        <f>'Base de Dados'!F179:F1545</f>
        <v>#VALUE!</v>
      </c>
      <c r="E156" t="e">
        <f>'Base de Dados'!G179:G1542</f>
        <v>#VALUE!</v>
      </c>
      <c r="F156" t="e">
        <f>'Base de Dados'!I179:I1543</f>
        <v>#VALUE!</v>
      </c>
    </row>
    <row r="157" spans="2:6" x14ac:dyDescent="0.25">
      <c r="B157" t="e">
        <f>'Base de Dados'!Y180:Y1547</f>
        <v>#VALUE!</v>
      </c>
      <c r="C157" t="e">
        <f>'Base de Dados'!E179:E1546</f>
        <v>#VALUE!</v>
      </c>
      <c r="D157" t="e">
        <f>'Base de Dados'!F180:F1546</f>
        <v>#VALUE!</v>
      </c>
      <c r="E157" t="e">
        <f>'Base de Dados'!G180:G1543</f>
        <v>#VALUE!</v>
      </c>
      <c r="F157" t="e">
        <f>'Base de Dados'!I180:I1544</f>
        <v>#VALUE!</v>
      </c>
    </row>
    <row r="158" spans="2:6" x14ac:dyDescent="0.25">
      <c r="B158" t="e">
        <f>'Base de Dados'!Y181:Y1548</f>
        <v>#VALUE!</v>
      </c>
      <c r="C158" t="e">
        <f>'Base de Dados'!E180:E1547</f>
        <v>#VALUE!</v>
      </c>
      <c r="D158" t="e">
        <f>'Base de Dados'!F181:F1547</f>
        <v>#VALUE!</v>
      </c>
      <c r="E158" t="e">
        <f>'Base de Dados'!G181:G1544</f>
        <v>#VALUE!</v>
      </c>
      <c r="F158" t="e">
        <f>'Base de Dados'!I181:I1545</f>
        <v>#VALUE!</v>
      </c>
    </row>
    <row r="159" spans="2:6" x14ac:dyDescent="0.25">
      <c r="B159" t="e">
        <f>'Base de Dados'!Y182:Y1549</f>
        <v>#VALUE!</v>
      </c>
      <c r="C159" t="e">
        <f>'Base de Dados'!E181:E1548</f>
        <v>#VALUE!</v>
      </c>
      <c r="D159" t="e">
        <f>'Base de Dados'!F182:F1548</f>
        <v>#VALUE!</v>
      </c>
      <c r="E159" t="e">
        <f>'Base de Dados'!G182:G1545</f>
        <v>#VALUE!</v>
      </c>
      <c r="F159" t="e">
        <f>'Base de Dados'!I182:I1546</f>
        <v>#VALUE!</v>
      </c>
    </row>
    <row r="160" spans="2:6" x14ac:dyDescent="0.25">
      <c r="B160" t="e">
        <f>'Base de Dados'!Y183:Y1550</f>
        <v>#VALUE!</v>
      </c>
      <c r="C160" t="e">
        <f>'Base de Dados'!E182:E1549</f>
        <v>#VALUE!</v>
      </c>
      <c r="D160" t="e">
        <f>'Base de Dados'!F183:F1549</f>
        <v>#VALUE!</v>
      </c>
      <c r="E160" t="e">
        <f>'Base de Dados'!G183:G1546</f>
        <v>#VALUE!</v>
      </c>
      <c r="F160" t="e">
        <f>'Base de Dados'!I183:I1547</f>
        <v>#VALUE!</v>
      </c>
    </row>
    <row r="161" spans="2:6" x14ac:dyDescent="0.25">
      <c r="B161" t="e">
        <f>'Base de Dados'!Y187:Y1551</f>
        <v>#VALUE!</v>
      </c>
      <c r="C161" t="e">
        <f>'Base de Dados'!E183:E1550</f>
        <v>#VALUE!</v>
      </c>
      <c r="D161" t="e">
        <f>'Base de Dados'!F187:F1550</f>
        <v>#VALUE!</v>
      </c>
      <c r="E161" t="e">
        <f>'Base de Dados'!G187:G1547</f>
        <v>#VALUE!</v>
      </c>
      <c r="F161" t="e">
        <f>'Base de Dados'!I187:I1548</f>
        <v>#VALUE!</v>
      </c>
    </row>
    <row r="162" spans="2:6" x14ac:dyDescent="0.25">
      <c r="B162" t="e">
        <f>'Base de Dados'!Y188:Y1552</f>
        <v>#VALUE!</v>
      </c>
      <c r="C162" t="e">
        <f>'Base de Dados'!E187:E1551</f>
        <v>#VALUE!</v>
      </c>
      <c r="D162" t="e">
        <f>'Base de Dados'!F188:F1551</f>
        <v>#VALUE!</v>
      </c>
      <c r="E162" t="e">
        <f>'Base de Dados'!G188:G1548</f>
        <v>#VALUE!</v>
      </c>
      <c r="F162" t="e">
        <f>'Base de Dados'!I188:I1549</f>
        <v>#VALUE!</v>
      </c>
    </row>
    <row r="163" spans="2:6" x14ac:dyDescent="0.25">
      <c r="B163" t="e">
        <f>'Base de Dados'!Y189:Y1553</f>
        <v>#VALUE!</v>
      </c>
      <c r="C163" t="e">
        <f>'Base de Dados'!E188:E1552</f>
        <v>#VALUE!</v>
      </c>
      <c r="D163" t="e">
        <f>'Base de Dados'!F189:F1552</f>
        <v>#VALUE!</v>
      </c>
      <c r="E163" t="e">
        <f>'Base de Dados'!G189:G1549</f>
        <v>#VALUE!</v>
      </c>
      <c r="F163" t="e">
        <f>'Base de Dados'!I189:I1550</f>
        <v>#VALUE!</v>
      </c>
    </row>
    <row r="164" spans="2:6" x14ac:dyDescent="0.25">
      <c r="B164" t="e">
        <f>'Base de Dados'!Y190:Y1554</f>
        <v>#VALUE!</v>
      </c>
      <c r="C164" t="e">
        <f>'Base de Dados'!E189:E1553</f>
        <v>#VALUE!</v>
      </c>
      <c r="D164" t="e">
        <f>'Base de Dados'!F190:F1553</f>
        <v>#VALUE!</v>
      </c>
      <c r="E164" t="e">
        <f>'Base de Dados'!G190:G1550</f>
        <v>#VALUE!</v>
      </c>
      <c r="F164" t="e">
        <f>'Base de Dados'!I190:I1551</f>
        <v>#VALUE!</v>
      </c>
    </row>
    <row r="165" spans="2:6" x14ac:dyDescent="0.25">
      <c r="B165" t="e">
        <f>'Base de Dados'!Y191:Y1555</f>
        <v>#VALUE!</v>
      </c>
      <c r="C165" t="e">
        <f>'Base de Dados'!E190:E1554</f>
        <v>#VALUE!</v>
      </c>
      <c r="D165" t="e">
        <f>'Base de Dados'!F191:F1554</f>
        <v>#VALUE!</v>
      </c>
      <c r="E165" t="e">
        <f>'Base de Dados'!G191:G1551</f>
        <v>#VALUE!</v>
      </c>
      <c r="F165" t="e">
        <f>'Base de Dados'!I191:I1552</f>
        <v>#VALUE!</v>
      </c>
    </row>
    <row r="166" spans="2:6" x14ac:dyDescent="0.25">
      <c r="B166" t="e">
        <f>'Base de Dados'!Y192:Y1556</f>
        <v>#VALUE!</v>
      </c>
      <c r="C166" t="e">
        <f>'Base de Dados'!E191:E1555</f>
        <v>#VALUE!</v>
      </c>
      <c r="D166" t="e">
        <f>'Base de Dados'!F192:F1555</f>
        <v>#VALUE!</v>
      </c>
      <c r="E166" t="e">
        <f>'Base de Dados'!G192:G1552</f>
        <v>#VALUE!</v>
      </c>
      <c r="F166" t="e">
        <f>'Base de Dados'!I192:I1553</f>
        <v>#VALUE!</v>
      </c>
    </row>
    <row r="167" spans="2:6" x14ac:dyDescent="0.25">
      <c r="B167" t="e">
        <f>'Base de Dados'!Y193:Y1557</f>
        <v>#VALUE!</v>
      </c>
      <c r="C167" t="e">
        <f>'Base de Dados'!E192:E1556</f>
        <v>#VALUE!</v>
      </c>
      <c r="D167" t="e">
        <f>'Base de Dados'!F193:F1556</f>
        <v>#VALUE!</v>
      </c>
      <c r="E167" t="e">
        <f>'Base de Dados'!G193:G1553</f>
        <v>#VALUE!</v>
      </c>
      <c r="F167" t="e">
        <f>'Base de Dados'!I193:I1554</f>
        <v>#VALUE!</v>
      </c>
    </row>
    <row r="168" spans="2:6" x14ac:dyDescent="0.25">
      <c r="B168" t="e">
        <f>'Base de Dados'!Y194:Y1558</f>
        <v>#VALUE!</v>
      </c>
      <c r="C168" t="e">
        <f>'Base de Dados'!E193:E1557</f>
        <v>#VALUE!</v>
      </c>
      <c r="D168" t="e">
        <f>'Base de Dados'!F194:F1557</f>
        <v>#VALUE!</v>
      </c>
      <c r="E168" t="e">
        <f>'Base de Dados'!G194:G1554</f>
        <v>#VALUE!</v>
      </c>
      <c r="F168" t="e">
        <f>'Base de Dados'!I194:I1555</f>
        <v>#VALUE!</v>
      </c>
    </row>
    <row r="169" spans="2:6" x14ac:dyDescent="0.25">
      <c r="B169" t="e">
        <f>'Base de Dados'!Y195:Y1559</f>
        <v>#VALUE!</v>
      </c>
      <c r="C169" t="e">
        <f>'Base de Dados'!E194:E1558</f>
        <v>#VALUE!</v>
      </c>
      <c r="D169" t="e">
        <f>'Base de Dados'!F195:F1558</f>
        <v>#VALUE!</v>
      </c>
      <c r="E169" t="e">
        <f>'Base de Dados'!G195:G1555</f>
        <v>#VALUE!</v>
      </c>
      <c r="F169" t="e">
        <f>'Base de Dados'!I195:I1556</f>
        <v>#VALUE!</v>
      </c>
    </row>
    <row r="170" spans="2:6" x14ac:dyDescent="0.25">
      <c r="B170" t="e">
        <f>'Base de Dados'!Y196:Y1560</f>
        <v>#VALUE!</v>
      </c>
      <c r="C170" t="e">
        <f>'Base de Dados'!E195:E1559</f>
        <v>#VALUE!</v>
      </c>
      <c r="D170" t="e">
        <f>'Base de Dados'!F196:F1559</f>
        <v>#VALUE!</v>
      </c>
      <c r="E170" t="e">
        <f>'Base de Dados'!G196:G1556</f>
        <v>#VALUE!</v>
      </c>
      <c r="F170" t="e">
        <f>'Base de Dados'!I196:I1557</f>
        <v>#VALUE!</v>
      </c>
    </row>
    <row r="171" spans="2:6" x14ac:dyDescent="0.25">
      <c r="B171" t="e">
        <f>'Base de Dados'!Y197:Y1561</f>
        <v>#VALUE!</v>
      </c>
      <c r="C171" t="e">
        <f>'Base de Dados'!E196:E1560</f>
        <v>#VALUE!</v>
      </c>
      <c r="D171" t="e">
        <f>'Base de Dados'!F197:F1560</f>
        <v>#VALUE!</v>
      </c>
      <c r="E171" t="e">
        <f>'Base de Dados'!G197:G1557</f>
        <v>#VALUE!</v>
      </c>
      <c r="F171" t="e">
        <f>'Base de Dados'!I197:I1558</f>
        <v>#VALUE!</v>
      </c>
    </row>
    <row r="172" spans="2:6" x14ac:dyDescent="0.25">
      <c r="B172" t="e">
        <f>'Base de Dados'!Y198:Y1562</f>
        <v>#VALUE!</v>
      </c>
      <c r="C172" t="e">
        <f>'Base de Dados'!E197:E1561</f>
        <v>#VALUE!</v>
      </c>
      <c r="D172" t="e">
        <f>'Base de Dados'!F198:F1561</f>
        <v>#VALUE!</v>
      </c>
      <c r="E172" t="e">
        <f>'Base de Dados'!G198:G1558</f>
        <v>#VALUE!</v>
      </c>
      <c r="F172" t="e">
        <f>'Base de Dados'!I198:I1559</f>
        <v>#VALUE!</v>
      </c>
    </row>
    <row r="173" spans="2:6" x14ac:dyDescent="0.25">
      <c r="B173" t="e">
        <f>'Base de Dados'!Y199:Y1563</f>
        <v>#VALUE!</v>
      </c>
      <c r="C173" t="e">
        <f>'Base de Dados'!E198:E1562</f>
        <v>#VALUE!</v>
      </c>
      <c r="D173" t="e">
        <f>'Base de Dados'!F199:F1562</f>
        <v>#VALUE!</v>
      </c>
      <c r="E173" t="e">
        <f>'Base de Dados'!G199:G1559</f>
        <v>#VALUE!</v>
      </c>
      <c r="F173" t="e">
        <f>'Base de Dados'!I199:I1560</f>
        <v>#VALUE!</v>
      </c>
    </row>
    <row r="174" spans="2:6" x14ac:dyDescent="0.25">
      <c r="B174" t="e">
        <f>'Base de Dados'!Y200:Y1564</f>
        <v>#VALUE!</v>
      </c>
      <c r="C174" t="e">
        <f>'Base de Dados'!E199:E1563</f>
        <v>#VALUE!</v>
      </c>
      <c r="D174" t="e">
        <f>'Base de Dados'!F200:F1563</f>
        <v>#VALUE!</v>
      </c>
      <c r="E174" t="e">
        <f>'Base de Dados'!G200:G1560</f>
        <v>#VALUE!</v>
      </c>
      <c r="F174" t="e">
        <f>'Base de Dados'!I200:I1561</f>
        <v>#VALUE!</v>
      </c>
    </row>
    <row r="175" spans="2:6" x14ac:dyDescent="0.25">
      <c r="B175" t="e">
        <f>'Base de Dados'!Y201:Y1565</f>
        <v>#VALUE!</v>
      </c>
      <c r="C175" t="e">
        <f>'Base de Dados'!E200:E1564</f>
        <v>#VALUE!</v>
      </c>
      <c r="D175" t="e">
        <f>'Base de Dados'!F201:F1564</f>
        <v>#VALUE!</v>
      </c>
      <c r="E175" t="e">
        <f>'Base de Dados'!G201:G1561</f>
        <v>#VALUE!</v>
      </c>
      <c r="F175" t="e">
        <f>'Base de Dados'!I201:I1562</f>
        <v>#VALUE!</v>
      </c>
    </row>
    <row r="176" spans="2:6" x14ac:dyDescent="0.25">
      <c r="B176" t="e">
        <f>'Base de Dados'!Y202:Y1566</f>
        <v>#VALUE!</v>
      </c>
      <c r="C176" t="e">
        <f>'Base de Dados'!E201:E1565</f>
        <v>#VALUE!</v>
      </c>
      <c r="D176" t="e">
        <f>'Base de Dados'!F202:F1565</f>
        <v>#VALUE!</v>
      </c>
      <c r="E176" t="e">
        <f>'Base de Dados'!G202:G1562</f>
        <v>#VALUE!</v>
      </c>
      <c r="F176" t="e">
        <f>'Base de Dados'!I202:I1563</f>
        <v>#VALUE!</v>
      </c>
    </row>
    <row r="177" spans="2:6" x14ac:dyDescent="0.25">
      <c r="B177" t="e">
        <f>'Base de Dados'!Y203:Y1567</f>
        <v>#VALUE!</v>
      </c>
      <c r="C177" t="e">
        <f>'Base de Dados'!E202:E1566</f>
        <v>#VALUE!</v>
      </c>
      <c r="D177" t="e">
        <f>'Base de Dados'!F203:F1566</f>
        <v>#VALUE!</v>
      </c>
      <c r="E177" t="e">
        <f>'Base de Dados'!G203:G1563</f>
        <v>#VALUE!</v>
      </c>
      <c r="F177" t="e">
        <f>'Base de Dados'!I203:I1564</f>
        <v>#VALUE!</v>
      </c>
    </row>
    <row r="178" spans="2:6" x14ac:dyDescent="0.25">
      <c r="B178" t="e">
        <f>'Base de Dados'!Y204:Y1568</f>
        <v>#VALUE!</v>
      </c>
      <c r="C178" t="e">
        <f>'Base de Dados'!E203:E1567</f>
        <v>#VALUE!</v>
      </c>
      <c r="D178" t="e">
        <f>'Base de Dados'!F204:F1567</f>
        <v>#VALUE!</v>
      </c>
      <c r="E178" t="e">
        <f>'Base de Dados'!G204:G1564</f>
        <v>#VALUE!</v>
      </c>
      <c r="F178" t="e">
        <f>'Base de Dados'!I204:I1565</f>
        <v>#VALUE!</v>
      </c>
    </row>
    <row r="179" spans="2:6" x14ac:dyDescent="0.25">
      <c r="B179" t="e">
        <f>'Base de Dados'!Y205:Y1569</f>
        <v>#VALUE!</v>
      </c>
      <c r="C179" t="e">
        <f>'Base de Dados'!E204:E1568</f>
        <v>#VALUE!</v>
      </c>
      <c r="D179" t="e">
        <f>'Base de Dados'!F205:F1568</f>
        <v>#VALUE!</v>
      </c>
      <c r="E179" t="e">
        <f>'Base de Dados'!G205:G1565</f>
        <v>#VALUE!</v>
      </c>
      <c r="F179" t="e">
        <f>'Base de Dados'!I205:I1566</f>
        <v>#VALUE!</v>
      </c>
    </row>
    <row r="180" spans="2:6" x14ac:dyDescent="0.25">
      <c r="B180" t="e">
        <f>'Base de Dados'!Y206:Y1570</f>
        <v>#VALUE!</v>
      </c>
      <c r="C180" t="e">
        <f>'Base de Dados'!E205:E1569</f>
        <v>#VALUE!</v>
      </c>
      <c r="D180" t="e">
        <f>'Base de Dados'!F206:F1569</f>
        <v>#VALUE!</v>
      </c>
      <c r="E180" t="e">
        <f>'Base de Dados'!G206:G1566</f>
        <v>#VALUE!</v>
      </c>
      <c r="F180" t="e">
        <f>'Base de Dados'!I206:I1567</f>
        <v>#VALUE!</v>
      </c>
    </row>
    <row r="181" spans="2:6" x14ac:dyDescent="0.25">
      <c r="B181" t="e">
        <f>'Base de Dados'!Y207:Y1571</f>
        <v>#VALUE!</v>
      </c>
      <c r="C181" t="e">
        <f>'Base de Dados'!E206:E1570</f>
        <v>#VALUE!</v>
      </c>
      <c r="D181" t="e">
        <f>'Base de Dados'!F207:F1570</f>
        <v>#VALUE!</v>
      </c>
      <c r="E181" t="e">
        <f>'Base de Dados'!G207:G1567</f>
        <v>#VALUE!</v>
      </c>
      <c r="F181" t="e">
        <f>'Base de Dados'!I207:I1568</f>
        <v>#VALUE!</v>
      </c>
    </row>
    <row r="182" spans="2:6" x14ac:dyDescent="0.25">
      <c r="B182" t="e">
        <f>'Base de Dados'!Y208:Y1572</f>
        <v>#VALUE!</v>
      </c>
      <c r="C182" t="e">
        <f>'Base de Dados'!E207:E1571</f>
        <v>#VALUE!</v>
      </c>
      <c r="D182" t="e">
        <f>'Base de Dados'!F208:F1571</f>
        <v>#VALUE!</v>
      </c>
      <c r="E182" t="e">
        <f>'Base de Dados'!G208:G1568</f>
        <v>#VALUE!</v>
      </c>
      <c r="F182" t="e">
        <f>'Base de Dados'!I208:I1569</f>
        <v>#VALUE!</v>
      </c>
    </row>
    <row r="183" spans="2:6" x14ac:dyDescent="0.25">
      <c r="B183" t="e">
        <f>'Base de Dados'!Y209:Y1573</f>
        <v>#VALUE!</v>
      </c>
      <c r="C183" t="e">
        <f>'Base de Dados'!E208:E1572</f>
        <v>#VALUE!</v>
      </c>
      <c r="D183" t="e">
        <f>'Base de Dados'!F209:F1572</f>
        <v>#VALUE!</v>
      </c>
      <c r="E183" t="e">
        <f>'Base de Dados'!G209:G1569</f>
        <v>#VALUE!</v>
      </c>
      <c r="F183" t="e">
        <f>'Base de Dados'!I209:I1570</f>
        <v>#VALUE!</v>
      </c>
    </row>
    <row r="184" spans="2:6" x14ac:dyDescent="0.25">
      <c r="B184" t="e">
        <f>'Base de Dados'!Y210:Y1574</f>
        <v>#VALUE!</v>
      </c>
      <c r="C184" t="e">
        <f>'Base de Dados'!E209:E1573</f>
        <v>#VALUE!</v>
      </c>
      <c r="D184" t="e">
        <f>'Base de Dados'!F210:F1573</f>
        <v>#VALUE!</v>
      </c>
      <c r="E184" t="e">
        <f>'Base de Dados'!G210:G1570</f>
        <v>#VALUE!</v>
      </c>
      <c r="F184" t="e">
        <f>'Base de Dados'!I210:I1571</f>
        <v>#VALUE!</v>
      </c>
    </row>
    <row r="185" spans="2:6" x14ac:dyDescent="0.25">
      <c r="B185" t="e">
        <f>'Base de Dados'!Y211:Y1575</f>
        <v>#VALUE!</v>
      </c>
      <c r="C185" t="e">
        <f>'Base de Dados'!E210:E1574</f>
        <v>#VALUE!</v>
      </c>
      <c r="D185" t="e">
        <f>'Base de Dados'!F211:F1574</f>
        <v>#VALUE!</v>
      </c>
      <c r="E185" t="e">
        <f>'Base de Dados'!G211:G1571</f>
        <v>#VALUE!</v>
      </c>
      <c r="F185" t="e">
        <f>'Base de Dados'!I211:I1572</f>
        <v>#VALUE!</v>
      </c>
    </row>
    <row r="186" spans="2:6" x14ac:dyDescent="0.25">
      <c r="B186" t="e">
        <f>'Base de Dados'!Y212:Y1576</f>
        <v>#VALUE!</v>
      </c>
      <c r="C186" t="e">
        <f>'Base de Dados'!E211:E1575</f>
        <v>#VALUE!</v>
      </c>
      <c r="D186" t="e">
        <f>'Base de Dados'!F212:F1575</f>
        <v>#VALUE!</v>
      </c>
      <c r="E186" t="e">
        <f>'Base de Dados'!G212:G1572</f>
        <v>#VALUE!</v>
      </c>
      <c r="F186" t="e">
        <f>'Base de Dados'!I212:I1573</f>
        <v>#VALUE!</v>
      </c>
    </row>
    <row r="187" spans="2:6" x14ac:dyDescent="0.25">
      <c r="B187" t="e">
        <f>'Base de Dados'!Y213:Y1577</f>
        <v>#VALUE!</v>
      </c>
      <c r="C187" t="e">
        <f>'Base de Dados'!E212:E1576</f>
        <v>#VALUE!</v>
      </c>
      <c r="D187" t="e">
        <f>'Base de Dados'!F213:F1576</f>
        <v>#VALUE!</v>
      </c>
      <c r="E187" t="e">
        <f>'Base de Dados'!G213:G1573</f>
        <v>#VALUE!</v>
      </c>
      <c r="F187" t="e">
        <f>'Base de Dados'!I213:I1574</f>
        <v>#VALUE!</v>
      </c>
    </row>
    <row r="188" spans="2:6" x14ac:dyDescent="0.25">
      <c r="B188" t="e">
        <f>'Base de Dados'!Y214:Y1578</f>
        <v>#VALUE!</v>
      </c>
      <c r="C188" t="e">
        <f>'Base de Dados'!E213:E1577</f>
        <v>#VALUE!</v>
      </c>
      <c r="D188" t="e">
        <f>'Base de Dados'!F214:F1577</f>
        <v>#VALUE!</v>
      </c>
      <c r="E188" t="e">
        <f>'Base de Dados'!G214:G1574</f>
        <v>#VALUE!</v>
      </c>
      <c r="F188" t="e">
        <f>'Base de Dados'!I214:I1575</f>
        <v>#VALUE!</v>
      </c>
    </row>
    <row r="189" spans="2:6" x14ac:dyDescent="0.25">
      <c r="B189" t="e">
        <f>'Base de Dados'!Y215:Y1579</f>
        <v>#VALUE!</v>
      </c>
      <c r="C189" t="e">
        <f>'Base de Dados'!E214:E1578</f>
        <v>#VALUE!</v>
      </c>
      <c r="D189" t="e">
        <f>'Base de Dados'!F215:F1578</f>
        <v>#VALUE!</v>
      </c>
      <c r="E189" t="e">
        <f>'Base de Dados'!G215:G1575</f>
        <v>#VALUE!</v>
      </c>
      <c r="F189" t="e">
        <f>'Base de Dados'!I215:I1576</f>
        <v>#VALUE!</v>
      </c>
    </row>
    <row r="190" spans="2:6" x14ac:dyDescent="0.25">
      <c r="B190" t="e">
        <f>'Base de Dados'!Y216:Y1580</f>
        <v>#VALUE!</v>
      </c>
      <c r="C190" t="e">
        <f>'Base de Dados'!E215:E1579</f>
        <v>#VALUE!</v>
      </c>
      <c r="D190" t="e">
        <f>'Base de Dados'!F216:F1579</f>
        <v>#VALUE!</v>
      </c>
      <c r="E190" t="e">
        <f>'Base de Dados'!G216:G1576</f>
        <v>#VALUE!</v>
      </c>
      <c r="F190" t="e">
        <f>'Base de Dados'!I216:I1577</f>
        <v>#VALUE!</v>
      </c>
    </row>
    <row r="191" spans="2:6" x14ac:dyDescent="0.25">
      <c r="B191" t="e">
        <f>'Base de Dados'!Y217:Y1581</f>
        <v>#VALUE!</v>
      </c>
      <c r="C191" t="e">
        <f>'Base de Dados'!E216:E1580</f>
        <v>#VALUE!</v>
      </c>
      <c r="D191" t="e">
        <f>'Base de Dados'!F217:F1580</f>
        <v>#VALUE!</v>
      </c>
      <c r="E191" t="e">
        <f>'Base de Dados'!G217:G1577</f>
        <v>#VALUE!</v>
      </c>
      <c r="F191" t="e">
        <f>'Base de Dados'!I217:I1578</f>
        <v>#VALUE!</v>
      </c>
    </row>
    <row r="192" spans="2:6" x14ac:dyDescent="0.25">
      <c r="B192" t="e">
        <f>'Base de Dados'!Y218:Y1582</f>
        <v>#VALUE!</v>
      </c>
      <c r="C192" t="e">
        <f>'Base de Dados'!E217:E1581</f>
        <v>#VALUE!</v>
      </c>
      <c r="D192" t="e">
        <f>'Base de Dados'!F218:F1581</f>
        <v>#VALUE!</v>
      </c>
      <c r="E192" t="e">
        <f>'Base de Dados'!G218:G1578</f>
        <v>#VALUE!</v>
      </c>
      <c r="F192" t="e">
        <f>'Base de Dados'!I218:I1579</f>
        <v>#VALUE!</v>
      </c>
    </row>
    <row r="193" spans="2:6" x14ac:dyDescent="0.25">
      <c r="B193" t="e">
        <f>'Base de Dados'!Y219:Y1583</f>
        <v>#VALUE!</v>
      </c>
      <c r="C193" t="e">
        <f>'Base de Dados'!E218:E1582</f>
        <v>#VALUE!</v>
      </c>
      <c r="D193" t="e">
        <f>'Base de Dados'!F219:F1582</f>
        <v>#VALUE!</v>
      </c>
      <c r="E193" t="e">
        <f>'Base de Dados'!G219:G1579</f>
        <v>#VALUE!</v>
      </c>
      <c r="F193" t="e">
        <f>'Base de Dados'!I219:I1580</f>
        <v>#VALUE!</v>
      </c>
    </row>
    <row r="194" spans="2:6" x14ac:dyDescent="0.25">
      <c r="B194" t="e">
        <f>'Base de Dados'!Y220:Y1584</f>
        <v>#VALUE!</v>
      </c>
      <c r="C194" t="e">
        <f>'Base de Dados'!E219:E1583</f>
        <v>#VALUE!</v>
      </c>
      <c r="D194" t="e">
        <f>'Base de Dados'!F220:F1583</f>
        <v>#VALUE!</v>
      </c>
      <c r="E194" t="e">
        <f>'Base de Dados'!G220:G1580</f>
        <v>#VALUE!</v>
      </c>
      <c r="F194" t="e">
        <f>'Base de Dados'!I220:I1581</f>
        <v>#VALUE!</v>
      </c>
    </row>
    <row r="195" spans="2:6" x14ac:dyDescent="0.25">
      <c r="B195" t="e">
        <f>'Base de Dados'!Y221:Y1585</f>
        <v>#VALUE!</v>
      </c>
      <c r="C195" t="e">
        <f>'Base de Dados'!E220:E1584</f>
        <v>#VALUE!</v>
      </c>
      <c r="D195" t="e">
        <f>'Base de Dados'!F221:F1584</f>
        <v>#VALUE!</v>
      </c>
      <c r="E195" t="e">
        <f>'Base de Dados'!G221:G1581</f>
        <v>#VALUE!</v>
      </c>
      <c r="F195" t="e">
        <f>'Base de Dados'!I221:I1582</f>
        <v>#VALUE!</v>
      </c>
    </row>
    <row r="196" spans="2:6" x14ac:dyDescent="0.25">
      <c r="B196" t="e">
        <f>'Base de Dados'!Y222:Y1586</f>
        <v>#VALUE!</v>
      </c>
      <c r="C196" t="e">
        <f>'Base de Dados'!E221:E1585</f>
        <v>#VALUE!</v>
      </c>
      <c r="D196" t="e">
        <f>'Base de Dados'!F222:F1585</f>
        <v>#VALUE!</v>
      </c>
      <c r="E196" t="e">
        <f>'Base de Dados'!G222:G1582</f>
        <v>#VALUE!</v>
      </c>
      <c r="F196" t="e">
        <f>'Base de Dados'!I222:I1583</f>
        <v>#VALUE!</v>
      </c>
    </row>
    <row r="197" spans="2:6" x14ac:dyDescent="0.25">
      <c r="B197" t="e">
        <f>'Base de Dados'!Y227:Y1587</f>
        <v>#VALUE!</v>
      </c>
      <c r="C197" t="e">
        <f>'Base de Dados'!E222:E1586</f>
        <v>#VALUE!</v>
      </c>
      <c r="D197" t="e">
        <f>'Base de Dados'!F227:F1586</f>
        <v>#VALUE!</v>
      </c>
      <c r="E197" t="e">
        <f>'Base de Dados'!G227:G1583</f>
        <v>#VALUE!</v>
      </c>
      <c r="F197" t="e">
        <f>'Base de Dados'!I227:I1584</f>
        <v>#VALUE!</v>
      </c>
    </row>
    <row r="198" spans="2:6" x14ac:dyDescent="0.25">
      <c r="B198" t="e">
        <f>'Base de Dados'!Y228:Y1588</f>
        <v>#VALUE!</v>
      </c>
      <c r="C198" t="e">
        <f>'Base de Dados'!E227:E1587</f>
        <v>#VALUE!</v>
      </c>
      <c r="D198" t="e">
        <f>'Base de Dados'!F228:F1587</f>
        <v>#VALUE!</v>
      </c>
      <c r="E198" t="e">
        <f>'Base de Dados'!G228:G1584</f>
        <v>#VALUE!</v>
      </c>
      <c r="F198" t="e">
        <f>'Base de Dados'!I228:I1585</f>
        <v>#VALUE!</v>
      </c>
    </row>
    <row r="199" spans="2:6" x14ac:dyDescent="0.25">
      <c r="B199" t="e">
        <f>'Base de Dados'!Y234:Y1589</f>
        <v>#VALUE!</v>
      </c>
      <c r="C199" t="e">
        <f>'Base de Dados'!E228:E1588</f>
        <v>#VALUE!</v>
      </c>
      <c r="D199" t="e">
        <f>'Base de Dados'!F234:F1588</f>
        <v>#VALUE!</v>
      </c>
      <c r="E199" t="e">
        <f>'Base de Dados'!G234:G1585</f>
        <v>#VALUE!</v>
      </c>
      <c r="F199" t="e">
        <f>'Base de Dados'!I234:I1586</f>
        <v>#VALUE!</v>
      </c>
    </row>
    <row r="200" spans="2:6" x14ac:dyDescent="0.25">
      <c r="B200" t="e">
        <f>'Base de Dados'!Y235:Y1590</f>
        <v>#VALUE!</v>
      </c>
      <c r="C200" t="e">
        <f>'Base de Dados'!E234:E1589</f>
        <v>#VALUE!</v>
      </c>
      <c r="D200" t="e">
        <f>'Base de Dados'!F235:F1589</f>
        <v>#VALUE!</v>
      </c>
      <c r="E200" t="e">
        <f>'Base de Dados'!G235:G1586</f>
        <v>#VALUE!</v>
      </c>
      <c r="F200" t="e">
        <f>'Base de Dados'!I235:I1587</f>
        <v>#VALUE!</v>
      </c>
    </row>
    <row r="201" spans="2:6" x14ac:dyDescent="0.25">
      <c r="B201" t="e">
        <f>'Base de Dados'!Y236:Y1591</f>
        <v>#VALUE!</v>
      </c>
      <c r="C201" t="e">
        <f>'Base de Dados'!E235:E1590</f>
        <v>#VALUE!</v>
      </c>
      <c r="D201" t="e">
        <f>'Base de Dados'!F236:F1590</f>
        <v>#VALUE!</v>
      </c>
      <c r="E201" t="e">
        <f>'Base de Dados'!G236:G1587</f>
        <v>#VALUE!</v>
      </c>
      <c r="F201" t="e">
        <f>'Base de Dados'!I236:I1588</f>
        <v>#VALUE!</v>
      </c>
    </row>
    <row r="202" spans="2:6" x14ac:dyDescent="0.25">
      <c r="B202" t="e">
        <f>'Base de Dados'!Y237:Y1592</f>
        <v>#VALUE!</v>
      </c>
      <c r="C202" t="e">
        <f>'Base de Dados'!E236:E1591</f>
        <v>#VALUE!</v>
      </c>
      <c r="D202" t="e">
        <f>'Base de Dados'!F237:F1591</f>
        <v>#VALUE!</v>
      </c>
      <c r="E202" t="e">
        <f>'Base de Dados'!G237:G1588</f>
        <v>#VALUE!</v>
      </c>
      <c r="F202" t="e">
        <f>'Base de Dados'!I237:I1589</f>
        <v>#VALUE!</v>
      </c>
    </row>
    <row r="203" spans="2:6" x14ac:dyDescent="0.25">
      <c r="B203" t="e">
        <f>'Base de Dados'!Y238:Y1593</f>
        <v>#VALUE!</v>
      </c>
      <c r="C203" t="e">
        <f>'Base de Dados'!E237:E1592</f>
        <v>#VALUE!</v>
      </c>
      <c r="D203" t="e">
        <f>'Base de Dados'!F238:F1592</f>
        <v>#VALUE!</v>
      </c>
      <c r="E203" t="e">
        <f>'Base de Dados'!G238:G1589</f>
        <v>#VALUE!</v>
      </c>
      <c r="F203" t="e">
        <f>'Base de Dados'!I238:I1590</f>
        <v>#VALUE!</v>
      </c>
    </row>
    <row r="204" spans="2:6" x14ac:dyDescent="0.25">
      <c r="B204" t="e">
        <f>'Base de Dados'!Y239:Y1594</f>
        <v>#VALUE!</v>
      </c>
      <c r="C204" t="e">
        <f>'Base de Dados'!E238:E1593</f>
        <v>#VALUE!</v>
      </c>
      <c r="D204" t="e">
        <f>'Base de Dados'!F239:F1593</f>
        <v>#VALUE!</v>
      </c>
      <c r="E204" t="e">
        <f>'Base de Dados'!G239:G1590</f>
        <v>#VALUE!</v>
      </c>
      <c r="F204" t="e">
        <f>'Base de Dados'!I239:I1591</f>
        <v>#VALUE!</v>
      </c>
    </row>
    <row r="205" spans="2:6" x14ac:dyDescent="0.25">
      <c r="B205" t="e">
        <f>'Base de Dados'!Y240:Y1595</f>
        <v>#VALUE!</v>
      </c>
      <c r="C205" t="e">
        <f>'Base de Dados'!E239:E1594</f>
        <v>#VALUE!</v>
      </c>
      <c r="D205" t="e">
        <f>'Base de Dados'!F240:F1594</f>
        <v>#VALUE!</v>
      </c>
      <c r="E205" t="e">
        <f>'Base de Dados'!G240:G1591</f>
        <v>#VALUE!</v>
      </c>
      <c r="F205" t="e">
        <f>'Base de Dados'!I240:I1592</f>
        <v>#VALUE!</v>
      </c>
    </row>
    <row r="206" spans="2:6" x14ac:dyDescent="0.25">
      <c r="B206" t="e">
        <f>'Base de Dados'!Y241:Y1596</f>
        <v>#VALUE!</v>
      </c>
      <c r="C206" t="e">
        <f>'Base de Dados'!E240:E1595</f>
        <v>#VALUE!</v>
      </c>
      <c r="D206" t="e">
        <f>'Base de Dados'!F241:F1595</f>
        <v>#VALUE!</v>
      </c>
      <c r="E206" t="e">
        <f>'Base de Dados'!G241:G1592</f>
        <v>#VALUE!</v>
      </c>
      <c r="F206" t="e">
        <f>'Base de Dados'!I241:I1593</f>
        <v>#VALUE!</v>
      </c>
    </row>
    <row r="207" spans="2:6" x14ac:dyDescent="0.25">
      <c r="B207" t="e">
        <f>'Base de Dados'!Y242:Y1597</f>
        <v>#VALUE!</v>
      </c>
      <c r="C207" t="e">
        <f>'Base de Dados'!E241:E1596</f>
        <v>#VALUE!</v>
      </c>
      <c r="D207" t="e">
        <f>'Base de Dados'!F242:F1596</f>
        <v>#VALUE!</v>
      </c>
      <c r="E207" t="e">
        <f>'Base de Dados'!G242:G1593</f>
        <v>#VALUE!</v>
      </c>
      <c r="F207" t="e">
        <f>'Base de Dados'!I242:I1594</f>
        <v>#VALUE!</v>
      </c>
    </row>
    <row r="208" spans="2:6" x14ac:dyDescent="0.25">
      <c r="B208" t="e">
        <f>'Base de Dados'!Y243:Y1598</f>
        <v>#VALUE!</v>
      </c>
      <c r="C208" t="e">
        <f>'Base de Dados'!E242:E1597</f>
        <v>#VALUE!</v>
      </c>
      <c r="D208" t="e">
        <f>'Base de Dados'!F243:F1597</f>
        <v>#VALUE!</v>
      </c>
      <c r="E208" t="e">
        <f>'Base de Dados'!G243:G1594</f>
        <v>#VALUE!</v>
      </c>
      <c r="F208" t="e">
        <f>'Base de Dados'!I243:I1595</f>
        <v>#VALUE!</v>
      </c>
    </row>
    <row r="209" spans="2:6" x14ac:dyDescent="0.25">
      <c r="B209" t="e">
        <f>'Base de Dados'!Y246:Y1599</f>
        <v>#VALUE!</v>
      </c>
      <c r="C209" t="e">
        <f>'Base de Dados'!E243:E1598</f>
        <v>#VALUE!</v>
      </c>
      <c r="D209" t="e">
        <f>'Base de Dados'!F246:F1598</f>
        <v>#VALUE!</v>
      </c>
      <c r="E209" t="e">
        <f>'Base de Dados'!G246:G1595</f>
        <v>#VALUE!</v>
      </c>
      <c r="F209" t="e">
        <f>'Base de Dados'!I246:I1596</f>
        <v>#VALUE!</v>
      </c>
    </row>
    <row r="210" spans="2:6" x14ac:dyDescent="0.25">
      <c r="B210" t="e">
        <f>'Base de Dados'!Y247:Y1600</f>
        <v>#VALUE!</v>
      </c>
      <c r="C210" t="e">
        <f>'Base de Dados'!E246:E1599</f>
        <v>#VALUE!</v>
      </c>
      <c r="D210" t="e">
        <f>'Base de Dados'!F247:F1599</f>
        <v>#VALUE!</v>
      </c>
      <c r="E210" t="e">
        <f>'Base de Dados'!G247:G1596</f>
        <v>#VALUE!</v>
      </c>
      <c r="F210" t="e">
        <f>'Base de Dados'!I247:I1597</f>
        <v>#VALUE!</v>
      </c>
    </row>
    <row r="211" spans="2:6" x14ac:dyDescent="0.25">
      <c r="B211" t="e">
        <f>'Base de Dados'!Y248:Y1601</f>
        <v>#VALUE!</v>
      </c>
      <c r="C211" t="e">
        <f>'Base de Dados'!E247:E1600</f>
        <v>#VALUE!</v>
      </c>
      <c r="D211" t="e">
        <f>'Base de Dados'!F248:F1600</f>
        <v>#VALUE!</v>
      </c>
      <c r="E211" t="e">
        <f>'Base de Dados'!G248:G1597</f>
        <v>#VALUE!</v>
      </c>
      <c r="F211" t="e">
        <f>'Base de Dados'!I248:I1598</f>
        <v>#VALUE!</v>
      </c>
    </row>
    <row r="212" spans="2:6" x14ac:dyDescent="0.25">
      <c r="B212" t="e">
        <f>'Base de Dados'!Y249:Y1602</f>
        <v>#VALUE!</v>
      </c>
      <c r="C212" t="e">
        <f>'Base de Dados'!E248:E1601</f>
        <v>#VALUE!</v>
      </c>
      <c r="D212" t="e">
        <f>'Base de Dados'!F249:F1601</f>
        <v>#VALUE!</v>
      </c>
      <c r="E212" t="e">
        <f>'Base de Dados'!G249:G1598</f>
        <v>#VALUE!</v>
      </c>
      <c r="F212" t="e">
        <f>'Base de Dados'!I249:I1599</f>
        <v>#VALUE!</v>
      </c>
    </row>
    <row r="213" spans="2:6" x14ac:dyDescent="0.25">
      <c r="B213" t="e">
        <f>'Base de Dados'!Y250:Y1603</f>
        <v>#VALUE!</v>
      </c>
      <c r="C213" t="e">
        <f>'Base de Dados'!E249:E1602</f>
        <v>#VALUE!</v>
      </c>
      <c r="D213" t="e">
        <f>'Base de Dados'!F250:F1602</f>
        <v>#VALUE!</v>
      </c>
      <c r="E213" t="e">
        <f>'Base de Dados'!G250:G1599</f>
        <v>#VALUE!</v>
      </c>
      <c r="F213" t="e">
        <f>'Base de Dados'!I250:I1600</f>
        <v>#VALUE!</v>
      </c>
    </row>
    <row r="214" spans="2:6" x14ac:dyDescent="0.25">
      <c r="B214" t="e">
        <f>'Base de Dados'!Y251:Y1604</f>
        <v>#VALUE!</v>
      </c>
      <c r="C214" t="e">
        <f>'Base de Dados'!E250:E1603</f>
        <v>#VALUE!</v>
      </c>
      <c r="D214" t="e">
        <f>'Base de Dados'!F251:F1603</f>
        <v>#VALUE!</v>
      </c>
      <c r="E214" t="e">
        <f>'Base de Dados'!G251:G1600</f>
        <v>#VALUE!</v>
      </c>
      <c r="F214" t="e">
        <f>'Base de Dados'!I251:I1601</f>
        <v>#VALUE!</v>
      </c>
    </row>
    <row r="215" spans="2:6" x14ac:dyDescent="0.25">
      <c r="B215" t="e">
        <f>'Base de Dados'!Y252:Y1605</f>
        <v>#VALUE!</v>
      </c>
      <c r="C215" t="e">
        <f>'Base de Dados'!E251:E1604</f>
        <v>#VALUE!</v>
      </c>
      <c r="D215" t="e">
        <f>'Base de Dados'!F252:F1604</f>
        <v>#VALUE!</v>
      </c>
      <c r="E215" t="e">
        <f>'Base de Dados'!G252:G1601</f>
        <v>#VALUE!</v>
      </c>
      <c r="F215" t="e">
        <f>'Base de Dados'!I252:I1602</f>
        <v>#VALUE!</v>
      </c>
    </row>
    <row r="216" spans="2:6" x14ac:dyDescent="0.25">
      <c r="B216" t="e">
        <f>'Base de Dados'!Y254:Y1606</f>
        <v>#VALUE!</v>
      </c>
      <c r="C216" t="e">
        <f>'Base de Dados'!E252:E1605</f>
        <v>#VALUE!</v>
      </c>
      <c r="D216" t="e">
        <f>'Base de Dados'!F254:F1605</f>
        <v>#VALUE!</v>
      </c>
      <c r="E216" t="e">
        <f>'Base de Dados'!G254:G1602</f>
        <v>#VALUE!</v>
      </c>
      <c r="F216" t="e">
        <f>'Base de Dados'!I254:I1603</f>
        <v>#VALUE!</v>
      </c>
    </row>
    <row r="217" spans="2:6" x14ac:dyDescent="0.25">
      <c r="B217" t="e">
        <f>'Base de Dados'!Y256:Y1607</f>
        <v>#VALUE!</v>
      </c>
      <c r="C217" t="e">
        <f>'Base de Dados'!E254:E1606</f>
        <v>#VALUE!</v>
      </c>
      <c r="D217" t="e">
        <f>'Base de Dados'!F256:F1606</f>
        <v>#VALUE!</v>
      </c>
      <c r="E217" t="e">
        <f>'Base de Dados'!G256:G1603</f>
        <v>#VALUE!</v>
      </c>
      <c r="F217" t="e">
        <f>'Base de Dados'!I256:I1604</f>
        <v>#VALUE!</v>
      </c>
    </row>
    <row r="218" spans="2:6" x14ac:dyDescent="0.25">
      <c r="B218" t="e">
        <f>'Base de Dados'!Y257:Y1608</f>
        <v>#VALUE!</v>
      </c>
      <c r="C218" t="e">
        <f>'Base de Dados'!E256:E1607</f>
        <v>#VALUE!</v>
      </c>
      <c r="D218" t="e">
        <f>'Base de Dados'!F257:F1607</f>
        <v>#VALUE!</v>
      </c>
      <c r="E218" t="e">
        <f>'Base de Dados'!G257:G1604</f>
        <v>#VALUE!</v>
      </c>
      <c r="F218" t="e">
        <f>'Base de Dados'!I257:I1605</f>
        <v>#VALUE!</v>
      </c>
    </row>
    <row r="219" spans="2:6" x14ac:dyDescent="0.25">
      <c r="B219" t="e">
        <f>'Base de Dados'!Y258:Y1609</f>
        <v>#VALUE!</v>
      </c>
      <c r="C219" t="e">
        <f>'Base de Dados'!E257:E1608</f>
        <v>#VALUE!</v>
      </c>
      <c r="D219" t="e">
        <f>'Base de Dados'!F258:F1608</f>
        <v>#VALUE!</v>
      </c>
      <c r="E219" t="e">
        <f>'Base de Dados'!G258:G1605</f>
        <v>#VALUE!</v>
      </c>
      <c r="F219" t="e">
        <f>'Base de Dados'!I258:I1606</f>
        <v>#VALUE!</v>
      </c>
    </row>
    <row r="220" spans="2:6" x14ac:dyDescent="0.25">
      <c r="B220" t="e">
        <f>'Base de Dados'!Y259:Y1610</f>
        <v>#VALUE!</v>
      </c>
      <c r="C220" t="e">
        <f>'Base de Dados'!E258:E1609</f>
        <v>#VALUE!</v>
      </c>
      <c r="D220" t="e">
        <f>'Base de Dados'!F259:F1609</f>
        <v>#VALUE!</v>
      </c>
      <c r="E220" t="e">
        <f>'Base de Dados'!G259:G1606</f>
        <v>#VALUE!</v>
      </c>
      <c r="F220" t="e">
        <f>'Base de Dados'!I259:I1607</f>
        <v>#VALUE!</v>
      </c>
    </row>
    <row r="221" spans="2:6" x14ac:dyDescent="0.25">
      <c r="B221" t="e">
        <f>'Base de Dados'!Y260:Y1611</f>
        <v>#VALUE!</v>
      </c>
      <c r="C221" t="e">
        <f>'Base de Dados'!E259:E1610</f>
        <v>#VALUE!</v>
      </c>
      <c r="D221" t="e">
        <f>'Base de Dados'!F260:F1610</f>
        <v>#VALUE!</v>
      </c>
      <c r="E221" t="e">
        <f>'Base de Dados'!G260:G1607</f>
        <v>#VALUE!</v>
      </c>
      <c r="F221" t="e">
        <f>'Base de Dados'!I260:I1608</f>
        <v>#VALUE!</v>
      </c>
    </row>
    <row r="222" spans="2:6" x14ac:dyDescent="0.25">
      <c r="B222" t="e">
        <f>'Base de Dados'!Y261:Y1612</f>
        <v>#VALUE!</v>
      </c>
      <c r="C222" t="e">
        <f>'Base de Dados'!E260:E1611</f>
        <v>#VALUE!</v>
      </c>
      <c r="D222" t="e">
        <f>'Base de Dados'!F261:F1611</f>
        <v>#VALUE!</v>
      </c>
      <c r="E222" t="e">
        <f>'Base de Dados'!G261:G1608</f>
        <v>#VALUE!</v>
      </c>
      <c r="F222" t="e">
        <f>'Base de Dados'!I261:I1609</f>
        <v>#VALUE!</v>
      </c>
    </row>
    <row r="223" spans="2:6" x14ac:dyDescent="0.25">
      <c r="B223" t="e">
        <f>'Base de Dados'!Y262:Y1613</f>
        <v>#VALUE!</v>
      </c>
      <c r="C223" t="e">
        <f>'Base de Dados'!E261:E1612</f>
        <v>#VALUE!</v>
      </c>
      <c r="D223" t="e">
        <f>'Base de Dados'!F262:F1612</f>
        <v>#VALUE!</v>
      </c>
      <c r="E223" t="e">
        <f>'Base de Dados'!G262:G1609</f>
        <v>#VALUE!</v>
      </c>
      <c r="F223" t="e">
        <f>'Base de Dados'!I262:I1610</f>
        <v>#VALUE!</v>
      </c>
    </row>
    <row r="224" spans="2:6" x14ac:dyDescent="0.25">
      <c r="B224" t="e">
        <f>'Base de Dados'!Y263:Y1614</f>
        <v>#VALUE!</v>
      </c>
      <c r="C224" t="e">
        <f>'Base de Dados'!E262:E1613</f>
        <v>#VALUE!</v>
      </c>
      <c r="D224" t="e">
        <f>'Base de Dados'!F263:F1613</f>
        <v>#VALUE!</v>
      </c>
      <c r="E224" t="e">
        <f>'Base de Dados'!G263:G1610</f>
        <v>#VALUE!</v>
      </c>
      <c r="F224" t="e">
        <f>'Base de Dados'!I263:I1611</f>
        <v>#VALUE!</v>
      </c>
    </row>
    <row r="225" spans="2:6" x14ac:dyDescent="0.25">
      <c r="B225" t="e">
        <f>'Base de Dados'!Y264:Y1615</f>
        <v>#VALUE!</v>
      </c>
      <c r="C225" t="e">
        <f>'Base de Dados'!E263:E1614</f>
        <v>#VALUE!</v>
      </c>
      <c r="D225" t="e">
        <f>'Base de Dados'!F264:F1614</f>
        <v>#VALUE!</v>
      </c>
      <c r="E225" t="e">
        <f>'Base de Dados'!G264:G1611</f>
        <v>#VALUE!</v>
      </c>
      <c r="F225" t="e">
        <f>'Base de Dados'!I264:I1612</f>
        <v>#VALUE!</v>
      </c>
    </row>
    <row r="226" spans="2:6" x14ac:dyDescent="0.25">
      <c r="B226" t="e">
        <f>'Base de Dados'!Y266:Y1616</f>
        <v>#VALUE!</v>
      </c>
      <c r="C226" t="e">
        <f>'Base de Dados'!E264:E1615</f>
        <v>#VALUE!</v>
      </c>
      <c r="D226" t="e">
        <f>'Base de Dados'!F266:F1615</f>
        <v>#VALUE!</v>
      </c>
      <c r="E226" t="e">
        <f>'Base de Dados'!G266:G1612</f>
        <v>#VALUE!</v>
      </c>
      <c r="F226" t="e">
        <f>'Base de Dados'!I266:I1613</f>
        <v>#VALUE!</v>
      </c>
    </row>
    <row r="227" spans="2:6" x14ac:dyDescent="0.25">
      <c r="B227" t="e">
        <f>'Base de Dados'!Y267:Y1617</f>
        <v>#VALUE!</v>
      </c>
      <c r="C227" t="e">
        <f>'Base de Dados'!E266:E1616</f>
        <v>#VALUE!</v>
      </c>
      <c r="D227" t="e">
        <f>'Base de Dados'!F267:F1616</f>
        <v>#VALUE!</v>
      </c>
      <c r="E227" t="e">
        <f>'Base de Dados'!G267:G1613</f>
        <v>#VALUE!</v>
      </c>
      <c r="F227" t="e">
        <f>'Base de Dados'!I267:I1614</f>
        <v>#VALUE!</v>
      </c>
    </row>
    <row r="228" spans="2:6" x14ac:dyDescent="0.25">
      <c r="B228" t="e">
        <f>'Base de Dados'!Y268:Y1618</f>
        <v>#VALUE!</v>
      </c>
      <c r="C228" t="e">
        <f>'Base de Dados'!E267:E1617</f>
        <v>#VALUE!</v>
      </c>
      <c r="D228" t="e">
        <f>'Base de Dados'!F268:F1617</f>
        <v>#VALUE!</v>
      </c>
      <c r="E228" t="e">
        <f>'Base de Dados'!G268:G1614</f>
        <v>#VALUE!</v>
      </c>
      <c r="F228" t="e">
        <f>'Base de Dados'!I268:I1615</f>
        <v>#VALUE!</v>
      </c>
    </row>
    <row r="229" spans="2:6" x14ac:dyDescent="0.25">
      <c r="B229" t="e">
        <f>'Base de Dados'!Y269:Y1619</f>
        <v>#VALUE!</v>
      </c>
      <c r="C229" t="e">
        <f>'Base de Dados'!E268:E1618</f>
        <v>#VALUE!</v>
      </c>
      <c r="D229" t="e">
        <f>'Base de Dados'!F269:F1618</f>
        <v>#VALUE!</v>
      </c>
      <c r="E229" t="e">
        <f>'Base de Dados'!G269:G1615</f>
        <v>#VALUE!</v>
      </c>
      <c r="F229" t="e">
        <f>'Base de Dados'!I269:I1616</f>
        <v>#VALUE!</v>
      </c>
    </row>
    <row r="230" spans="2:6" x14ac:dyDescent="0.25">
      <c r="B230" t="e">
        <f>'Base de Dados'!Y270:Y1620</f>
        <v>#VALUE!</v>
      </c>
      <c r="C230" t="e">
        <f>'Base de Dados'!E269:E1619</f>
        <v>#VALUE!</v>
      </c>
      <c r="D230" t="e">
        <f>'Base de Dados'!F270:F1619</f>
        <v>#VALUE!</v>
      </c>
      <c r="E230" t="e">
        <f>'Base de Dados'!G270:G1616</f>
        <v>#VALUE!</v>
      </c>
      <c r="F230" t="e">
        <f>'Base de Dados'!I270:I1617</f>
        <v>#VALUE!</v>
      </c>
    </row>
    <row r="231" spans="2:6" x14ac:dyDescent="0.25">
      <c r="B231" t="e">
        <f>'Base de Dados'!Y272:Y1621</f>
        <v>#VALUE!</v>
      </c>
      <c r="C231" t="e">
        <f>'Base de Dados'!E270:E1620</f>
        <v>#VALUE!</v>
      </c>
      <c r="D231" t="e">
        <f>'Base de Dados'!F272:F1620</f>
        <v>#VALUE!</v>
      </c>
      <c r="E231" t="e">
        <f>'Base de Dados'!G272:G1617</f>
        <v>#VALUE!</v>
      </c>
      <c r="F231" t="e">
        <f>'Base de Dados'!I272:I1618</f>
        <v>#VALUE!</v>
      </c>
    </row>
    <row r="232" spans="2:6" x14ac:dyDescent="0.25">
      <c r="B232" t="e">
        <f>'Base de Dados'!Y273:Y1622</f>
        <v>#VALUE!</v>
      </c>
      <c r="C232" t="e">
        <f>'Base de Dados'!E272:E1621</f>
        <v>#VALUE!</v>
      </c>
      <c r="D232" t="e">
        <f>'Base de Dados'!F273:F1621</f>
        <v>#VALUE!</v>
      </c>
      <c r="E232" t="e">
        <f>'Base de Dados'!G273:G1618</f>
        <v>#VALUE!</v>
      </c>
      <c r="F232" t="e">
        <f>'Base de Dados'!I273:I1619</f>
        <v>#VALUE!</v>
      </c>
    </row>
    <row r="233" spans="2:6" x14ac:dyDescent="0.25">
      <c r="B233" t="e">
        <f>'Base de Dados'!Y273:Y1623</f>
        <v>#VALUE!</v>
      </c>
      <c r="C233" t="e">
        <f>'Base de Dados'!E273:E1622</f>
        <v>#VALUE!</v>
      </c>
      <c r="D233" t="e">
        <f>'Base de Dados'!F273:F1622</f>
        <v>#VALUE!</v>
      </c>
      <c r="E233" t="e">
        <f>'Base de Dados'!G273:G1619</f>
        <v>#VALUE!</v>
      </c>
      <c r="F233" t="e">
        <f>'Base de Dados'!I273:I1620</f>
        <v>#VALUE!</v>
      </c>
    </row>
    <row r="234" spans="2:6" x14ac:dyDescent="0.25">
      <c r="B234" t="e">
        <f>'Base de Dados'!Y274:Y1624</f>
        <v>#VALUE!</v>
      </c>
      <c r="C234" t="e">
        <f>'Base de Dados'!E273:E1623</f>
        <v>#VALUE!</v>
      </c>
      <c r="D234" t="e">
        <f>'Base de Dados'!F274:F1623</f>
        <v>#VALUE!</v>
      </c>
      <c r="E234" t="e">
        <f>'Base de Dados'!G274:G1620</f>
        <v>#VALUE!</v>
      </c>
      <c r="F234" t="e">
        <f>'Base de Dados'!I274:I1621</f>
        <v>#VALUE!</v>
      </c>
    </row>
    <row r="235" spans="2:6" x14ac:dyDescent="0.25">
      <c r="B235" t="e">
        <f>'Base de Dados'!Y275:Y1625</f>
        <v>#VALUE!</v>
      </c>
      <c r="C235" t="e">
        <f>'Base de Dados'!E274:E1624</f>
        <v>#VALUE!</v>
      </c>
      <c r="D235" t="e">
        <f>'Base de Dados'!F275:F1624</f>
        <v>#VALUE!</v>
      </c>
      <c r="E235" t="e">
        <f>'Base de Dados'!G275:G1621</f>
        <v>#VALUE!</v>
      </c>
      <c r="F235" t="e">
        <f>'Base de Dados'!I275:I1622</f>
        <v>#VALUE!</v>
      </c>
    </row>
    <row r="236" spans="2:6" x14ac:dyDescent="0.25">
      <c r="B236" t="e">
        <f>'Base de Dados'!Y277:Y1626</f>
        <v>#VALUE!</v>
      </c>
      <c r="C236" t="e">
        <f>'Base de Dados'!E275:E1625</f>
        <v>#VALUE!</v>
      </c>
      <c r="D236" t="e">
        <f>'Base de Dados'!F277:F1625</f>
        <v>#VALUE!</v>
      </c>
      <c r="E236" t="e">
        <f>'Base de Dados'!G277:G1622</f>
        <v>#VALUE!</v>
      </c>
      <c r="F236" t="e">
        <f>'Base de Dados'!I277:I1623</f>
        <v>#VALUE!</v>
      </c>
    </row>
    <row r="237" spans="2:6" x14ac:dyDescent="0.25">
      <c r="B237" t="e">
        <f>'Base de Dados'!Y278:Y1627</f>
        <v>#VALUE!</v>
      </c>
      <c r="C237" t="e">
        <f>'Base de Dados'!E277:E1626</f>
        <v>#VALUE!</v>
      </c>
      <c r="D237" t="e">
        <f>'Base de Dados'!F278:F1626</f>
        <v>#VALUE!</v>
      </c>
      <c r="E237" t="e">
        <f>'Base de Dados'!G278:G1623</f>
        <v>#VALUE!</v>
      </c>
      <c r="F237" t="e">
        <f>'Base de Dados'!I278:I1624</f>
        <v>#VALUE!</v>
      </c>
    </row>
    <row r="238" spans="2:6" x14ac:dyDescent="0.25">
      <c r="B238" t="e">
        <f>'Base de Dados'!Y279:Y1628</f>
        <v>#VALUE!</v>
      </c>
      <c r="C238" t="e">
        <f>'Base de Dados'!E278:E1627</f>
        <v>#VALUE!</v>
      </c>
      <c r="D238" t="e">
        <f>'Base de Dados'!F279:F1627</f>
        <v>#VALUE!</v>
      </c>
      <c r="E238" t="e">
        <f>'Base de Dados'!G279:G1624</f>
        <v>#VALUE!</v>
      </c>
      <c r="F238" t="e">
        <f>'Base de Dados'!I279:I1625</f>
        <v>#VALUE!</v>
      </c>
    </row>
    <row r="239" spans="2:6" x14ac:dyDescent="0.25">
      <c r="B239" t="e">
        <f>'Base de Dados'!Y281:Y1629</f>
        <v>#VALUE!</v>
      </c>
      <c r="C239" t="e">
        <f>'Base de Dados'!E279:E1628</f>
        <v>#VALUE!</v>
      </c>
      <c r="D239" t="e">
        <f>'Base de Dados'!F281:F1628</f>
        <v>#VALUE!</v>
      </c>
      <c r="E239" t="e">
        <f>'Base de Dados'!G281:G1625</f>
        <v>#VALUE!</v>
      </c>
      <c r="F239" t="e">
        <f>'Base de Dados'!I281:I1626</f>
        <v>#VALUE!</v>
      </c>
    </row>
    <row r="240" spans="2:6" x14ac:dyDescent="0.25">
      <c r="B240" t="e">
        <f>'Base de Dados'!Y282:Y1630</f>
        <v>#VALUE!</v>
      </c>
      <c r="C240" t="e">
        <f>'Base de Dados'!E281:E1629</f>
        <v>#VALUE!</v>
      </c>
      <c r="D240" t="e">
        <f>'Base de Dados'!F282:F1629</f>
        <v>#VALUE!</v>
      </c>
      <c r="E240" t="e">
        <f>'Base de Dados'!G282:G1626</f>
        <v>#VALUE!</v>
      </c>
      <c r="F240" t="e">
        <f>'Base de Dados'!I282:I1627</f>
        <v>#VALUE!</v>
      </c>
    </row>
    <row r="241" spans="2:6" x14ac:dyDescent="0.25">
      <c r="B241" t="e">
        <f>'Base de Dados'!Y283:Y1631</f>
        <v>#VALUE!</v>
      </c>
      <c r="C241" t="e">
        <f>'Base de Dados'!E282:E1630</f>
        <v>#VALUE!</v>
      </c>
      <c r="D241" t="e">
        <f>'Base de Dados'!F283:F1630</f>
        <v>#VALUE!</v>
      </c>
      <c r="E241" t="e">
        <f>'Base de Dados'!G283:G1627</f>
        <v>#VALUE!</v>
      </c>
      <c r="F241" t="e">
        <f>'Base de Dados'!I283:I1628</f>
        <v>#VALUE!</v>
      </c>
    </row>
    <row r="242" spans="2:6" x14ac:dyDescent="0.25">
      <c r="B242" t="e">
        <f>'Base de Dados'!Y284:Y1632</f>
        <v>#VALUE!</v>
      </c>
      <c r="C242" t="e">
        <f>'Base de Dados'!E283:E1631</f>
        <v>#VALUE!</v>
      </c>
      <c r="D242" t="e">
        <f>'Base de Dados'!F284:F1631</f>
        <v>#VALUE!</v>
      </c>
      <c r="E242" t="e">
        <f>'Base de Dados'!G284:G1628</f>
        <v>#VALUE!</v>
      </c>
      <c r="F242" t="e">
        <f>'Base de Dados'!I284:I1629</f>
        <v>#VALUE!</v>
      </c>
    </row>
    <row r="243" spans="2:6" x14ac:dyDescent="0.25">
      <c r="B243" t="e">
        <f>'Base de Dados'!Y285:Y1633</f>
        <v>#VALUE!</v>
      </c>
      <c r="C243" t="e">
        <f>'Base de Dados'!E284:E1632</f>
        <v>#VALUE!</v>
      </c>
      <c r="D243" t="e">
        <f>'Base de Dados'!F285:F1632</f>
        <v>#VALUE!</v>
      </c>
      <c r="E243" t="e">
        <f>'Base de Dados'!G285:G1629</f>
        <v>#VALUE!</v>
      </c>
      <c r="F243" t="e">
        <f>'Base de Dados'!I285:I1630</f>
        <v>#VALUE!</v>
      </c>
    </row>
    <row r="244" spans="2:6" x14ac:dyDescent="0.25">
      <c r="B244" t="e">
        <f>'Base de Dados'!Y286:Y1634</f>
        <v>#VALUE!</v>
      </c>
      <c r="C244" t="e">
        <f>'Base de Dados'!E285:E1633</f>
        <v>#VALUE!</v>
      </c>
      <c r="D244" t="e">
        <f>'Base de Dados'!F286:F1633</f>
        <v>#VALUE!</v>
      </c>
      <c r="E244" t="e">
        <f>'Base de Dados'!G286:G1630</f>
        <v>#VALUE!</v>
      </c>
      <c r="F244" t="e">
        <f>'Base de Dados'!I286:I1631</f>
        <v>#VALUE!</v>
      </c>
    </row>
    <row r="245" spans="2:6" x14ac:dyDescent="0.25">
      <c r="B245" t="e">
        <f>'Base de Dados'!Y287:Y1635</f>
        <v>#VALUE!</v>
      </c>
      <c r="C245" t="e">
        <f>'Base de Dados'!E286:E1634</f>
        <v>#VALUE!</v>
      </c>
      <c r="D245" t="e">
        <f>'Base de Dados'!F287:F1634</f>
        <v>#VALUE!</v>
      </c>
      <c r="E245" t="e">
        <f>'Base de Dados'!G287:G1631</f>
        <v>#VALUE!</v>
      </c>
      <c r="F245" t="e">
        <f>'Base de Dados'!I287:I1632</f>
        <v>#VALUE!</v>
      </c>
    </row>
    <row r="246" spans="2:6" x14ac:dyDescent="0.25">
      <c r="B246" t="e">
        <f>'Base de Dados'!Y290:Y1636</f>
        <v>#VALUE!</v>
      </c>
      <c r="C246" t="e">
        <f>'Base de Dados'!E287:E1635</f>
        <v>#VALUE!</v>
      </c>
      <c r="D246" t="e">
        <f>'Base de Dados'!F290:F1635</f>
        <v>#VALUE!</v>
      </c>
      <c r="E246" t="e">
        <f>'Base de Dados'!G290:G1632</f>
        <v>#VALUE!</v>
      </c>
      <c r="F246" t="e">
        <f>'Base de Dados'!I290:I1633</f>
        <v>#VALUE!</v>
      </c>
    </row>
    <row r="247" spans="2:6" x14ac:dyDescent="0.25">
      <c r="B247" t="e">
        <f>'Base de Dados'!Y292:Y1637</f>
        <v>#VALUE!</v>
      </c>
      <c r="C247" t="e">
        <f>'Base de Dados'!E290:E1636</f>
        <v>#VALUE!</v>
      </c>
      <c r="D247" t="e">
        <f>'Base de Dados'!F292:F1636</f>
        <v>#VALUE!</v>
      </c>
      <c r="E247" t="e">
        <f>'Base de Dados'!G292:G1633</f>
        <v>#VALUE!</v>
      </c>
      <c r="F247" t="e">
        <f>'Base de Dados'!I292:I1634</f>
        <v>#VALUE!</v>
      </c>
    </row>
    <row r="248" spans="2:6" x14ac:dyDescent="0.25">
      <c r="B248" t="e">
        <f>'Base de Dados'!Y293:Y1638</f>
        <v>#VALUE!</v>
      </c>
      <c r="C248" t="e">
        <f>'Base de Dados'!E292:E1637</f>
        <v>#VALUE!</v>
      </c>
      <c r="D248" t="e">
        <f>'Base de Dados'!F293:F1637</f>
        <v>#VALUE!</v>
      </c>
      <c r="E248" t="e">
        <f>'Base de Dados'!G293:G1634</f>
        <v>#VALUE!</v>
      </c>
      <c r="F248" t="e">
        <f>'Base de Dados'!I293:I1635</f>
        <v>#VALUE!</v>
      </c>
    </row>
    <row r="249" spans="2:6" x14ac:dyDescent="0.25">
      <c r="B249" t="e">
        <f>'Base de Dados'!Y294:Y1639</f>
        <v>#VALUE!</v>
      </c>
      <c r="C249" t="e">
        <f>'Base de Dados'!E293:E1638</f>
        <v>#VALUE!</v>
      </c>
      <c r="D249" t="e">
        <f>'Base de Dados'!F294:F1638</f>
        <v>#VALUE!</v>
      </c>
      <c r="E249" t="e">
        <f>'Base de Dados'!G294:G1635</f>
        <v>#VALUE!</v>
      </c>
      <c r="F249" t="e">
        <f>'Base de Dados'!I294:I1636</f>
        <v>#VALUE!</v>
      </c>
    </row>
    <row r="250" spans="2:6" x14ac:dyDescent="0.25">
      <c r="B250" t="e">
        <f>'Base de Dados'!Y295:Y1640</f>
        <v>#VALUE!</v>
      </c>
      <c r="C250" t="e">
        <f>'Base de Dados'!E294:E1639</f>
        <v>#VALUE!</v>
      </c>
      <c r="D250" t="e">
        <f>'Base de Dados'!F295:F1639</f>
        <v>#VALUE!</v>
      </c>
      <c r="E250" t="e">
        <f>'Base de Dados'!G295:G1636</f>
        <v>#VALUE!</v>
      </c>
      <c r="F250" t="e">
        <f>'Base de Dados'!I295:I1637</f>
        <v>#VALUE!</v>
      </c>
    </row>
    <row r="251" spans="2:6" x14ac:dyDescent="0.25">
      <c r="B251" t="e">
        <f>'Base de Dados'!Y296:Y1641</f>
        <v>#VALUE!</v>
      </c>
      <c r="C251" t="e">
        <f>'Base de Dados'!E295:E1640</f>
        <v>#VALUE!</v>
      </c>
      <c r="D251" t="e">
        <f>'Base de Dados'!F296:F1640</f>
        <v>#VALUE!</v>
      </c>
      <c r="E251" t="e">
        <f>'Base de Dados'!G296:G1637</f>
        <v>#VALUE!</v>
      </c>
      <c r="F251" t="e">
        <f>'Base de Dados'!I296:I1638</f>
        <v>#VALUE!</v>
      </c>
    </row>
    <row r="252" spans="2:6" x14ac:dyDescent="0.25">
      <c r="B252" t="e">
        <f>'Base de Dados'!Y297:Y1642</f>
        <v>#VALUE!</v>
      </c>
      <c r="C252" t="e">
        <f>'Base de Dados'!E296:E1641</f>
        <v>#VALUE!</v>
      </c>
      <c r="D252" t="e">
        <f>'Base de Dados'!F297:F1641</f>
        <v>#VALUE!</v>
      </c>
      <c r="E252" t="e">
        <f>'Base de Dados'!G297:G1638</f>
        <v>#VALUE!</v>
      </c>
      <c r="F252" t="e">
        <f>'Base de Dados'!I297:I1639</f>
        <v>#VALUE!</v>
      </c>
    </row>
    <row r="253" spans="2:6" x14ac:dyDescent="0.25">
      <c r="B253" t="e">
        <f>'Base de Dados'!Y298:Y1643</f>
        <v>#VALUE!</v>
      </c>
      <c r="C253" t="e">
        <f>'Base de Dados'!E297:E1642</f>
        <v>#VALUE!</v>
      </c>
      <c r="D253" t="e">
        <f>'Base de Dados'!F298:F1642</f>
        <v>#VALUE!</v>
      </c>
      <c r="E253" t="e">
        <f>'Base de Dados'!G298:G1639</f>
        <v>#VALUE!</v>
      </c>
      <c r="F253" t="e">
        <f>'Base de Dados'!I298:I1640</f>
        <v>#VALUE!</v>
      </c>
    </row>
    <row r="254" spans="2:6" x14ac:dyDescent="0.25">
      <c r="B254" t="e">
        <f>'Base de Dados'!Y299:Y1644</f>
        <v>#VALUE!</v>
      </c>
      <c r="C254" t="e">
        <f>'Base de Dados'!E298:E1643</f>
        <v>#VALUE!</v>
      </c>
      <c r="D254" t="e">
        <f>'Base de Dados'!F299:F1643</f>
        <v>#VALUE!</v>
      </c>
      <c r="E254" t="e">
        <f>'Base de Dados'!G299:G1640</f>
        <v>#VALUE!</v>
      </c>
      <c r="F254" t="e">
        <f>'Base de Dados'!I299:I1641</f>
        <v>#VALUE!</v>
      </c>
    </row>
    <row r="255" spans="2:6" x14ac:dyDescent="0.25">
      <c r="B255" t="e">
        <f>'Base de Dados'!Y300:Y1645</f>
        <v>#VALUE!</v>
      </c>
      <c r="C255" t="e">
        <f>'Base de Dados'!E299:E1644</f>
        <v>#VALUE!</v>
      </c>
      <c r="D255" t="e">
        <f>'Base de Dados'!F300:F1644</f>
        <v>#VALUE!</v>
      </c>
      <c r="E255" t="e">
        <f>'Base de Dados'!G300:G1641</f>
        <v>#VALUE!</v>
      </c>
      <c r="F255" t="e">
        <f>'Base de Dados'!I300:I1642</f>
        <v>#VALUE!</v>
      </c>
    </row>
    <row r="256" spans="2:6" x14ac:dyDescent="0.25">
      <c r="B256" t="e">
        <f>'Base de Dados'!Y301:Y1646</f>
        <v>#VALUE!</v>
      </c>
      <c r="C256" t="e">
        <f>'Base de Dados'!E300:E1645</f>
        <v>#VALUE!</v>
      </c>
      <c r="D256" t="e">
        <f>'Base de Dados'!F301:F1645</f>
        <v>#VALUE!</v>
      </c>
      <c r="E256" t="e">
        <f>'Base de Dados'!G301:G1642</f>
        <v>#VALUE!</v>
      </c>
      <c r="F256" t="e">
        <f>'Base de Dados'!I301:I1643</f>
        <v>#VALUE!</v>
      </c>
    </row>
    <row r="257" spans="2:6" x14ac:dyDescent="0.25">
      <c r="B257" t="e">
        <f>'Base de Dados'!Y302:Y1647</f>
        <v>#VALUE!</v>
      </c>
      <c r="C257" t="e">
        <f>'Base de Dados'!E301:E1646</f>
        <v>#VALUE!</v>
      </c>
      <c r="D257" t="e">
        <f>'Base de Dados'!F302:F1646</f>
        <v>#VALUE!</v>
      </c>
      <c r="E257" t="e">
        <f>'Base de Dados'!G302:G1643</f>
        <v>#VALUE!</v>
      </c>
      <c r="F257" t="e">
        <f>'Base de Dados'!I302:I1644</f>
        <v>#VALUE!</v>
      </c>
    </row>
    <row r="258" spans="2:6" x14ac:dyDescent="0.25">
      <c r="B258" t="e">
        <f>'Base de Dados'!Y303:Y1648</f>
        <v>#VALUE!</v>
      </c>
      <c r="C258" t="e">
        <f>'Base de Dados'!E302:E1647</f>
        <v>#VALUE!</v>
      </c>
      <c r="D258" t="e">
        <f>'Base de Dados'!F303:F1647</f>
        <v>#VALUE!</v>
      </c>
      <c r="E258" t="e">
        <f>'Base de Dados'!G303:G1644</f>
        <v>#VALUE!</v>
      </c>
      <c r="F258" t="e">
        <f>'Base de Dados'!I303:I1645</f>
        <v>#VALUE!</v>
      </c>
    </row>
    <row r="259" spans="2:6" x14ac:dyDescent="0.25">
      <c r="B259" t="e">
        <f>'Base de Dados'!Y305:Y1649</f>
        <v>#VALUE!</v>
      </c>
      <c r="C259" t="e">
        <f>'Base de Dados'!E303:E1648</f>
        <v>#VALUE!</v>
      </c>
      <c r="D259" t="e">
        <f>'Base de Dados'!F305:F1648</f>
        <v>#VALUE!</v>
      </c>
      <c r="E259" t="e">
        <f>'Base de Dados'!G305:G1645</f>
        <v>#VALUE!</v>
      </c>
      <c r="F259" t="e">
        <f>'Base de Dados'!I305:I1646</f>
        <v>#VALUE!</v>
      </c>
    </row>
    <row r="260" spans="2:6" x14ac:dyDescent="0.25">
      <c r="B260" t="e">
        <f>'Base de Dados'!Y306:Y1650</f>
        <v>#VALUE!</v>
      </c>
      <c r="C260" t="e">
        <f>'Base de Dados'!E305:E1649</f>
        <v>#VALUE!</v>
      </c>
      <c r="D260" t="e">
        <f>'Base de Dados'!F306:F1649</f>
        <v>#VALUE!</v>
      </c>
      <c r="E260" t="e">
        <f>'Base de Dados'!G306:G1646</f>
        <v>#VALUE!</v>
      </c>
      <c r="F260" t="e">
        <f>'Base de Dados'!I306:I1647</f>
        <v>#VALUE!</v>
      </c>
    </row>
    <row r="261" spans="2:6" x14ac:dyDescent="0.25">
      <c r="B261" t="e">
        <f>'Base de Dados'!Y307:Y1651</f>
        <v>#VALUE!</v>
      </c>
      <c r="C261" t="e">
        <f>'Base de Dados'!E306:E1650</f>
        <v>#VALUE!</v>
      </c>
      <c r="D261" t="e">
        <f>'Base de Dados'!F307:F1650</f>
        <v>#VALUE!</v>
      </c>
      <c r="E261" t="e">
        <f>'Base de Dados'!G307:G1647</f>
        <v>#VALUE!</v>
      </c>
      <c r="F261" t="e">
        <f>'Base de Dados'!I307:I1648</f>
        <v>#VALUE!</v>
      </c>
    </row>
    <row r="262" spans="2:6" x14ac:dyDescent="0.25">
      <c r="B262" t="e">
        <f>'Base de Dados'!Y308:Y1652</f>
        <v>#VALUE!</v>
      </c>
      <c r="C262" t="e">
        <f>'Base de Dados'!E307:E1651</f>
        <v>#VALUE!</v>
      </c>
      <c r="D262" t="e">
        <f>'Base de Dados'!F308:F1651</f>
        <v>#VALUE!</v>
      </c>
      <c r="E262" t="e">
        <f>'Base de Dados'!G308:G1648</f>
        <v>#VALUE!</v>
      </c>
      <c r="F262" t="e">
        <f>'Base de Dados'!I308:I1649</f>
        <v>#VALUE!</v>
      </c>
    </row>
    <row r="263" spans="2:6" x14ac:dyDescent="0.25">
      <c r="B263" t="e">
        <f>'Base de Dados'!Y309:Y1653</f>
        <v>#VALUE!</v>
      </c>
      <c r="C263" t="e">
        <f>'Base de Dados'!E308:E1652</f>
        <v>#VALUE!</v>
      </c>
      <c r="D263" t="e">
        <f>'Base de Dados'!F309:F1652</f>
        <v>#VALUE!</v>
      </c>
      <c r="E263" t="e">
        <f>'Base de Dados'!G309:G1649</f>
        <v>#VALUE!</v>
      </c>
      <c r="F263" t="e">
        <f>'Base de Dados'!I309:I1650</f>
        <v>#VALUE!</v>
      </c>
    </row>
    <row r="264" spans="2:6" x14ac:dyDescent="0.25">
      <c r="B264" t="e">
        <f>'Base de Dados'!Y310:Y1654</f>
        <v>#VALUE!</v>
      </c>
      <c r="C264" t="e">
        <f>'Base de Dados'!E309:E1653</f>
        <v>#VALUE!</v>
      </c>
      <c r="D264" t="e">
        <f>'Base de Dados'!F310:F1653</f>
        <v>#VALUE!</v>
      </c>
      <c r="E264" t="e">
        <f>'Base de Dados'!G310:G1650</f>
        <v>#VALUE!</v>
      </c>
      <c r="F264" t="e">
        <f>'Base de Dados'!I310:I1651</f>
        <v>#VALUE!</v>
      </c>
    </row>
    <row r="265" spans="2:6" x14ac:dyDescent="0.25">
      <c r="B265" t="e">
        <f>'Base de Dados'!Y312:Y1655</f>
        <v>#VALUE!</v>
      </c>
      <c r="C265" t="e">
        <f>'Base de Dados'!E310:E1654</f>
        <v>#VALUE!</v>
      </c>
      <c r="D265" t="e">
        <f>'Base de Dados'!F312:F1654</f>
        <v>#VALUE!</v>
      </c>
      <c r="E265" t="e">
        <f>'Base de Dados'!G312:G1651</f>
        <v>#VALUE!</v>
      </c>
      <c r="F265" t="e">
        <f>'Base de Dados'!I312:I1652</f>
        <v>#VALUE!</v>
      </c>
    </row>
    <row r="266" spans="2:6" x14ac:dyDescent="0.25">
      <c r="B266" t="e">
        <f>'Base de Dados'!Y313:Y1656</f>
        <v>#VALUE!</v>
      </c>
      <c r="C266" t="e">
        <f>'Base de Dados'!E312:E1655</f>
        <v>#VALUE!</v>
      </c>
      <c r="D266" t="e">
        <f>'Base de Dados'!F313:F1655</f>
        <v>#VALUE!</v>
      </c>
      <c r="E266" t="e">
        <f>'Base de Dados'!G313:G1652</f>
        <v>#VALUE!</v>
      </c>
      <c r="F266" t="e">
        <f>'Base de Dados'!I313:I1653</f>
        <v>#VALUE!</v>
      </c>
    </row>
    <row r="267" spans="2:6" x14ac:dyDescent="0.25">
      <c r="B267" t="e">
        <f>'Base de Dados'!Y314:Y1657</f>
        <v>#VALUE!</v>
      </c>
      <c r="C267" t="e">
        <f>'Base de Dados'!E313:E1656</f>
        <v>#VALUE!</v>
      </c>
      <c r="D267" t="e">
        <f>'Base de Dados'!F314:F1656</f>
        <v>#VALUE!</v>
      </c>
      <c r="E267" t="e">
        <f>'Base de Dados'!G314:G1653</f>
        <v>#VALUE!</v>
      </c>
      <c r="F267" t="e">
        <f>'Base de Dados'!I314:I1654</f>
        <v>#VALUE!</v>
      </c>
    </row>
    <row r="268" spans="2:6" x14ac:dyDescent="0.25">
      <c r="B268" t="e">
        <f>'Base de Dados'!Y315:Y1658</f>
        <v>#VALUE!</v>
      </c>
      <c r="C268" t="e">
        <f>'Base de Dados'!E314:E1657</f>
        <v>#VALUE!</v>
      </c>
      <c r="D268" t="e">
        <f>'Base de Dados'!F315:F1657</f>
        <v>#VALUE!</v>
      </c>
      <c r="E268" t="e">
        <f>'Base de Dados'!G315:G1654</f>
        <v>#VALUE!</v>
      </c>
      <c r="F268" t="e">
        <f>'Base de Dados'!I315:I1655</f>
        <v>#VALUE!</v>
      </c>
    </row>
    <row r="269" spans="2:6" x14ac:dyDescent="0.25">
      <c r="B269" t="e">
        <f>'Base de Dados'!Y316:Y1659</f>
        <v>#VALUE!</v>
      </c>
      <c r="C269" t="e">
        <f>'Base de Dados'!E315:E1658</f>
        <v>#VALUE!</v>
      </c>
      <c r="D269" t="e">
        <f>'Base de Dados'!F316:F1658</f>
        <v>#VALUE!</v>
      </c>
      <c r="E269" t="e">
        <f>'Base de Dados'!G316:G1655</f>
        <v>#VALUE!</v>
      </c>
      <c r="F269" t="e">
        <f>'Base de Dados'!I316:I1656</f>
        <v>#VALUE!</v>
      </c>
    </row>
    <row r="270" spans="2:6" x14ac:dyDescent="0.25">
      <c r="B270" t="e">
        <f>'Base de Dados'!Y317:Y1660</f>
        <v>#VALUE!</v>
      </c>
      <c r="C270" t="e">
        <f>'Base de Dados'!E316:E1659</f>
        <v>#VALUE!</v>
      </c>
      <c r="D270" t="e">
        <f>'Base de Dados'!F317:F1659</f>
        <v>#VALUE!</v>
      </c>
      <c r="E270" t="e">
        <f>'Base de Dados'!G317:G1656</f>
        <v>#VALUE!</v>
      </c>
      <c r="F270" t="e">
        <f>'Base de Dados'!I317:I1657</f>
        <v>#VALUE!</v>
      </c>
    </row>
    <row r="271" spans="2:6" x14ac:dyDescent="0.25">
      <c r="B271" t="e">
        <f>'Base de Dados'!Y318:Y1661</f>
        <v>#VALUE!</v>
      </c>
      <c r="C271" t="e">
        <f>'Base de Dados'!E317:E1660</f>
        <v>#VALUE!</v>
      </c>
      <c r="D271" t="e">
        <f>'Base de Dados'!F318:F1660</f>
        <v>#VALUE!</v>
      </c>
      <c r="E271" t="e">
        <f>'Base de Dados'!G318:G1657</f>
        <v>#VALUE!</v>
      </c>
      <c r="F271" t="e">
        <f>'Base de Dados'!I318:I1658</f>
        <v>#VALUE!</v>
      </c>
    </row>
    <row r="272" spans="2:6" x14ac:dyDescent="0.25">
      <c r="B272" t="e">
        <f>'Base de Dados'!Y319:Y1662</f>
        <v>#VALUE!</v>
      </c>
      <c r="C272" t="e">
        <f>'Base de Dados'!E318:E1661</f>
        <v>#VALUE!</v>
      </c>
      <c r="D272" t="e">
        <f>'Base de Dados'!F319:F1661</f>
        <v>#VALUE!</v>
      </c>
      <c r="E272" t="e">
        <f>'Base de Dados'!G319:G1658</f>
        <v>#VALUE!</v>
      </c>
      <c r="F272" t="e">
        <f>'Base de Dados'!I319:I1659</f>
        <v>#VALUE!</v>
      </c>
    </row>
    <row r="273" spans="2:6" x14ac:dyDescent="0.25">
      <c r="B273" t="e">
        <f>'Base de Dados'!Y320:Y1663</f>
        <v>#VALUE!</v>
      </c>
      <c r="C273" t="e">
        <f>'Base de Dados'!E319:E1662</f>
        <v>#VALUE!</v>
      </c>
      <c r="D273" t="e">
        <f>'Base de Dados'!F320:F1662</f>
        <v>#VALUE!</v>
      </c>
      <c r="E273" t="e">
        <f>'Base de Dados'!G320:G1659</f>
        <v>#VALUE!</v>
      </c>
      <c r="F273" t="e">
        <f>'Base de Dados'!I320:I1660</f>
        <v>#VALUE!</v>
      </c>
    </row>
    <row r="274" spans="2:6" x14ac:dyDescent="0.25">
      <c r="B274" t="e">
        <f>'Base de Dados'!Y321:Y1664</f>
        <v>#VALUE!</v>
      </c>
      <c r="C274" t="e">
        <f>'Base de Dados'!E320:E1663</f>
        <v>#VALUE!</v>
      </c>
      <c r="D274" t="e">
        <f>'Base de Dados'!F321:F1663</f>
        <v>#VALUE!</v>
      </c>
      <c r="E274" t="e">
        <f>'Base de Dados'!G321:G1660</f>
        <v>#VALUE!</v>
      </c>
      <c r="F274" t="e">
        <f>'Base de Dados'!I321:I1661</f>
        <v>#VALUE!</v>
      </c>
    </row>
    <row r="275" spans="2:6" x14ac:dyDescent="0.25">
      <c r="B275" t="e">
        <f>'Base de Dados'!Y322:Y1665</f>
        <v>#VALUE!</v>
      </c>
      <c r="C275" t="e">
        <f>'Base de Dados'!E321:E1664</f>
        <v>#VALUE!</v>
      </c>
      <c r="D275" t="e">
        <f>'Base de Dados'!F322:F1664</f>
        <v>#VALUE!</v>
      </c>
      <c r="E275" t="e">
        <f>'Base de Dados'!G322:G1661</f>
        <v>#VALUE!</v>
      </c>
      <c r="F275" t="e">
        <f>'Base de Dados'!I322:I1662</f>
        <v>#VALUE!</v>
      </c>
    </row>
    <row r="276" spans="2:6" x14ac:dyDescent="0.25">
      <c r="B276" t="e">
        <f>'Base de Dados'!Y323:Y1666</f>
        <v>#VALUE!</v>
      </c>
      <c r="C276" t="e">
        <f>'Base de Dados'!E322:E1665</f>
        <v>#VALUE!</v>
      </c>
      <c r="D276" t="e">
        <f>'Base de Dados'!F323:F1665</f>
        <v>#VALUE!</v>
      </c>
      <c r="E276" t="e">
        <f>'Base de Dados'!G323:G1662</f>
        <v>#VALUE!</v>
      </c>
      <c r="F276" t="e">
        <f>'Base de Dados'!I323:I1663</f>
        <v>#VALUE!</v>
      </c>
    </row>
    <row r="277" spans="2:6" x14ac:dyDescent="0.25">
      <c r="B277" t="e">
        <f>'Base de Dados'!Y324:Y1667</f>
        <v>#VALUE!</v>
      </c>
      <c r="C277" t="e">
        <f>'Base de Dados'!E323:E1666</f>
        <v>#VALUE!</v>
      </c>
      <c r="D277" t="e">
        <f>'Base de Dados'!F324:F1666</f>
        <v>#VALUE!</v>
      </c>
      <c r="E277" t="e">
        <f>'Base de Dados'!G324:G1663</f>
        <v>#VALUE!</v>
      </c>
      <c r="F277" t="e">
        <f>'Base de Dados'!I324:I1664</f>
        <v>#VALUE!</v>
      </c>
    </row>
    <row r="278" spans="2:6" x14ac:dyDescent="0.25">
      <c r="B278" t="e">
        <f>'Base de Dados'!Y325:Y1668</f>
        <v>#VALUE!</v>
      </c>
      <c r="C278" t="e">
        <f>'Base de Dados'!E324:E1667</f>
        <v>#VALUE!</v>
      </c>
      <c r="D278" t="e">
        <f>'Base de Dados'!F325:F1667</f>
        <v>#VALUE!</v>
      </c>
      <c r="E278" t="e">
        <f>'Base de Dados'!G325:G1664</f>
        <v>#VALUE!</v>
      </c>
      <c r="F278" t="e">
        <f>'Base de Dados'!I325:I1665</f>
        <v>#VALUE!</v>
      </c>
    </row>
    <row r="279" spans="2:6" x14ac:dyDescent="0.25">
      <c r="B279" t="e">
        <f>'Base de Dados'!Y326:Y1669</f>
        <v>#VALUE!</v>
      </c>
      <c r="C279" t="e">
        <f>'Base de Dados'!E325:E1668</f>
        <v>#VALUE!</v>
      </c>
      <c r="D279" t="e">
        <f>'Base de Dados'!F326:F1668</f>
        <v>#VALUE!</v>
      </c>
      <c r="E279" t="e">
        <f>'Base de Dados'!G326:G1665</f>
        <v>#VALUE!</v>
      </c>
      <c r="F279" t="e">
        <f>'Base de Dados'!I326:I1666</f>
        <v>#VALUE!</v>
      </c>
    </row>
    <row r="280" spans="2:6" x14ac:dyDescent="0.25">
      <c r="B280" t="e">
        <f>'Base de Dados'!Y327:Y1670</f>
        <v>#VALUE!</v>
      </c>
      <c r="C280" t="e">
        <f>'Base de Dados'!E326:E1669</f>
        <v>#VALUE!</v>
      </c>
      <c r="D280" t="e">
        <f>'Base de Dados'!F327:F1669</f>
        <v>#VALUE!</v>
      </c>
      <c r="E280" t="e">
        <f>'Base de Dados'!G327:G1666</f>
        <v>#VALUE!</v>
      </c>
      <c r="F280" t="e">
        <f>'Base de Dados'!I327:I1667</f>
        <v>#VALUE!</v>
      </c>
    </row>
    <row r="281" spans="2:6" x14ac:dyDescent="0.25">
      <c r="B281" t="e">
        <f>'Base de Dados'!Y328:Y1671</f>
        <v>#VALUE!</v>
      </c>
      <c r="C281" t="e">
        <f>'Base de Dados'!E327:E1670</f>
        <v>#VALUE!</v>
      </c>
      <c r="D281" t="e">
        <f>'Base de Dados'!F328:F1670</f>
        <v>#VALUE!</v>
      </c>
      <c r="E281" t="e">
        <f>'Base de Dados'!G328:G1667</f>
        <v>#VALUE!</v>
      </c>
      <c r="F281" t="e">
        <f>'Base de Dados'!I328:I1668</f>
        <v>#VALUE!</v>
      </c>
    </row>
    <row r="282" spans="2:6" x14ac:dyDescent="0.25">
      <c r="B282" t="e">
        <f>'Base de Dados'!Y329:Y1672</f>
        <v>#VALUE!</v>
      </c>
      <c r="C282" t="e">
        <f>'Base de Dados'!E328:E1671</f>
        <v>#VALUE!</v>
      </c>
      <c r="D282" t="e">
        <f>'Base de Dados'!F329:F1671</f>
        <v>#VALUE!</v>
      </c>
      <c r="E282" t="e">
        <f>'Base de Dados'!G329:G1668</f>
        <v>#VALUE!</v>
      </c>
      <c r="F282" t="e">
        <f>'Base de Dados'!I329:I1669</f>
        <v>#VALUE!</v>
      </c>
    </row>
    <row r="283" spans="2:6" x14ac:dyDescent="0.25">
      <c r="B283" t="e">
        <f>'Base de Dados'!Y330:Y1673</f>
        <v>#VALUE!</v>
      </c>
      <c r="C283" t="e">
        <f>'Base de Dados'!E329:E1672</f>
        <v>#VALUE!</v>
      </c>
      <c r="D283" t="e">
        <f>'Base de Dados'!F330:F1672</f>
        <v>#VALUE!</v>
      </c>
      <c r="E283" t="e">
        <f>'Base de Dados'!G330:G1669</f>
        <v>#VALUE!</v>
      </c>
      <c r="F283" t="e">
        <f>'Base de Dados'!I330:I1670</f>
        <v>#VALUE!</v>
      </c>
    </row>
    <row r="284" spans="2:6" x14ac:dyDescent="0.25">
      <c r="B284" t="e">
        <f>'Base de Dados'!Y331:Y1674</f>
        <v>#VALUE!</v>
      </c>
      <c r="C284" t="e">
        <f>'Base de Dados'!E330:E1673</f>
        <v>#VALUE!</v>
      </c>
      <c r="D284" t="e">
        <f>'Base de Dados'!F331:F1673</f>
        <v>#VALUE!</v>
      </c>
      <c r="E284" t="e">
        <f>'Base de Dados'!G331:G1670</f>
        <v>#VALUE!</v>
      </c>
      <c r="F284" t="e">
        <f>'Base de Dados'!I331:I1671</f>
        <v>#VALUE!</v>
      </c>
    </row>
    <row r="285" spans="2:6" x14ac:dyDescent="0.25">
      <c r="B285" t="e">
        <f>'Base de Dados'!Y332:Y1675</f>
        <v>#VALUE!</v>
      </c>
      <c r="C285" t="e">
        <f>'Base de Dados'!E331:E1674</f>
        <v>#VALUE!</v>
      </c>
      <c r="D285" t="e">
        <f>'Base de Dados'!F332:F1674</f>
        <v>#VALUE!</v>
      </c>
      <c r="E285" t="e">
        <f>'Base de Dados'!G332:G1671</f>
        <v>#VALUE!</v>
      </c>
      <c r="F285" t="e">
        <f>'Base de Dados'!I332:I1672</f>
        <v>#VALUE!</v>
      </c>
    </row>
    <row r="286" spans="2:6" x14ac:dyDescent="0.25">
      <c r="B286" t="e">
        <f>'Base de Dados'!Y333:Y1676</f>
        <v>#VALUE!</v>
      </c>
      <c r="C286" t="e">
        <f>'Base de Dados'!E332:E1675</f>
        <v>#VALUE!</v>
      </c>
      <c r="D286" t="e">
        <f>'Base de Dados'!F333:F1675</f>
        <v>#VALUE!</v>
      </c>
      <c r="E286" t="e">
        <f>'Base de Dados'!G333:G1672</f>
        <v>#VALUE!</v>
      </c>
      <c r="F286" t="e">
        <f>'Base de Dados'!I333:I1673</f>
        <v>#VALUE!</v>
      </c>
    </row>
    <row r="287" spans="2:6" x14ac:dyDescent="0.25">
      <c r="B287" t="e">
        <f>'Base de Dados'!Y335:Y1677</f>
        <v>#VALUE!</v>
      </c>
      <c r="C287" t="e">
        <f>'Base de Dados'!E333:E1676</f>
        <v>#VALUE!</v>
      </c>
      <c r="D287" t="e">
        <f>'Base de Dados'!F335:F1676</f>
        <v>#VALUE!</v>
      </c>
      <c r="E287" t="e">
        <f>'Base de Dados'!G335:G1673</f>
        <v>#VALUE!</v>
      </c>
      <c r="F287" t="e">
        <f>'Base de Dados'!I335:I1674</f>
        <v>#VALUE!</v>
      </c>
    </row>
    <row r="288" spans="2:6" x14ac:dyDescent="0.25">
      <c r="B288" t="e">
        <f>'Base de Dados'!Y336:Y1678</f>
        <v>#VALUE!</v>
      </c>
      <c r="C288" t="e">
        <f>'Base de Dados'!E335:E1677</f>
        <v>#VALUE!</v>
      </c>
      <c r="D288" t="e">
        <f>'Base de Dados'!F336:F1677</f>
        <v>#VALUE!</v>
      </c>
      <c r="E288" t="e">
        <f>'Base de Dados'!G336:G1674</f>
        <v>#VALUE!</v>
      </c>
      <c r="F288" t="e">
        <f>'Base de Dados'!I336:I1675</f>
        <v>#VALUE!</v>
      </c>
    </row>
    <row r="289" spans="2:6" x14ac:dyDescent="0.25">
      <c r="B289" t="e">
        <f>'Base de Dados'!Y337:Y1679</f>
        <v>#VALUE!</v>
      </c>
      <c r="C289" t="e">
        <f>'Base de Dados'!E336:E1678</f>
        <v>#VALUE!</v>
      </c>
      <c r="D289" t="e">
        <f>'Base de Dados'!F337:F1678</f>
        <v>#VALUE!</v>
      </c>
      <c r="E289" t="e">
        <f>'Base de Dados'!G337:G1675</f>
        <v>#VALUE!</v>
      </c>
      <c r="F289" t="e">
        <f>'Base de Dados'!I337:I1676</f>
        <v>#VALUE!</v>
      </c>
    </row>
    <row r="290" spans="2:6" x14ac:dyDescent="0.25">
      <c r="B290" t="e">
        <f>'Base de Dados'!Y338:Y1680</f>
        <v>#VALUE!</v>
      </c>
      <c r="C290" t="e">
        <f>'Base de Dados'!E337:E1679</f>
        <v>#VALUE!</v>
      </c>
      <c r="D290" t="e">
        <f>'Base de Dados'!F338:F1679</f>
        <v>#VALUE!</v>
      </c>
      <c r="E290" t="e">
        <f>'Base de Dados'!G338:G1676</f>
        <v>#VALUE!</v>
      </c>
      <c r="F290" t="e">
        <f>'Base de Dados'!I338:I1677</f>
        <v>#VALUE!</v>
      </c>
    </row>
    <row r="291" spans="2:6" x14ac:dyDescent="0.25">
      <c r="B291" t="e">
        <f>'Base de Dados'!Y339:Y1681</f>
        <v>#VALUE!</v>
      </c>
      <c r="C291" t="e">
        <f>'Base de Dados'!E338:E1680</f>
        <v>#VALUE!</v>
      </c>
      <c r="D291" t="e">
        <f>'Base de Dados'!F339:F1680</f>
        <v>#VALUE!</v>
      </c>
      <c r="E291" t="e">
        <f>'Base de Dados'!G339:G1677</f>
        <v>#VALUE!</v>
      </c>
      <c r="F291" t="e">
        <f>'Base de Dados'!I339:I1678</f>
        <v>#VALUE!</v>
      </c>
    </row>
    <row r="292" spans="2:6" x14ac:dyDescent="0.25">
      <c r="B292" t="e">
        <f>'Base de Dados'!Y340:Y1682</f>
        <v>#VALUE!</v>
      </c>
      <c r="C292" t="e">
        <f>'Base de Dados'!E339:E1681</f>
        <v>#VALUE!</v>
      </c>
      <c r="D292" t="e">
        <f>'Base de Dados'!F340:F1681</f>
        <v>#VALUE!</v>
      </c>
      <c r="E292" t="e">
        <f>'Base de Dados'!G340:G1678</f>
        <v>#VALUE!</v>
      </c>
      <c r="F292" t="e">
        <f>'Base de Dados'!I340:I1679</f>
        <v>#VALUE!</v>
      </c>
    </row>
    <row r="293" spans="2:6" x14ac:dyDescent="0.25">
      <c r="B293" t="e">
        <f>'Base de Dados'!Y341:Y1683</f>
        <v>#VALUE!</v>
      </c>
      <c r="C293" t="e">
        <f>'Base de Dados'!E340:E1682</f>
        <v>#VALUE!</v>
      </c>
      <c r="D293" t="e">
        <f>'Base de Dados'!F341:F1682</f>
        <v>#VALUE!</v>
      </c>
      <c r="E293" t="e">
        <f>'Base de Dados'!G341:G1679</f>
        <v>#VALUE!</v>
      </c>
      <c r="F293" t="e">
        <f>'Base de Dados'!I341:I1680</f>
        <v>#VALUE!</v>
      </c>
    </row>
    <row r="294" spans="2:6" x14ac:dyDescent="0.25">
      <c r="B294" t="e">
        <f>'Base de Dados'!Y345:Y1684</f>
        <v>#VALUE!</v>
      </c>
      <c r="C294" t="e">
        <f>'Base de Dados'!E341:E1683</f>
        <v>#VALUE!</v>
      </c>
      <c r="D294" t="e">
        <f>'Base de Dados'!F345:F1683</f>
        <v>#VALUE!</v>
      </c>
      <c r="E294" t="e">
        <f>'Base de Dados'!G345:G1680</f>
        <v>#VALUE!</v>
      </c>
      <c r="F294" t="e">
        <f>'Base de Dados'!I345:I1681</f>
        <v>#VALUE!</v>
      </c>
    </row>
    <row r="295" spans="2:6" x14ac:dyDescent="0.25">
      <c r="B295" t="e">
        <f>'Base de Dados'!Y346:Y1685</f>
        <v>#VALUE!</v>
      </c>
      <c r="C295" t="e">
        <f>'Base de Dados'!E345:E1684</f>
        <v>#VALUE!</v>
      </c>
      <c r="D295" t="e">
        <f>'Base de Dados'!F346:F1684</f>
        <v>#VALUE!</v>
      </c>
      <c r="E295" t="e">
        <f>'Base de Dados'!G346:G1681</f>
        <v>#VALUE!</v>
      </c>
      <c r="F295" t="e">
        <f>'Base de Dados'!I346:I1682</f>
        <v>#VALUE!</v>
      </c>
    </row>
    <row r="296" spans="2:6" x14ac:dyDescent="0.25">
      <c r="B296" t="e">
        <f>'Base de Dados'!Y347:Y1686</f>
        <v>#VALUE!</v>
      </c>
      <c r="C296" t="e">
        <f>'Base de Dados'!E346:E1685</f>
        <v>#VALUE!</v>
      </c>
      <c r="D296" t="e">
        <f>'Base de Dados'!F347:F1685</f>
        <v>#VALUE!</v>
      </c>
      <c r="E296" t="e">
        <f>'Base de Dados'!G347:G1682</f>
        <v>#VALUE!</v>
      </c>
      <c r="F296" t="e">
        <f>'Base de Dados'!I347:I1683</f>
        <v>#VALUE!</v>
      </c>
    </row>
    <row r="297" spans="2:6" x14ac:dyDescent="0.25">
      <c r="B297" t="e">
        <f>'Base de Dados'!Y348:Y1687</f>
        <v>#VALUE!</v>
      </c>
      <c r="C297" t="e">
        <f>'Base de Dados'!E347:E1686</f>
        <v>#VALUE!</v>
      </c>
      <c r="D297" t="e">
        <f>'Base de Dados'!F348:F1686</f>
        <v>#VALUE!</v>
      </c>
      <c r="E297" t="e">
        <f>'Base de Dados'!G348:G1683</f>
        <v>#VALUE!</v>
      </c>
      <c r="F297" t="e">
        <f>'Base de Dados'!I348:I1684</f>
        <v>#VALUE!</v>
      </c>
    </row>
    <row r="298" spans="2:6" x14ac:dyDescent="0.25">
      <c r="B298" t="e">
        <f>'Base de Dados'!Y349:Y1688</f>
        <v>#VALUE!</v>
      </c>
      <c r="C298" t="e">
        <f>'Base de Dados'!E348:E1687</f>
        <v>#VALUE!</v>
      </c>
      <c r="D298" t="e">
        <f>'Base de Dados'!F349:F1687</f>
        <v>#VALUE!</v>
      </c>
      <c r="E298" t="e">
        <f>'Base de Dados'!G349:G1684</f>
        <v>#VALUE!</v>
      </c>
      <c r="F298" t="e">
        <f>'Base de Dados'!I349:I1685</f>
        <v>#VALUE!</v>
      </c>
    </row>
    <row r="299" spans="2:6" x14ac:dyDescent="0.25">
      <c r="B299" t="e">
        <f>'Base de Dados'!Y350:Y1689</f>
        <v>#VALUE!</v>
      </c>
      <c r="C299" t="e">
        <f>'Base de Dados'!E349:E1688</f>
        <v>#VALUE!</v>
      </c>
      <c r="D299" t="e">
        <f>'Base de Dados'!F350:F1688</f>
        <v>#VALUE!</v>
      </c>
      <c r="E299" t="e">
        <f>'Base de Dados'!G350:G1685</f>
        <v>#VALUE!</v>
      </c>
      <c r="F299" t="e">
        <f>'Base de Dados'!I350:I1686</f>
        <v>#VALUE!</v>
      </c>
    </row>
    <row r="300" spans="2:6" x14ac:dyDescent="0.25">
      <c r="B300" t="e">
        <f>'Base de Dados'!Y351:Y1690</f>
        <v>#VALUE!</v>
      </c>
      <c r="C300" t="e">
        <f>'Base de Dados'!E350:E1689</f>
        <v>#VALUE!</v>
      </c>
      <c r="D300" t="e">
        <f>'Base de Dados'!F351:F1689</f>
        <v>#VALUE!</v>
      </c>
      <c r="E300" t="e">
        <f>'Base de Dados'!G351:G1686</f>
        <v>#VALUE!</v>
      </c>
      <c r="F300" t="e">
        <f>'Base de Dados'!I351:I1687</f>
        <v>#VALUE!</v>
      </c>
    </row>
    <row r="301" spans="2:6" x14ac:dyDescent="0.25">
      <c r="B301" t="e">
        <f>'Base de Dados'!Y352:Y1691</f>
        <v>#VALUE!</v>
      </c>
      <c r="C301" t="e">
        <f>'Base de Dados'!E351:E1690</f>
        <v>#VALUE!</v>
      </c>
      <c r="D301" t="e">
        <f>'Base de Dados'!F352:F1690</f>
        <v>#VALUE!</v>
      </c>
      <c r="E301" t="e">
        <f>'Base de Dados'!G352:G1687</f>
        <v>#VALUE!</v>
      </c>
      <c r="F301" t="e">
        <f>'Base de Dados'!I352:I1688</f>
        <v>#VALUE!</v>
      </c>
    </row>
    <row r="302" spans="2:6" x14ac:dyDescent="0.25">
      <c r="B302" t="e">
        <f>'Base de Dados'!Y353:Y1692</f>
        <v>#VALUE!</v>
      </c>
      <c r="C302" t="e">
        <f>'Base de Dados'!E352:E1691</f>
        <v>#VALUE!</v>
      </c>
      <c r="D302" t="e">
        <f>'Base de Dados'!F353:F1691</f>
        <v>#VALUE!</v>
      </c>
      <c r="E302" t="e">
        <f>'Base de Dados'!G353:G1688</f>
        <v>#VALUE!</v>
      </c>
      <c r="F302" t="e">
        <f>'Base de Dados'!I353:I1689</f>
        <v>#VALUE!</v>
      </c>
    </row>
    <row r="303" spans="2:6" x14ac:dyDescent="0.25">
      <c r="B303" t="e">
        <f>'Base de Dados'!Y354:Y1693</f>
        <v>#VALUE!</v>
      </c>
      <c r="C303" t="e">
        <f>'Base de Dados'!E353:E1692</f>
        <v>#VALUE!</v>
      </c>
      <c r="D303" t="e">
        <f>'Base de Dados'!F354:F1692</f>
        <v>#VALUE!</v>
      </c>
      <c r="E303" t="e">
        <f>'Base de Dados'!G354:G1689</f>
        <v>#VALUE!</v>
      </c>
      <c r="F303" t="e">
        <f>'Base de Dados'!I354:I1690</f>
        <v>#VALUE!</v>
      </c>
    </row>
    <row r="304" spans="2:6" x14ac:dyDescent="0.25">
      <c r="B304" t="e">
        <f>'Base de Dados'!Y355:Y1694</f>
        <v>#VALUE!</v>
      </c>
      <c r="C304" t="e">
        <f>'Base de Dados'!E354:E1693</f>
        <v>#VALUE!</v>
      </c>
      <c r="D304" t="e">
        <f>'Base de Dados'!F355:F1693</f>
        <v>#VALUE!</v>
      </c>
      <c r="E304" t="e">
        <f>'Base de Dados'!G355:G1690</f>
        <v>#VALUE!</v>
      </c>
      <c r="F304" t="e">
        <f>'Base de Dados'!I355:I1691</f>
        <v>#VALUE!</v>
      </c>
    </row>
    <row r="305" spans="2:6" x14ac:dyDescent="0.25">
      <c r="B305" t="e">
        <f>'Base de Dados'!Y356:Y1695</f>
        <v>#VALUE!</v>
      </c>
      <c r="C305" t="e">
        <f>'Base de Dados'!E355:E1694</f>
        <v>#VALUE!</v>
      </c>
      <c r="D305" t="e">
        <f>'Base de Dados'!F356:F1694</f>
        <v>#VALUE!</v>
      </c>
      <c r="E305" t="e">
        <f>'Base de Dados'!G356:G1691</f>
        <v>#VALUE!</v>
      </c>
      <c r="F305" t="e">
        <f>'Base de Dados'!I356:I1692</f>
        <v>#VALUE!</v>
      </c>
    </row>
    <row r="306" spans="2:6" x14ac:dyDescent="0.25">
      <c r="B306" t="e">
        <f>'Base de Dados'!Y357:Y1696</f>
        <v>#VALUE!</v>
      </c>
      <c r="C306" t="e">
        <f>'Base de Dados'!E356:E1695</f>
        <v>#VALUE!</v>
      </c>
      <c r="D306" t="e">
        <f>'Base de Dados'!F357:F1695</f>
        <v>#VALUE!</v>
      </c>
      <c r="E306" t="e">
        <f>'Base de Dados'!G357:G1692</f>
        <v>#VALUE!</v>
      </c>
      <c r="F306" t="e">
        <f>'Base de Dados'!I357:I1693</f>
        <v>#VALUE!</v>
      </c>
    </row>
    <row r="307" spans="2:6" x14ac:dyDescent="0.25">
      <c r="B307" t="e">
        <f>'Base de Dados'!Y360:Y1697</f>
        <v>#VALUE!</v>
      </c>
      <c r="C307" t="e">
        <f>'Base de Dados'!E357:E1696</f>
        <v>#VALUE!</v>
      </c>
      <c r="D307" t="e">
        <f>'Base de Dados'!F360:F1696</f>
        <v>#VALUE!</v>
      </c>
      <c r="E307" t="e">
        <f>'Base de Dados'!G360:G1693</f>
        <v>#VALUE!</v>
      </c>
      <c r="F307" t="e">
        <f>'Base de Dados'!I360:I1694</f>
        <v>#VALUE!</v>
      </c>
    </row>
    <row r="308" spans="2:6" x14ac:dyDescent="0.25">
      <c r="B308" t="e">
        <f>'Base de Dados'!Y361:Y1698</f>
        <v>#VALUE!</v>
      </c>
      <c r="C308" t="e">
        <f>'Base de Dados'!E360:E1697</f>
        <v>#VALUE!</v>
      </c>
      <c r="D308" t="e">
        <f>'Base de Dados'!F361:F1697</f>
        <v>#VALUE!</v>
      </c>
      <c r="E308" t="e">
        <f>'Base de Dados'!G361:G1694</f>
        <v>#VALUE!</v>
      </c>
      <c r="F308" t="e">
        <f>'Base de Dados'!I361:I1695</f>
        <v>#VALUE!</v>
      </c>
    </row>
    <row r="309" spans="2:6" x14ac:dyDescent="0.25">
      <c r="B309" t="e">
        <f>'Base de Dados'!Y362:Y1699</f>
        <v>#VALUE!</v>
      </c>
      <c r="C309" t="e">
        <f>'Base de Dados'!E361:E1698</f>
        <v>#VALUE!</v>
      </c>
      <c r="D309" t="e">
        <f>'Base de Dados'!F362:F1698</f>
        <v>#VALUE!</v>
      </c>
      <c r="E309" t="e">
        <f>'Base de Dados'!G362:G1695</f>
        <v>#VALUE!</v>
      </c>
      <c r="F309" t="e">
        <f>'Base de Dados'!I362:I1696</f>
        <v>#VALUE!</v>
      </c>
    </row>
    <row r="310" spans="2:6" x14ac:dyDescent="0.25">
      <c r="B310" t="e">
        <f>'Base de Dados'!Y363:Y1700</f>
        <v>#VALUE!</v>
      </c>
      <c r="C310" t="e">
        <f>'Base de Dados'!E362:E1699</f>
        <v>#VALUE!</v>
      </c>
      <c r="D310" t="e">
        <f>'Base de Dados'!F363:F1699</f>
        <v>#VALUE!</v>
      </c>
      <c r="E310" t="e">
        <f>'Base de Dados'!G363:G1696</f>
        <v>#VALUE!</v>
      </c>
      <c r="F310" t="e">
        <f>'Base de Dados'!I363:I1697</f>
        <v>#VALUE!</v>
      </c>
    </row>
    <row r="311" spans="2:6" x14ac:dyDescent="0.25">
      <c r="B311" t="e">
        <f>'Base de Dados'!Y364:Y1701</f>
        <v>#VALUE!</v>
      </c>
      <c r="C311" t="e">
        <f>'Base de Dados'!E363:E1700</f>
        <v>#VALUE!</v>
      </c>
      <c r="D311" t="e">
        <f>'Base de Dados'!F364:F1700</f>
        <v>#VALUE!</v>
      </c>
      <c r="E311" t="e">
        <f>'Base de Dados'!G364:G1697</f>
        <v>#VALUE!</v>
      </c>
      <c r="F311" t="e">
        <f>'Base de Dados'!I364:I1698</f>
        <v>#VALUE!</v>
      </c>
    </row>
    <row r="312" spans="2:6" x14ac:dyDescent="0.25">
      <c r="B312" t="e">
        <f>'Base de Dados'!Y365:Y1702</f>
        <v>#VALUE!</v>
      </c>
      <c r="C312" t="e">
        <f>'Base de Dados'!E364:E1701</f>
        <v>#VALUE!</v>
      </c>
      <c r="D312" t="e">
        <f>'Base de Dados'!F365:F1701</f>
        <v>#VALUE!</v>
      </c>
      <c r="E312" t="e">
        <f>'Base de Dados'!G365:G1698</f>
        <v>#VALUE!</v>
      </c>
      <c r="F312" t="e">
        <f>'Base de Dados'!I365:I1699</f>
        <v>#VALUE!</v>
      </c>
    </row>
    <row r="313" spans="2:6" x14ac:dyDescent="0.25">
      <c r="B313" t="e">
        <f>'Base de Dados'!Y366:Y1703</f>
        <v>#VALUE!</v>
      </c>
      <c r="C313" t="e">
        <f>'Base de Dados'!E365:E1702</f>
        <v>#VALUE!</v>
      </c>
      <c r="D313" t="e">
        <f>'Base de Dados'!F366:F1702</f>
        <v>#VALUE!</v>
      </c>
      <c r="E313" t="e">
        <f>'Base de Dados'!G366:G1699</f>
        <v>#VALUE!</v>
      </c>
      <c r="F313" t="e">
        <f>'Base de Dados'!I366:I1700</f>
        <v>#VALUE!</v>
      </c>
    </row>
    <row r="314" spans="2:6" x14ac:dyDescent="0.25">
      <c r="B314" t="e">
        <f>'Base de Dados'!Y367:Y1704</f>
        <v>#VALUE!</v>
      </c>
      <c r="C314" t="e">
        <f>'Base de Dados'!E366:E1703</f>
        <v>#VALUE!</v>
      </c>
      <c r="D314" t="e">
        <f>'Base de Dados'!F367:F1703</f>
        <v>#VALUE!</v>
      </c>
      <c r="E314" t="e">
        <f>'Base de Dados'!G367:G1700</f>
        <v>#VALUE!</v>
      </c>
      <c r="F314" t="e">
        <f>'Base de Dados'!I367:I1701</f>
        <v>#VALUE!</v>
      </c>
    </row>
    <row r="315" spans="2:6" x14ac:dyDescent="0.25">
      <c r="B315" t="e">
        <f>'Base de Dados'!Y368:Y1705</f>
        <v>#VALUE!</v>
      </c>
      <c r="C315" t="e">
        <f>'Base de Dados'!E367:E1704</f>
        <v>#VALUE!</v>
      </c>
      <c r="D315" t="e">
        <f>'Base de Dados'!F368:F1704</f>
        <v>#VALUE!</v>
      </c>
      <c r="E315" t="e">
        <f>'Base de Dados'!G368:G1701</f>
        <v>#VALUE!</v>
      </c>
      <c r="F315" t="e">
        <f>'Base de Dados'!I368:I1702</f>
        <v>#VALUE!</v>
      </c>
    </row>
    <row r="316" spans="2:6" x14ac:dyDescent="0.25">
      <c r="B316" t="e">
        <f>'Base de Dados'!Y369:Y1706</f>
        <v>#VALUE!</v>
      </c>
      <c r="C316" t="e">
        <f>'Base de Dados'!E368:E1705</f>
        <v>#VALUE!</v>
      </c>
      <c r="D316" t="e">
        <f>'Base de Dados'!F369:F1705</f>
        <v>#VALUE!</v>
      </c>
      <c r="E316" t="e">
        <f>'Base de Dados'!G369:G1702</f>
        <v>#VALUE!</v>
      </c>
      <c r="F316" t="e">
        <f>'Base de Dados'!I369:I1703</f>
        <v>#VALUE!</v>
      </c>
    </row>
    <row r="317" spans="2:6" x14ac:dyDescent="0.25">
      <c r="B317" t="e">
        <f>'Base de Dados'!Y370:Y1707</f>
        <v>#VALUE!</v>
      </c>
      <c r="C317" t="e">
        <f>'Base de Dados'!E369:E1706</f>
        <v>#VALUE!</v>
      </c>
      <c r="D317" t="e">
        <f>'Base de Dados'!F370:F1706</f>
        <v>#VALUE!</v>
      </c>
      <c r="E317" t="e">
        <f>'Base de Dados'!G370:G1703</f>
        <v>#VALUE!</v>
      </c>
      <c r="F317" t="e">
        <f>'Base de Dados'!I370:I1704</f>
        <v>#VALUE!</v>
      </c>
    </row>
    <row r="318" spans="2:6" x14ac:dyDescent="0.25">
      <c r="B318" t="e">
        <f>'Base de Dados'!Y371:Y1708</f>
        <v>#VALUE!</v>
      </c>
      <c r="C318" t="e">
        <f>'Base de Dados'!E370:E1707</f>
        <v>#VALUE!</v>
      </c>
      <c r="D318" t="e">
        <f>'Base de Dados'!F371:F1707</f>
        <v>#VALUE!</v>
      </c>
      <c r="E318" t="e">
        <f>'Base de Dados'!G371:G1704</f>
        <v>#VALUE!</v>
      </c>
      <c r="F318" t="e">
        <f>'Base de Dados'!I371:I1705</f>
        <v>#VALUE!</v>
      </c>
    </row>
    <row r="319" spans="2:6" x14ac:dyDescent="0.25">
      <c r="B319" t="e">
        <f>'Base de Dados'!Y372:Y1709</f>
        <v>#VALUE!</v>
      </c>
      <c r="C319" t="e">
        <f>'Base de Dados'!E371:E1708</f>
        <v>#VALUE!</v>
      </c>
      <c r="D319" t="e">
        <f>'Base de Dados'!F372:F1708</f>
        <v>#VALUE!</v>
      </c>
      <c r="E319" t="e">
        <f>'Base de Dados'!G372:G1705</f>
        <v>#VALUE!</v>
      </c>
      <c r="F319" t="e">
        <f>'Base de Dados'!I372:I1706</f>
        <v>#VALUE!</v>
      </c>
    </row>
    <row r="320" spans="2:6" x14ac:dyDescent="0.25">
      <c r="B320" t="e">
        <f>'Base de Dados'!Y373:Y1710</f>
        <v>#VALUE!</v>
      </c>
      <c r="C320" t="e">
        <f>'Base de Dados'!E372:E1709</f>
        <v>#VALUE!</v>
      </c>
      <c r="D320" t="e">
        <f>'Base de Dados'!F373:F1709</f>
        <v>#VALUE!</v>
      </c>
      <c r="E320" t="e">
        <f>'Base de Dados'!G373:G1706</f>
        <v>#VALUE!</v>
      </c>
      <c r="F320" t="e">
        <f>'Base de Dados'!I373:I1707</f>
        <v>#VALUE!</v>
      </c>
    </row>
    <row r="321" spans="2:6" x14ac:dyDescent="0.25">
      <c r="B321" t="e">
        <f>'Base de Dados'!Y375:Y1711</f>
        <v>#VALUE!</v>
      </c>
      <c r="C321" t="e">
        <f>'Base de Dados'!E373:E1710</f>
        <v>#VALUE!</v>
      </c>
      <c r="D321" t="e">
        <f>'Base de Dados'!F375:F1710</f>
        <v>#VALUE!</v>
      </c>
      <c r="E321" t="e">
        <f>'Base de Dados'!G375:G1707</f>
        <v>#VALUE!</v>
      </c>
      <c r="F321" t="e">
        <f>'Base de Dados'!I375:I1708</f>
        <v>#VALUE!</v>
      </c>
    </row>
    <row r="322" spans="2:6" x14ac:dyDescent="0.25">
      <c r="B322" t="e">
        <f>'Base de Dados'!Y376:Y1712</f>
        <v>#VALUE!</v>
      </c>
      <c r="C322" t="e">
        <f>'Base de Dados'!E375:E1711</f>
        <v>#VALUE!</v>
      </c>
      <c r="D322" t="e">
        <f>'Base de Dados'!F376:F1711</f>
        <v>#VALUE!</v>
      </c>
      <c r="E322" t="e">
        <f>'Base de Dados'!G376:G1708</f>
        <v>#VALUE!</v>
      </c>
      <c r="F322" t="e">
        <f>'Base de Dados'!I376:I1709</f>
        <v>#VALUE!</v>
      </c>
    </row>
    <row r="323" spans="2:6" x14ac:dyDescent="0.25">
      <c r="B323" t="e">
        <f>'Base de Dados'!Y377:Y1713</f>
        <v>#VALUE!</v>
      </c>
      <c r="C323" t="e">
        <f>'Base de Dados'!E376:E1712</f>
        <v>#VALUE!</v>
      </c>
      <c r="D323" t="e">
        <f>'Base de Dados'!F377:F1712</f>
        <v>#VALUE!</v>
      </c>
      <c r="E323" t="e">
        <f>'Base de Dados'!G377:G1709</f>
        <v>#VALUE!</v>
      </c>
      <c r="F323" t="e">
        <f>'Base de Dados'!I377:I1710</f>
        <v>#VALUE!</v>
      </c>
    </row>
    <row r="324" spans="2:6" x14ac:dyDescent="0.25">
      <c r="B324" t="e">
        <f>'Base de Dados'!Y378:Y1714</f>
        <v>#VALUE!</v>
      </c>
      <c r="C324" t="e">
        <f>'Base de Dados'!E377:E1713</f>
        <v>#VALUE!</v>
      </c>
      <c r="D324" t="e">
        <f>'Base de Dados'!F378:F1713</f>
        <v>#VALUE!</v>
      </c>
      <c r="E324" t="e">
        <f>'Base de Dados'!G378:G1710</f>
        <v>#VALUE!</v>
      </c>
      <c r="F324" t="e">
        <f>'Base de Dados'!I378:I1711</f>
        <v>#VALUE!</v>
      </c>
    </row>
    <row r="325" spans="2:6" x14ac:dyDescent="0.25">
      <c r="B325" t="e">
        <f>'Base de Dados'!Y380:Y1715</f>
        <v>#VALUE!</v>
      </c>
      <c r="C325" t="e">
        <f>'Base de Dados'!E378:E1714</f>
        <v>#VALUE!</v>
      </c>
      <c r="D325" t="e">
        <f>'Base de Dados'!F380:F1714</f>
        <v>#VALUE!</v>
      </c>
      <c r="E325" t="e">
        <f>'Base de Dados'!G380:G1711</f>
        <v>#VALUE!</v>
      </c>
      <c r="F325" t="e">
        <f>'Base de Dados'!I380:I1712</f>
        <v>#VALUE!</v>
      </c>
    </row>
    <row r="326" spans="2:6" x14ac:dyDescent="0.25">
      <c r="B326" t="e">
        <f>'Base de Dados'!Y381:Y1716</f>
        <v>#VALUE!</v>
      </c>
      <c r="C326" t="e">
        <f>'Base de Dados'!E380:E1715</f>
        <v>#VALUE!</v>
      </c>
      <c r="D326" t="e">
        <f>'Base de Dados'!F381:F1715</f>
        <v>#VALUE!</v>
      </c>
      <c r="E326" t="e">
        <f>'Base de Dados'!G381:G1712</f>
        <v>#VALUE!</v>
      </c>
      <c r="F326" t="e">
        <f>'Base de Dados'!I381:I1713</f>
        <v>#VALUE!</v>
      </c>
    </row>
    <row r="327" spans="2:6" x14ac:dyDescent="0.25">
      <c r="B327" t="e">
        <f>'Base de Dados'!Y382:Y1717</f>
        <v>#VALUE!</v>
      </c>
      <c r="C327" t="e">
        <f>'Base de Dados'!E381:E1716</f>
        <v>#VALUE!</v>
      </c>
      <c r="D327" t="e">
        <f>'Base de Dados'!F382:F1716</f>
        <v>#VALUE!</v>
      </c>
      <c r="E327" t="e">
        <f>'Base de Dados'!G382:G1713</f>
        <v>#VALUE!</v>
      </c>
      <c r="F327" t="e">
        <f>'Base de Dados'!I382:I1714</f>
        <v>#VALUE!</v>
      </c>
    </row>
    <row r="328" spans="2:6" x14ac:dyDescent="0.25">
      <c r="B328" t="e">
        <f>'Base de Dados'!Y383:Y1718</f>
        <v>#VALUE!</v>
      </c>
      <c r="C328" t="e">
        <f>'Base de Dados'!E382:E1717</f>
        <v>#VALUE!</v>
      </c>
      <c r="D328" t="e">
        <f>'Base de Dados'!F383:F1717</f>
        <v>#VALUE!</v>
      </c>
      <c r="E328" t="e">
        <f>'Base de Dados'!G383:G1714</f>
        <v>#VALUE!</v>
      </c>
      <c r="F328" t="e">
        <f>'Base de Dados'!I383:I1715</f>
        <v>#VALUE!</v>
      </c>
    </row>
    <row r="329" spans="2:6" x14ac:dyDescent="0.25">
      <c r="B329" t="e">
        <f>'Base de Dados'!Y384:Y1719</f>
        <v>#VALUE!</v>
      </c>
      <c r="C329" t="e">
        <f>'Base de Dados'!E383:E1718</f>
        <v>#VALUE!</v>
      </c>
      <c r="D329" t="e">
        <f>'Base de Dados'!F384:F1718</f>
        <v>#VALUE!</v>
      </c>
      <c r="E329" t="e">
        <f>'Base de Dados'!G384:G1715</f>
        <v>#VALUE!</v>
      </c>
      <c r="F329" t="e">
        <f>'Base de Dados'!I384:I1716</f>
        <v>#VALUE!</v>
      </c>
    </row>
    <row r="330" spans="2:6" x14ac:dyDescent="0.25">
      <c r="B330" t="e">
        <f>'Base de Dados'!Y385:Y1720</f>
        <v>#VALUE!</v>
      </c>
      <c r="C330" t="e">
        <f>'Base de Dados'!E384:E1719</f>
        <v>#VALUE!</v>
      </c>
      <c r="D330" t="e">
        <f>'Base de Dados'!F385:F1719</f>
        <v>#VALUE!</v>
      </c>
      <c r="E330" t="e">
        <f>'Base de Dados'!G385:G1716</f>
        <v>#VALUE!</v>
      </c>
      <c r="F330" t="e">
        <f>'Base de Dados'!I385:I1717</f>
        <v>#VALUE!</v>
      </c>
    </row>
    <row r="331" spans="2:6" x14ac:dyDescent="0.25">
      <c r="B331" t="e">
        <f>'Base de Dados'!Y386:Y1721</f>
        <v>#VALUE!</v>
      </c>
      <c r="C331" t="e">
        <f>'Base de Dados'!E385:E1720</f>
        <v>#VALUE!</v>
      </c>
      <c r="D331" t="e">
        <f>'Base de Dados'!F386:F1720</f>
        <v>#VALUE!</v>
      </c>
      <c r="E331" t="e">
        <f>'Base de Dados'!G386:G1717</f>
        <v>#VALUE!</v>
      </c>
      <c r="F331" t="e">
        <f>'Base de Dados'!I386:I1718</f>
        <v>#VALUE!</v>
      </c>
    </row>
    <row r="332" spans="2:6" x14ac:dyDescent="0.25">
      <c r="B332" t="e">
        <f>'Base de Dados'!Y387:Y1722</f>
        <v>#VALUE!</v>
      </c>
      <c r="C332" t="e">
        <f>'Base de Dados'!E386:E1721</f>
        <v>#VALUE!</v>
      </c>
      <c r="D332" t="e">
        <f>'Base de Dados'!F387:F1721</f>
        <v>#VALUE!</v>
      </c>
      <c r="E332" t="e">
        <f>'Base de Dados'!G387:G1718</f>
        <v>#VALUE!</v>
      </c>
      <c r="F332" t="e">
        <f>'Base de Dados'!I387:I1719</f>
        <v>#VALUE!</v>
      </c>
    </row>
    <row r="333" spans="2:6" x14ac:dyDescent="0.25">
      <c r="B333" t="e">
        <f>'Base de Dados'!Y388:Y1723</f>
        <v>#VALUE!</v>
      </c>
      <c r="C333" t="e">
        <f>'Base de Dados'!E387:E1722</f>
        <v>#VALUE!</v>
      </c>
      <c r="D333" t="e">
        <f>'Base de Dados'!F388:F1722</f>
        <v>#VALUE!</v>
      </c>
      <c r="E333" t="e">
        <f>'Base de Dados'!G388:G1719</f>
        <v>#VALUE!</v>
      </c>
      <c r="F333" t="e">
        <f>'Base de Dados'!I388:I1720</f>
        <v>#VALUE!</v>
      </c>
    </row>
    <row r="334" spans="2:6" x14ac:dyDescent="0.25">
      <c r="B334" t="e">
        <f>'Base de Dados'!Y389:Y1724</f>
        <v>#VALUE!</v>
      </c>
      <c r="C334" t="e">
        <f>'Base de Dados'!E388:E1723</f>
        <v>#VALUE!</v>
      </c>
      <c r="D334" t="e">
        <f>'Base de Dados'!F389:F1723</f>
        <v>#VALUE!</v>
      </c>
      <c r="E334" t="e">
        <f>'Base de Dados'!G389:G1720</f>
        <v>#VALUE!</v>
      </c>
      <c r="F334" t="e">
        <f>'Base de Dados'!I389:I1721</f>
        <v>#VALUE!</v>
      </c>
    </row>
    <row r="335" spans="2:6" x14ac:dyDescent="0.25">
      <c r="B335" t="e">
        <f>'Base de Dados'!Y390:Y1725</f>
        <v>#VALUE!</v>
      </c>
      <c r="C335" t="e">
        <f>'Base de Dados'!E389:E1724</f>
        <v>#VALUE!</v>
      </c>
      <c r="D335" t="e">
        <f>'Base de Dados'!F390:F1724</f>
        <v>#VALUE!</v>
      </c>
      <c r="E335" t="e">
        <f>'Base de Dados'!G390:G1721</f>
        <v>#VALUE!</v>
      </c>
      <c r="F335" t="e">
        <f>'Base de Dados'!I390:I1722</f>
        <v>#VALUE!</v>
      </c>
    </row>
    <row r="336" spans="2:6" x14ac:dyDescent="0.25">
      <c r="B336" t="e">
        <f>'Base de Dados'!Y391:Y1726</f>
        <v>#VALUE!</v>
      </c>
      <c r="C336" t="e">
        <f>'Base de Dados'!E390:E1725</f>
        <v>#VALUE!</v>
      </c>
      <c r="D336" t="e">
        <f>'Base de Dados'!F391:F1725</f>
        <v>#VALUE!</v>
      </c>
      <c r="E336" t="e">
        <f>'Base de Dados'!G391:G1722</f>
        <v>#VALUE!</v>
      </c>
      <c r="F336" t="e">
        <f>'Base de Dados'!I391:I1723</f>
        <v>#VALUE!</v>
      </c>
    </row>
    <row r="337" spans="2:6" x14ac:dyDescent="0.25">
      <c r="B337" t="e">
        <f>'Base de Dados'!Y392:Y1727</f>
        <v>#VALUE!</v>
      </c>
      <c r="C337" t="e">
        <f>'Base de Dados'!E391:E1726</f>
        <v>#VALUE!</v>
      </c>
      <c r="D337" t="e">
        <f>'Base de Dados'!F392:F1726</f>
        <v>#VALUE!</v>
      </c>
      <c r="E337" t="e">
        <f>'Base de Dados'!G392:G1723</f>
        <v>#VALUE!</v>
      </c>
      <c r="F337" t="e">
        <f>'Base de Dados'!I392:I1724</f>
        <v>#VALUE!</v>
      </c>
    </row>
    <row r="338" spans="2:6" x14ac:dyDescent="0.25">
      <c r="B338" t="e">
        <f>'Base de Dados'!Y393:Y1728</f>
        <v>#VALUE!</v>
      </c>
      <c r="C338" t="e">
        <f>'Base de Dados'!E392:E1727</f>
        <v>#VALUE!</v>
      </c>
      <c r="D338" t="e">
        <f>'Base de Dados'!F393:F1727</f>
        <v>#VALUE!</v>
      </c>
      <c r="E338" t="e">
        <f>'Base de Dados'!G393:G1724</f>
        <v>#VALUE!</v>
      </c>
      <c r="F338" t="e">
        <f>'Base de Dados'!I393:I1725</f>
        <v>#VALUE!</v>
      </c>
    </row>
    <row r="339" spans="2:6" x14ac:dyDescent="0.25">
      <c r="B339" t="e">
        <f>'Base de Dados'!Y394:Y1729</f>
        <v>#VALUE!</v>
      </c>
      <c r="C339" t="e">
        <f>'Base de Dados'!E393:E1728</f>
        <v>#VALUE!</v>
      </c>
      <c r="D339" t="e">
        <f>'Base de Dados'!F394:F1728</f>
        <v>#VALUE!</v>
      </c>
      <c r="E339" t="e">
        <f>'Base de Dados'!G394:G1725</f>
        <v>#VALUE!</v>
      </c>
      <c r="F339" t="e">
        <f>'Base de Dados'!I394:I1726</f>
        <v>#VALUE!</v>
      </c>
    </row>
    <row r="340" spans="2:6" x14ac:dyDescent="0.25">
      <c r="B340" t="e">
        <f>'Base de Dados'!Y395:Y1730</f>
        <v>#VALUE!</v>
      </c>
      <c r="C340" t="e">
        <f>'Base de Dados'!E394:E1729</f>
        <v>#VALUE!</v>
      </c>
      <c r="D340" t="e">
        <f>'Base de Dados'!F395:F1729</f>
        <v>#VALUE!</v>
      </c>
      <c r="E340" t="e">
        <f>'Base de Dados'!G395:G1726</f>
        <v>#VALUE!</v>
      </c>
      <c r="F340" t="e">
        <f>'Base de Dados'!I395:I1727</f>
        <v>#VALUE!</v>
      </c>
    </row>
    <row r="341" spans="2:6" x14ac:dyDescent="0.25">
      <c r="B341" t="e">
        <f>'Base de Dados'!Y396:Y1731</f>
        <v>#VALUE!</v>
      </c>
      <c r="C341" t="e">
        <f>'Base de Dados'!E395:E1730</f>
        <v>#VALUE!</v>
      </c>
      <c r="D341" t="e">
        <f>'Base de Dados'!F396:F1730</f>
        <v>#VALUE!</v>
      </c>
      <c r="E341" t="e">
        <f>'Base de Dados'!G396:G1727</f>
        <v>#VALUE!</v>
      </c>
      <c r="F341" t="e">
        <f>'Base de Dados'!I396:I1728</f>
        <v>#VALUE!</v>
      </c>
    </row>
    <row r="342" spans="2:6" x14ac:dyDescent="0.25">
      <c r="B342" t="e">
        <f>'Base de Dados'!Y397:Y1732</f>
        <v>#VALUE!</v>
      </c>
      <c r="C342" t="e">
        <f>'Base de Dados'!E396:E1731</f>
        <v>#VALUE!</v>
      </c>
      <c r="D342" t="e">
        <f>'Base de Dados'!F397:F1731</f>
        <v>#VALUE!</v>
      </c>
      <c r="E342" t="e">
        <f>'Base de Dados'!G397:G1728</f>
        <v>#VALUE!</v>
      </c>
      <c r="F342" t="e">
        <f>'Base de Dados'!I397:I1729</f>
        <v>#VALUE!</v>
      </c>
    </row>
    <row r="343" spans="2:6" x14ac:dyDescent="0.25">
      <c r="B343" t="e">
        <f>'Base de Dados'!Y398:Y1733</f>
        <v>#VALUE!</v>
      </c>
      <c r="C343" t="e">
        <f>'Base de Dados'!E397:E1732</f>
        <v>#VALUE!</v>
      </c>
      <c r="D343" t="e">
        <f>'Base de Dados'!F398:F1732</f>
        <v>#VALUE!</v>
      </c>
      <c r="E343" t="e">
        <f>'Base de Dados'!G398:G1729</f>
        <v>#VALUE!</v>
      </c>
      <c r="F343" t="e">
        <f>'Base de Dados'!I398:I1730</f>
        <v>#VALUE!</v>
      </c>
    </row>
    <row r="344" spans="2:6" x14ac:dyDescent="0.25">
      <c r="B344" t="e">
        <f>'Base de Dados'!Y399:Y1734</f>
        <v>#VALUE!</v>
      </c>
      <c r="C344" t="e">
        <f>'Base de Dados'!E398:E1733</f>
        <v>#VALUE!</v>
      </c>
      <c r="D344" t="e">
        <f>'Base de Dados'!F399:F1733</f>
        <v>#VALUE!</v>
      </c>
      <c r="E344" t="e">
        <f>'Base de Dados'!G399:G1730</f>
        <v>#VALUE!</v>
      </c>
      <c r="F344" t="e">
        <f>'Base de Dados'!I399:I1731</f>
        <v>#VALUE!</v>
      </c>
    </row>
    <row r="345" spans="2:6" x14ac:dyDescent="0.25">
      <c r="B345" t="e">
        <f>'Base de Dados'!Y400:Y1735</f>
        <v>#VALUE!</v>
      </c>
      <c r="C345" t="e">
        <f>'Base de Dados'!E399:E1734</f>
        <v>#VALUE!</v>
      </c>
      <c r="D345" t="e">
        <f>'Base de Dados'!F400:F1734</f>
        <v>#VALUE!</v>
      </c>
      <c r="E345" t="e">
        <f>'Base de Dados'!G400:G1731</f>
        <v>#VALUE!</v>
      </c>
      <c r="F345" t="e">
        <f>'Base de Dados'!I400:I1732</f>
        <v>#VALUE!</v>
      </c>
    </row>
    <row r="346" spans="2:6" x14ac:dyDescent="0.25">
      <c r="B346" t="e">
        <f>'Base de Dados'!Y401:Y1736</f>
        <v>#VALUE!</v>
      </c>
      <c r="C346" t="e">
        <f>'Base de Dados'!E400:E1735</f>
        <v>#VALUE!</v>
      </c>
      <c r="D346" t="e">
        <f>'Base de Dados'!F401:F1735</f>
        <v>#VALUE!</v>
      </c>
      <c r="E346" t="e">
        <f>'Base de Dados'!G401:G1732</f>
        <v>#VALUE!</v>
      </c>
      <c r="F346" t="e">
        <f>'Base de Dados'!I401:I1733</f>
        <v>#VALUE!</v>
      </c>
    </row>
    <row r="347" spans="2:6" x14ac:dyDescent="0.25">
      <c r="B347" t="e">
        <f>'Base de Dados'!Y402:Y1737</f>
        <v>#VALUE!</v>
      </c>
      <c r="C347" t="e">
        <f>'Base de Dados'!E401:E1736</f>
        <v>#VALUE!</v>
      </c>
      <c r="D347" t="e">
        <f>'Base de Dados'!F402:F1736</f>
        <v>#VALUE!</v>
      </c>
      <c r="E347" t="e">
        <f>'Base de Dados'!G402:G1733</f>
        <v>#VALUE!</v>
      </c>
      <c r="F347" t="e">
        <f>'Base de Dados'!I402:I1734</f>
        <v>#VALUE!</v>
      </c>
    </row>
    <row r="348" spans="2:6" x14ac:dyDescent="0.25">
      <c r="B348" t="e">
        <f>'Base de Dados'!Y403:Y1738</f>
        <v>#VALUE!</v>
      </c>
      <c r="C348" t="e">
        <f>'Base de Dados'!E402:E1737</f>
        <v>#VALUE!</v>
      </c>
      <c r="D348" t="e">
        <f>'Base de Dados'!F403:F1737</f>
        <v>#VALUE!</v>
      </c>
      <c r="E348" t="e">
        <f>'Base de Dados'!G403:G1734</f>
        <v>#VALUE!</v>
      </c>
      <c r="F348" t="e">
        <f>'Base de Dados'!I403:I1735</f>
        <v>#VALUE!</v>
      </c>
    </row>
    <row r="349" spans="2:6" x14ac:dyDescent="0.25">
      <c r="B349" t="e">
        <f>'Base de Dados'!Y404:Y1739</f>
        <v>#VALUE!</v>
      </c>
      <c r="C349" t="e">
        <f>'Base de Dados'!E403:E1738</f>
        <v>#VALUE!</v>
      </c>
      <c r="D349" t="e">
        <f>'Base de Dados'!F404:F1738</f>
        <v>#VALUE!</v>
      </c>
      <c r="E349" t="e">
        <f>'Base de Dados'!G404:G1735</f>
        <v>#VALUE!</v>
      </c>
      <c r="F349" t="e">
        <f>'Base de Dados'!I404:I1736</f>
        <v>#VALUE!</v>
      </c>
    </row>
    <row r="350" spans="2:6" x14ac:dyDescent="0.25">
      <c r="B350" t="e">
        <f>'Base de Dados'!Y405:Y1740</f>
        <v>#VALUE!</v>
      </c>
      <c r="C350" t="e">
        <f>'Base de Dados'!E404:E1739</f>
        <v>#VALUE!</v>
      </c>
      <c r="D350" t="e">
        <f>'Base de Dados'!F405:F1739</f>
        <v>#VALUE!</v>
      </c>
      <c r="E350" t="e">
        <f>'Base de Dados'!G405:G1736</f>
        <v>#VALUE!</v>
      </c>
      <c r="F350" t="e">
        <f>'Base de Dados'!I405:I1737</f>
        <v>#VALUE!</v>
      </c>
    </row>
    <row r="351" spans="2:6" x14ac:dyDescent="0.25">
      <c r="B351" t="e">
        <f>'Base de Dados'!Y406:Y1741</f>
        <v>#VALUE!</v>
      </c>
      <c r="C351" t="e">
        <f>'Base de Dados'!E405:E1740</f>
        <v>#VALUE!</v>
      </c>
      <c r="D351" t="e">
        <f>'Base de Dados'!F406:F1740</f>
        <v>#VALUE!</v>
      </c>
      <c r="E351" t="e">
        <f>'Base de Dados'!G406:G1737</f>
        <v>#VALUE!</v>
      </c>
      <c r="F351" t="e">
        <f>'Base de Dados'!I406:I1738</f>
        <v>#VALUE!</v>
      </c>
    </row>
    <row r="352" spans="2:6" x14ac:dyDescent="0.25">
      <c r="B352" t="e">
        <f>'Base de Dados'!Y407:Y1742</f>
        <v>#VALUE!</v>
      </c>
      <c r="C352" t="e">
        <f>'Base de Dados'!E406:E1741</f>
        <v>#VALUE!</v>
      </c>
      <c r="D352" t="e">
        <f>'Base de Dados'!F407:F1741</f>
        <v>#VALUE!</v>
      </c>
      <c r="E352" t="e">
        <f>'Base de Dados'!G407:G1738</f>
        <v>#VALUE!</v>
      </c>
      <c r="F352" t="e">
        <f>'Base de Dados'!I407:I1739</f>
        <v>#VALUE!</v>
      </c>
    </row>
    <row r="353" spans="2:6" x14ac:dyDescent="0.25">
      <c r="B353" t="e">
        <f>'Base de Dados'!Y408:Y1743</f>
        <v>#VALUE!</v>
      </c>
      <c r="C353" t="e">
        <f>'Base de Dados'!E407:E1742</f>
        <v>#VALUE!</v>
      </c>
      <c r="D353" t="e">
        <f>'Base de Dados'!F408:F1742</f>
        <v>#VALUE!</v>
      </c>
      <c r="E353" t="e">
        <f>'Base de Dados'!G408:G1739</f>
        <v>#VALUE!</v>
      </c>
      <c r="F353" t="e">
        <f>'Base de Dados'!I408:I1740</f>
        <v>#VALUE!</v>
      </c>
    </row>
    <row r="354" spans="2:6" x14ac:dyDescent="0.25">
      <c r="B354" t="e">
        <f>'Base de Dados'!Y409:Y1744</f>
        <v>#VALUE!</v>
      </c>
      <c r="C354" t="e">
        <f>'Base de Dados'!E408:E1743</f>
        <v>#VALUE!</v>
      </c>
      <c r="D354" t="e">
        <f>'Base de Dados'!F409:F1743</f>
        <v>#VALUE!</v>
      </c>
      <c r="E354" t="e">
        <f>'Base de Dados'!G409:G1740</f>
        <v>#VALUE!</v>
      </c>
      <c r="F354" t="e">
        <f>'Base de Dados'!I409:I1741</f>
        <v>#VALUE!</v>
      </c>
    </row>
    <row r="355" spans="2:6" x14ac:dyDescent="0.25">
      <c r="B355" t="e">
        <f>'Base de Dados'!Y410:Y1745</f>
        <v>#VALUE!</v>
      </c>
      <c r="C355" t="e">
        <f>'Base de Dados'!E409:E1744</f>
        <v>#VALUE!</v>
      </c>
      <c r="D355" t="e">
        <f>'Base de Dados'!F410:F1744</f>
        <v>#VALUE!</v>
      </c>
      <c r="E355" t="e">
        <f>'Base de Dados'!G410:G1741</f>
        <v>#VALUE!</v>
      </c>
      <c r="F355" t="e">
        <f>'Base de Dados'!I410:I1742</f>
        <v>#VALUE!</v>
      </c>
    </row>
    <row r="356" spans="2:6" x14ac:dyDescent="0.25">
      <c r="B356" t="e">
        <f>'Base de Dados'!Y411:Y1746</f>
        <v>#VALUE!</v>
      </c>
      <c r="C356" t="e">
        <f>'Base de Dados'!E410:E1745</f>
        <v>#VALUE!</v>
      </c>
      <c r="D356" t="e">
        <f>'Base de Dados'!F411:F1745</f>
        <v>#VALUE!</v>
      </c>
      <c r="E356" t="e">
        <f>'Base de Dados'!G411:G1742</f>
        <v>#VALUE!</v>
      </c>
      <c r="F356" t="e">
        <f>'Base de Dados'!I411:I1743</f>
        <v>#VALUE!</v>
      </c>
    </row>
    <row r="357" spans="2:6" x14ac:dyDescent="0.25">
      <c r="B357" t="e">
        <f>'Base de Dados'!Y414:Y1747</f>
        <v>#VALUE!</v>
      </c>
      <c r="C357" t="e">
        <f>'Base de Dados'!E411:E1746</f>
        <v>#VALUE!</v>
      </c>
      <c r="D357" t="e">
        <f>'Base de Dados'!F414:F1746</f>
        <v>#VALUE!</v>
      </c>
      <c r="E357" t="e">
        <f>'Base de Dados'!G414:G1743</f>
        <v>#VALUE!</v>
      </c>
      <c r="F357" t="e">
        <f>'Base de Dados'!I414:I1744</f>
        <v>#VALUE!</v>
      </c>
    </row>
    <row r="358" spans="2:6" x14ac:dyDescent="0.25">
      <c r="B358" t="e">
        <f>'Base de Dados'!Y415:Y1748</f>
        <v>#VALUE!</v>
      </c>
      <c r="C358" t="e">
        <f>'Base de Dados'!E414:E1747</f>
        <v>#VALUE!</v>
      </c>
      <c r="D358" t="e">
        <f>'Base de Dados'!F415:F1747</f>
        <v>#VALUE!</v>
      </c>
      <c r="E358" t="e">
        <f>'Base de Dados'!G415:G1744</f>
        <v>#VALUE!</v>
      </c>
      <c r="F358" t="e">
        <f>'Base de Dados'!I415:I1745</f>
        <v>#VALUE!</v>
      </c>
    </row>
    <row r="359" spans="2:6" x14ac:dyDescent="0.25">
      <c r="B359" t="e">
        <f>'Base de Dados'!Y416:Y1749</f>
        <v>#VALUE!</v>
      </c>
      <c r="C359" t="e">
        <f>'Base de Dados'!E415:E1748</f>
        <v>#VALUE!</v>
      </c>
      <c r="D359" t="e">
        <f>'Base de Dados'!F416:F1748</f>
        <v>#VALUE!</v>
      </c>
      <c r="E359" t="e">
        <f>'Base de Dados'!G416:G1745</f>
        <v>#VALUE!</v>
      </c>
      <c r="F359" t="e">
        <f>'Base de Dados'!I416:I1746</f>
        <v>#VALUE!</v>
      </c>
    </row>
    <row r="360" spans="2:6" x14ac:dyDescent="0.25">
      <c r="B360" t="e">
        <f>'Base de Dados'!Y417:Y1750</f>
        <v>#VALUE!</v>
      </c>
      <c r="C360" t="e">
        <f>'Base de Dados'!E416:E1749</f>
        <v>#VALUE!</v>
      </c>
      <c r="D360" t="e">
        <f>'Base de Dados'!F417:F1749</f>
        <v>#VALUE!</v>
      </c>
      <c r="E360" t="e">
        <f>'Base de Dados'!G417:G1746</f>
        <v>#VALUE!</v>
      </c>
      <c r="F360" t="e">
        <f>'Base de Dados'!I417:I1747</f>
        <v>#VALUE!</v>
      </c>
    </row>
    <row r="361" spans="2:6" x14ac:dyDescent="0.25">
      <c r="B361" t="e">
        <f>'Base de Dados'!Y418:Y1751</f>
        <v>#VALUE!</v>
      </c>
      <c r="C361" t="e">
        <f>'Base de Dados'!E417:E1750</f>
        <v>#VALUE!</v>
      </c>
      <c r="D361" t="e">
        <f>'Base de Dados'!F418:F1750</f>
        <v>#VALUE!</v>
      </c>
      <c r="E361" t="e">
        <f>'Base de Dados'!G418:G1747</f>
        <v>#VALUE!</v>
      </c>
      <c r="F361" t="e">
        <f>'Base de Dados'!I418:I1748</f>
        <v>#VALUE!</v>
      </c>
    </row>
    <row r="362" spans="2:6" x14ac:dyDescent="0.25">
      <c r="B362" t="e">
        <f>'Base de Dados'!Y419:Y1752</f>
        <v>#VALUE!</v>
      </c>
      <c r="C362" t="e">
        <f>'Base de Dados'!E418:E1751</f>
        <v>#VALUE!</v>
      </c>
      <c r="D362" t="e">
        <f>'Base de Dados'!F419:F1751</f>
        <v>#VALUE!</v>
      </c>
      <c r="E362" t="e">
        <f>'Base de Dados'!G419:G1748</f>
        <v>#VALUE!</v>
      </c>
      <c r="F362" t="e">
        <f>'Base de Dados'!I419:I1749</f>
        <v>#VALUE!</v>
      </c>
    </row>
    <row r="363" spans="2:6" x14ac:dyDescent="0.25">
      <c r="B363" t="e">
        <f>'Base de Dados'!Y423:Y1753</f>
        <v>#VALUE!</v>
      </c>
      <c r="C363" t="e">
        <f>'Base de Dados'!E419:E1752</f>
        <v>#VALUE!</v>
      </c>
      <c r="D363" t="e">
        <f>'Base de Dados'!F423:F1752</f>
        <v>#VALUE!</v>
      </c>
      <c r="E363" t="e">
        <f>'Base de Dados'!G423:G1749</f>
        <v>#VALUE!</v>
      </c>
      <c r="F363" t="e">
        <f>'Base de Dados'!I423:I1750</f>
        <v>#VALUE!</v>
      </c>
    </row>
    <row r="364" spans="2:6" x14ac:dyDescent="0.25">
      <c r="B364" t="e">
        <f>'Base de Dados'!Y424:Y1754</f>
        <v>#VALUE!</v>
      </c>
      <c r="C364" t="e">
        <f>'Base de Dados'!E423:E1753</f>
        <v>#VALUE!</v>
      </c>
      <c r="D364" t="e">
        <f>'Base de Dados'!F424:F1753</f>
        <v>#VALUE!</v>
      </c>
      <c r="E364" t="e">
        <f>'Base de Dados'!G424:G1750</f>
        <v>#VALUE!</v>
      </c>
      <c r="F364" t="e">
        <f>'Base de Dados'!I424:I1751</f>
        <v>#VALUE!</v>
      </c>
    </row>
    <row r="365" spans="2:6" x14ac:dyDescent="0.25">
      <c r="B365" t="e">
        <f>'Base de Dados'!Y425:Y1755</f>
        <v>#VALUE!</v>
      </c>
      <c r="C365" t="e">
        <f>'Base de Dados'!E424:E1754</f>
        <v>#VALUE!</v>
      </c>
      <c r="D365" t="e">
        <f>'Base de Dados'!F425:F1754</f>
        <v>#VALUE!</v>
      </c>
      <c r="E365" t="e">
        <f>'Base de Dados'!G425:G1751</f>
        <v>#VALUE!</v>
      </c>
      <c r="F365" t="e">
        <f>'Base de Dados'!I425:I1752</f>
        <v>#VALUE!</v>
      </c>
    </row>
    <row r="366" spans="2:6" x14ac:dyDescent="0.25">
      <c r="B366" t="e">
        <f>'Base de Dados'!Y426:Y1756</f>
        <v>#VALUE!</v>
      </c>
      <c r="C366" t="e">
        <f>'Base de Dados'!E425:E1755</f>
        <v>#VALUE!</v>
      </c>
      <c r="D366" t="e">
        <f>'Base de Dados'!F426:F1755</f>
        <v>#VALUE!</v>
      </c>
      <c r="E366" t="e">
        <f>'Base de Dados'!G426:G1752</f>
        <v>#VALUE!</v>
      </c>
      <c r="F366" t="e">
        <f>'Base de Dados'!I426:I1753</f>
        <v>#VALUE!</v>
      </c>
    </row>
    <row r="367" spans="2:6" x14ac:dyDescent="0.25">
      <c r="B367" t="e">
        <f>'Base de Dados'!Y427:Y1757</f>
        <v>#VALUE!</v>
      </c>
      <c r="C367" t="e">
        <f>'Base de Dados'!E426:E1756</f>
        <v>#VALUE!</v>
      </c>
      <c r="D367" t="e">
        <f>'Base de Dados'!F427:F1756</f>
        <v>#VALUE!</v>
      </c>
      <c r="E367" t="e">
        <f>'Base de Dados'!G427:G1753</f>
        <v>#VALUE!</v>
      </c>
      <c r="F367" t="e">
        <f>'Base de Dados'!I427:I1754</f>
        <v>#VALUE!</v>
      </c>
    </row>
    <row r="368" spans="2:6" x14ac:dyDescent="0.25">
      <c r="B368" t="e">
        <f>'Base de Dados'!Y428:Y1758</f>
        <v>#VALUE!</v>
      </c>
      <c r="C368" t="e">
        <f>'Base de Dados'!E427:E1757</f>
        <v>#VALUE!</v>
      </c>
      <c r="D368" t="e">
        <f>'Base de Dados'!F428:F1757</f>
        <v>#VALUE!</v>
      </c>
      <c r="E368" t="e">
        <f>'Base de Dados'!G428:G1754</f>
        <v>#VALUE!</v>
      </c>
      <c r="F368" t="e">
        <f>'Base de Dados'!I428:I1755</f>
        <v>#VALUE!</v>
      </c>
    </row>
    <row r="369" spans="2:6" x14ac:dyDescent="0.25">
      <c r="B369" t="e">
        <f>'Base de Dados'!Y431:Y1759</f>
        <v>#VALUE!</v>
      </c>
      <c r="C369" t="e">
        <f>'Base de Dados'!E428:E1758</f>
        <v>#VALUE!</v>
      </c>
      <c r="D369" t="e">
        <f>'Base de Dados'!F431:F1758</f>
        <v>#VALUE!</v>
      </c>
      <c r="E369" t="e">
        <f>'Base de Dados'!G431:G1755</f>
        <v>#VALUE!</v>
      </c>
      <c r="F369" t="e">
        <f>'Base de Dados'!I431:I1756</f>
        <v>#VALUE!</v>
      </c>
    </row>
    <row r="370" spans="2:6" x14ac:dyDescent="0.25">
      <c r="B370" t="e">
        <f>'Base de Dados'!Y432:Y1760</f>
        <v>#VALUE!</v>
      </c>
      <c r="C370" t="e">
        <f>'Base de Dados'!E431:E1759</f>
        <v>#VALUE!</v>
      </c>
      <c r="D370" t="e">
        <f>'Base de Dados'!F432:F1759</f>
        <v>#VALUE!</v>
      </c>
      <c r="E370" t="e">
        <f>'Base de Dados'!G432:G1756</f>
        <v>#VALUE!</v>
      </c>
      <c r="F370" t="e">
        <f>'Base de Dados'!I432:I1757</f>
        <v>#VALUE!</v>
      </c>
    </row>
    <row r="371" spans="2:6" x14ac:dyDescent="0.25">
      <c r="B371" t="e">
        <f>'Base de Dados'!Y433:Y1761</f>
        <v>#VALUE!</v>
      </c>
      <c r="C371" t="e">
        <f>'Base de Dados'!E432:E1760</f>
        <v>#VALUE!</v>
      </c>
      <c r="D371" t="e">
        <f>'Base de Dados'!F433:F1760</f>
        <v>#VALUE!</v>
      </c>
      <c r="E371" t="e">
        <f>'Base de Dados'!G433:G1757</f>
        <v>#VALUE!</v>
      </c>
      <c r="F371" t="e">
        <f>'Base de Dados'!I433:I1758</f>
        <v>#VALUE!</v>
      </c>
    </row>
    <row r="372" spans="2:6" x14ac:dyDescent="0.25">
      <c r="B372" t="e">
        <f>'Base de Dados'!Y434:Y1762</f>
        <v>#VALUE!</v>
      </c>
      <c r="C372" t="e">
        <f>'Base de Dados'!E433:E1761</f>
        <v>#VALUE!</v>
      </c>
      <c r="D372" t="e">
        <f>'Base de Dados'!F434:F1761</f>
        <v>#VALUE!</v>
      </c>
      <c r="E372" t="e">
        <f>'Base de Dados'!G434:G1758</f>
        <v>#VALUE!</v>
      </c>
      <c r="F372" t="e">
        <f>'Base de Dados'!I434:I1759</f>
        <v>#VALUE!</v>
      </c>
    </row>
    <row r="373" spans="2:6" x14ac:dyDescent="0.25">
      <c r="B373" t="e">
        <f>'Base de Dados'!Y435:Y1763</f>
        <v>#VALUE!</v>
      </c>
      <c r="C373" t="e">
        <f>'Base de Dados'!E434:E1762</f>
        <v>#VALUE!</v>
      </c>
      <c r="D373" t="e">
        <f>'Base de Dados'!F435:F1762</f>
        <v>#VALUE!</v>
      </c>
      <c r="E373" t="e">
        <f>'Base de Dados'!G435:G1759</f>
        <v>#VALUE!</v>
      </c>
      <c r="F373" t="e">
        <f>'Base de Dados'!I435:I1760</f>
        <v>#VALUE!</v>
      </c>
    </row>
    <row r="374" spans="2:6" x14ac:dyDescent="0.25">
      <c r="B374" t="e">
        <f>'Base de Dados'!Y437:Y1764</f>
        <v>#VALUE!</v>
      </c>
      <c r="C374" t="e">
        <f>'Base de Dados'!E435:E1763</f>
        <v>#VALUE!</v>
      </c>
      <c r="D374" t="e">
        <f>'Base de Dados'!F437:F1763</f>
        <v>#VALUE!</v>
      </c>
      <c r="E374" t="e">
        <f>'Base de Dados'!G437:G1760</f>
        <v>#VALUE!</v>
      </c>
      <c r="F374" t="e">
        <f>'Base de Dados'!I437:I1761</f>
        <v>#VALUE!</v>
      </c>
    </row>
    <row r="375" spans="2:6" x14ac:dyDescent="0.25">
      <c r="B375" t="e">
        <f>'Base de Dados'!Y438:Y1765</f>
        <v>#VALUE!</v>
      </c>
      <c r="C375" t="e">
        <f>'Base de Dados'!E437:E1764</f>
        <v>#VALUE!</v>
      </c>
      <c r="D375" t="e">
        <f>'Base de Dados'!F438:F1764</f>
        <v>#VALUE!</v>
      </c>
      <c r="E375" t="e">
        <f>'Base de Dados'!G438:G1761</f>
        <v>#VALUE!</v>
      </c>
      <c r="F375" t="e">
        <f>'Base de Dados'!I438:I1762</f>
        <v>#VALUE!</v>
      </c>
    </row>
    <row r="376" spans="2:6" x14ac:dyDescent="0.25">
      <c r="B376" t="e">
        <f>'Base de Dados'!Y439:Y1766</f>
        <v>#VALUE!</v>
      </c>
      <c r="C376" t="e">
        <f>'Base de Dados'!E438:E1765</f>
        <v>#VALUE!</v>
      </c>
      <c r="D376" t="e">
        <f>'Base de Dados'!F439:F1765</f>
        <v>#VALUE!</v>
      </c>
      <c r="E376" t="e">
        <f>'Base de Dados'!G439:G1762</f>
        <v>#VALUE!</v>
      </c>
      <c r="F376" t="e">
        <f>'Base de Dados'!I439:I1763</f>
        <v>#VALUE!</v>
      </c>
    </row>
    <row r="377" spans="2:6" x14ac:dyDescent="0.25">
      <c r="B377" t="e">
        <f>'Base de Dados'!Y440:Y1767</f>
        <v>#VALUE!</v>
      </c>
      <c r="C377" t="e">
        <f>'Base de Dados'!E439:E1766</f>
        <v>#VALUE!</v>
      </c>
      <c r="D377" t="e">
        <f>'Base de Dados'!F440:F1766</f>
        <v>#VALUE!</v>
      </c>
      <c r="E377" t="e">
        <f>'Base de Dados'!G440:G1763</f>
        <v>#VALUE!</v>
      </c>
      <c r="F377" t="e">
        <f>'Base de Dados'!I440:I1764</f>
        <v>#VALUE!</v>
      </c>
    </row>
    <row r="378" spans="2:6" x14ac:dyDescent="0.25">
      <c r="B378" t="e">
        <f>'Base de Dados'!Y441:Y1768</f>
        <v>#VALUE!</v>
      </c>
      <c r="C378" t="e">
        <f>'Base de Dados'!E440:E1767</f>
        <v>#VALUE!</v>
      </c>
      <c r="D378" t="e">
        <f>'Base de Dados'!F441:F1767</f>
        <v>#VALUE!</v>
      </c>
      <c r="E378" t="e">
        <f>'Base de Dados'!G441:G1764</f>
        <v>#VALUE!</v>
      </c>
      <c r="F378" t="e">
        <f>'Base de Dados'!I441:I1765</f>
        <v>#VALUE!</v>
      </c>
    </row>
    <row r="379" spans="2:6" x14ac:dyDescent="0.25">
      <c r="B379" t="e">
        <f>'Base de Dados'!Y442:Y1769</f>
        <v>#VALUE!</v>
      </c>
      <c r="C379" t="e">
        <f>'Base de Dados'!E441:E1768</f>
        <v>#VALUE!</v>
      </c>
      <c r="D379" t="e">
        <f>'Base de Dados'!F442:F1768</f>
        <v>#VALUE!</v>
      </c>
      <c r="E379" t="e">
        <f>'Base de Dados'!G442:G1765</f>
        <v>#VALUE!</v>
      </c>
      <c r="F379" t="e">
        <f>'Base de Dados'!I442:I1766</f>
        <v>#VALUE!</v>
      </c>
    </row>
    <row r="380" spans="2:6" x14ac:dyDescent="0.25">
      <c r="B380" t="e">
        <f>'Base de Dados'!Y443:Y1770</f>
        <v>#VALUE!</v>
      </c>
      <c r="C380" t="e">
        <f>'Base de Dados'!E442:E1769</f>
        <v>#VALUE!</v>
      </c>
      <c r="D380" t="e">
        <f>'Base de Dados'!F443:F1769</f>
        <v>#VALUE!</v>
      </c>
      <c r="E380" t="e">
        <f>'Base de Dados'!G443:G1766</f>
        <v>#VALUE!</v>
      </c>
      <c r="F380" t="e">
        <f>'Base de Dados'!I443:I1767</f>
        <v>#VALUE!</v>
      </c>
    </row>
    <row r="381" spans="2:6" x14ac:dyDescent="0.25">
      <c r="B381" t="e">
        <f>'Base de Dados'!Y444:Y1771</f>
        <v>#VALUE!</v>
      </c>
      <c r="C381" t="e">
        <f>'Base de Dados'!E443:E1770</f>
        <v>#VALUE!</v>
      </c>
      <c r="D381" t="e">
        <f>'Base de Dados'!F444:F1770</f>
        <v>#VALUE!</v>
      </c>
      <c r="E381" t="e">
        <f>'Base de Dados'!G444:G1767</f>
        <v>#VALUE!</v>
      </c>
      <c r="F381" t="e">
        <f>'Base de Dados'!I444:I1768</f>
        <v>#VALUE!</v>
      </c>
    </row>
    <row r="382" spans="2:6" x14ac:dyDescent="0.25">
      <c r="B382" t="e">
        <f>'Base de Dados'!Y445:Y1772</f>
        <v>#VALUE!</v>
      </c>
      <c r="C382" t="e">
        <f>'Base de Dados'!E444:E1771</f>
        <v>#VALUE!</v>
      </c>
      <c r="D382" t="e">
        <f>'Base de Dados'!F445:F1771</f>
        <v>#VALUE!</v>
      </c>
      <c r="E382" t="e">
        <f>'Base de Dados'!G445:G1768</f>
        <v>#VALUE!</v>
      </c>
      <c r="F382" t="e">
        <f>'Base de Dados'!I445:I1769</f>
        <v>#VALUE!</v>
      </c>
    </row>
    <row r="383" spans="2:6" x14ac:dyDescent="0.25">
      <c r="B383" t="e">
        <f>'Base de Dados'!Y446:Y1773</f>
        <v>#VALUE!</v>
      </c>
      <c r="C383" t="e">
        <f>'Base de Dados'!E445:E1772</f>
        <v>#VALUE!</v>
      </c>
      <c r="D383" t="e">
        <f>'Base de Dados'!F446:F1772</f>
        <v>#VALUE!</v>
      </c>
      <c r="E383" t="e">
        <f>'Base de Dados'!G446:G1769</f>
        <v>#VALUE!</v>
      </c>
      <c r="F383" t="e">
        <f>'Base de Dados'!I446:I1770</f>
        <v>#VALUE!</v>
      </c>
    </row>
    <row r="384" spans="2:6" x14ac:dyDescent="0.25">
      <c r="B384" t="e">
        <f>'Base de Dados'!Y447:Y1774</f>
        <v>#VALUE!</v>
      </c>
      <c r="C384" t="e">
        <f>'Base de Dados'!E446:E1773</f>
        <v>#VALUE!</v>
      </c>
      <c r="D384" t="e">
        <f>'Base de Dados'!F447:F1773</f>
        <v>#VALUE!</v>
      </c>
      <c r="E384" t="e">
        <f>'Base de Dados'!G447:G1770</f>
        <v>#VALUE!</v>
      </c>
      <c r="F384" t="e">
        <f>'Base de Dados'!I447:I1771</f>
        <v>#VALUE!</v>
      </c>
    </row>
    <row r="385" spans="2:6" x14ac:dyDescent="0.25">
      <c r="B385" t="e">
        <f>'Base de Dados'!Y448:Y1775</f>
        <v>#VALUE!</v>
      </c>
      <c r="C385" t="e">
        <f>'Base de Dados'!E447:E1774</f>
        <v>#VALUE!</v>
      </c>
      <c r="D385" t="e">
        <f>'Base de Dados'!F448:F1774</f>
        <v>#VALUE!</v>
      </c>
      <c r="E385" t="e">
        <f>'Base de Dados'!G448:G1771</f>
        <v>#VALUE!</v>
      </c>
      <c r="F385" t="e">
        <f>'Base de Dados'!I448:I1772</f>
        <v>#VALUE!</v>
      </c>
    </row>
    <row r="386" spans="2:6" x14ac:dyDescent="0.25">
      <c r="B386" t="e">
        <f>'Base de Dados'!Y449:Y1776</f>
        <v>#VALUE!</v>
      </c>
      <c r="C386" t="e">
        <f>'Base de Dados'!E448:E1775</f>
        <v>#VALUE!</v>
      </c>
      <c r="D386" t="e">
        <f>'Base de Dados'!F449:F1775</f>
        <v>#VALUE!</v>
      </c>
      <c r="E386" t="e">
        <f>'Base de Dados'!G449:G1772</f>
        <v>#VALUE!</v>
      </c>
      <c r="F386" t="e">
        <f>'Base de Dados'!I449:I1773</f>
        <v>#VALUE!</v>
      </c>
    </row>
    <row r="387" spans="2:6" x14ac:dyDescent="0.25">
      <c r="B387" t="e">
        <f>'Base de Dados'!Y450:Y1777</f>
        <v>#VALUE!</v>
      </c>
      <c r="C387" t="e">
        <f>'Base de Dados'!E449:E1776</f>
        <v>#VALUE!</v>
      </c>
      <c r="D387" t="e">
        <f>'Base de Dados'!F450:F1776</f>
        <v>#VALUE!</v>
      </c>
      <c r="E387" t="e">
        <f>'Base de Dados'!G450:G1773</f>
        <v>#VALUE!</v>
      </c>
      <c r="F387" t="e">
        <f>'Base de Dados'!I450:I1774</f>
        <v>#VALUE!</v>
      </c>
    </row>
    <row r="388" spans="2:6" x14ac:dyDescent="0.25">
      <c r="B388" t="e">
        <f>'Base de Dados'!Y451:Y1778</f>
        <v>#VALUE!</v>
      </c>
      <c r="C388" t="e">
        <f>'Base de Dados'!E450:E1777</f>
        <v>#VALUE!</v>
      </c>
      <c r="D388" t="e">
        <f>'Base de Dados'!F451:F1777</f>
        <v>#VALUE!</v>
      </c>
      <c r="E388" t="e">
        <f>'Base de Dados'!G451:G1774</f>
        <v>#VALUE!</v>
      </c>
      <c r="F388" t="e">
        <f>'Base de Dados'!I451:I1775</f>
        <v>#VALUE!</v>
      </c>
    </row>
    <row r="389" spans="2:6" x14ac:dyDescent="0.25">
      <c r="B389" t="e">
        <f>'Base de Dados'!Y452:Y1779</f>
        <v>#VALUE!</v>
      </c>
      <c r="C389" t="e">
        <f>'Base de Dados'!E451:E1778</f>
        <v>#VALUE!</v>
      </c>
      <c r="D389" t="e">
        <f>'Base de Dados'!F452:F1778</f>
        <v>#VALUE!</v>
      </c>
      <c r="E389" t="e">
        <f>'Base de Dados'!G452:G1775</f>
        <v>#VALUE!</v>
      </c>
      <c r="F389" t="e">
        <f>'Base de Dados'!I452:I1776</f>
        <v>#VALUE!</v>
      </c>
    </row>
    <row r="390" spans="2:6" x14ac:dyDescent="0.25">
      <c r="B390" t="e">
        <f>'Base de Dados'!Y453:Y1780</f>
        <v>#VALUE!</v>
      </c>
      <c r="C390" t="e">
        <f>'Base de Dados'!E452:E1779</f>
        <v>#VALUE!</v>
      </c>
      <c r="D390" t="e">
        <f>'Base de Dados'!F453:F1779</f>
        <v>#VALUE!</v>
      </c>
      <c r="E390" t="e">
        <f>'Base de Dados'!G453:G1776</f>
        <v>#VALUE!</v>
      </c>
      <c r="F390" t="e">
        <f>'Base de Dados'!I453:I1777</f>
        <v>#VALUE!</v>
      </c>
    </row>
    <row r="391" spans="2:6" x14ac:dyDescent="0.25">
      <c r="B391" t="e">
        <f>'Base de Dados'!Y454:Y1781</f>
        <v>#VALUE!</v>
      </c>
      <c r="C391" t="e">
        <f>'Base de Dados'!E453:E1780</f>
        <v>#VALUE!</v>
      </c>
      <c r="D391" t="e">
        <f>'Base de Dados'!F454:F1780</f>
        <v>#VALUE!</v>
      </c>
      <c r="E391" t="e">
        <f>'Base de Dados'!G454:G1777</f>
        <v>#VALUE!</v>
      </c>
      <c r="F391" t="e">
        <f>'Base de Dados'!I454:I1778</f>
        <v>#VALUE!</v>
      </c>
    </row>
    <row r="392" spans="2:6" x14ac:dyDescent="0.25">
      <c r="B392" t="e">
        <f>'Base de Dados'!Y455:Y1782</f>
        <v>#VALUE!</v>
      </c>
      <c r="C392" t="e">
        <f>'Base de Dados'!E454:E1781</f>
        <v>#VALUE!</v>
      </c>
      <c r="D392" t="e">
        <f>'Base de Dados'!F455:F1781</f>
        <v>#VALUE!</v>
      </c>
      <c r="E392" t="e">
        <f>'Base de Dados'!G455:G1778</f>
        <v>#VALUE!</v>
      </c>
      <c r="F392" t="e">
        <f>'Base de Dados'!I455:I1779</f>
        <v>#VALUE!</v>
      </c>
    </row>
    <row r="393" spans="2:6" x14ac:dyDescent="0.25">
      <c r="B393" t="e">
        <f>'Base de Dados'!Y456:Y1783</f>
        <v>#VALUE!</v>
      </c>
      <c r="C393" t="e">
        <f>'Base de Dados'!E455:E1782</f>
        <v>#VALUE!</v>
      </c>
      <c r="D393" t="e">
        <f>'Base de Dados'!F456:F1782</f>
        <v>#VALUE!</v>
      </c>
      <c r="E393" t="e">
        <f>'Base de Dados'!G456:G1779</f>
        <v>#VALUE!</v>
      </c>
      <c r="F393" t="e">
        <f>'Base de Dados'!I456:I1780</f>
        <v>#VALUE!</v>
      </c>
    </row>
    <row r="394" spans="2:6" x14ac:dyDescent="0.25">
      <c r="B394" t="e">
        <f>'Base de Dados'!Y457:Y1784</f>
        <v>#VALUE!</v>
      </c>
      <c r="C394" t="e">
        <f>'Base de Dados'!E456:E1783</f>
        <v>#VALUE!</v>
      </c>
      <c r="D394" t="e">
        <f>'Base de Dados'!F457:F1783</f>
        <v>#VALUE!</v>
      </c>
      <c r="E394" t="e">
        <f>'Base de Dados'!G457:G1780</f>
        <v>#VALUE!</v>
      </c>
      <c r="F394" t="e">
        <f>'Base de Dados'!I457:I1781</f>
        <v>#VALUE!</v>
      </c>
    </row>
    <row r="395" spans="2:6" x14ac:dyDescent="0.25">
      <c r="B395" t="e">
        <f>'Base de Dados'!Y459:Y1785</f>
        <v>#VALUE!</v>
      </c>
      <c r="C395" t="e">
        <f>'Base de Dados'!E457:E1784</f>
        <v>#VALUE!</v>
      </c>
      <c r="D395" t="e">
        <f>'Base de Dados'!F459:F1784</f>
        <v>#VALUE!</v>
      </c>
      <c r="E395" t="e">
        <f>'Base de Dados'!G459:G1781</f>
        <v>#VALUE!</v>
      </c>
      <c r="F395" t="e">
        <f>'Base de Dados'!I459:I1782</f>
        <v>#VALUE!</v>
      </c>
    </row>
    <row r="396" spans="2:6" x14ac:dyDescent="0.25">
      <c r="B396" t="e">
        <f>'Base de Dados'!Y460:Y1786</f>
        <v>#VALUE!</v>
      </c>
      <c r="C396" t="e">
        <f>'Base de Dados'!E459:E1785</f>
        <v>#VALUE!</v>
      </c>
      <c r="D396" t="e">
        <f>'Base de Dados'!F460:F1785</f>
        <v>#VALUE!</v>
      </c>
      <c r="E396" t="e">
        <f>'Base de Dados'!G460:G1782</f>
        <v>#VALUE!</v>
      </c>
      <c r="F396" t="e">
        <f>'Base de Dados'!I460:I1783</f>
        <v>#VALUE!</v>
      </c>
    </row>
    <row r="397" spans="2:6" x14ac:dyDescent="0.25">
      <c r="B397" t="e">
        <f>'Base de Dados'!Y461:Y1787</f>
        <v>#VALUE!</v>
      </c>
      <c r="C397" t="e">
        <f>'Base de Dados'!E460:E1786</f>
        <v>#VALUE!</v>
      </c>
      <c r="D397" t="e">
        <f>'Base de Dados'!F461:F1786</f>
        <v>#VALUE!</v>
      </c>
      <c r="E397" t="e">
        <f>'Base de Dados'!G461:G1783</f>
        <v>#VALUE!</v>
      </c>
      <c r="F397" t="e">
        <f>'Base de Dados'!I461:I1784</f>
        <v>#VALUE!</v>
      </c>
    </row>
    <row r="398" spans="2:6" x14ac:dyDescent="0.25">
      <c r="B398" t="e">
        <f>'Base de Dados'!Y462:Y1788</f>
        <v>#VALUE!</v>
      </c>
      <c r="C398" t="e">
        <f>'Base de Dados'!E461:E1787</f>
        <v>#VALUE!</v>
      </c>
      <c r="D398" t="e">
        <f>'Base de Dados'!F462:F1787</f>
        <v>#VALUE!</v>
      </c>
      <c r="E398" t="e">
        <f>'Base de Dados'!G462:G1784</f>
        <v>#VALUE!</v>
      </c>
      <c r="F398" t="e">
        <f>'Base de Dados'!I462:I1785</f>
        <v>#VALUE!</v>
      </c>
    </row>
    <row r="399" spans="2:6" x14ac:dyDescent="0.25">
      <c r="B399" t="e">
        <f>'Base de Dados'!Y463:Y1789</f>
        <v>#VALUE!</v>
      </c>
      <c r="C399" t="e">
        <f>'Base de Dados'!E462:E1788</f>
        <v>#VALUE!</v>
      </c>
      <c r="D399" t="e">
        <f>'Base de Dados'!F463:F1788</f>
        <v>#VALUE!</v>
      </c>
      <c r="E399" t="e">
        <f>'Base de Dados'!G463:G1785</f>
        <v>#VALUE!</v>
      </c>
      <c r="F399" t="e">
        <f>'Base de Dados'!I463:I1786</f>
        <v>#VALUE!</v>
      </c>
    </row>
    <row r="400" spans="2:6" x14ac:dyDescent="0.25">
      <c r="B400" t="e">
        <f>'Base de Dados'!Y464:Y1790</f>
        <v>#VALUE!</v>
      </c>
      <c r="C400" t="e">
        <f>'Base de Dados'!E463:E1789</f>
        <v>#VALUE!</v>
      </c>
      <c r="D400" t="e">
        <f>'Base de Dados'!F464:F1789</f>
        <v>#VALUE!</v>
      </c>
      <c r="E400" t="e">
        <f>'Base de Dados'!G464:G1786</f>
        <v>#VALUE!</v>
      </c>
      <c r="F400" t="e">
        <f>'Base de Dados'!I464:I1787</f>
        <v>#VALUE!</v>
      </c>
    </row>
    <row r="401" spans="2:6" x14ac:dyDescent="0.25">
      <c r="B401" t="e">
        <f>'Base de Dados'!Y465:Y1791</f>
        <v>#VALUE!</v>
      </c>
      <c r="C401" t="e">
        <f>'Base de Dados'!E464:E1790</f>
        <v>#VALUE!</v>
      </c>
      <c r="D401" t="e">
        <f>'Base de Dados'!F465:F1790</f>
        <v>#VALUE!</v>
      </c>
      <c r="E401" t="e">
        <f>'Base de Dados'!G465:G1787</f>
        <v>#VALUE!</v>
      </c>
      <c r="F401" t="e">
        <f>'Base de Dados'!I465:I1788</f>
        <v>#VALUE!</v>
      </c>
    </row>
    <row r="402" spans="2:6" x14ac:dyDescent="0.25">
      <c r="B402" t="e">
        <f>'Base de Dados'!Y466:Y1792</f>
        <v>#VALUE!</v>
      </c>
      <c r="C402" t="e">
        <f>'Base de Dados'!E465:E1791</f>
        <v>#VALUE!</v>
      </c>
      <c r="D402" t="e">
        <f>'Base de Dados'!F466:F1791</f>
        <v>#VALUE!</v>
      </c>
      <c r="E402" t="e">
        <f>'Base de Dados'!G466:G1788</f>
        <v>#VALUE!</v>
      </c>
      <c r="F402" t="e">
        <f>'Base de Dados'!I466:I1789</f>
        <v>#VALUE!</v>
      </c>
    </row>
    <row r="403" spans="2:6" x14ac:dyDescent="0.25">
      <c r="B403" t="e">
        <f>'Base de Dados'!Y467:Y1793</f>
        <v>#VALUE!</v>
      </c>
      <c r="C403" t="e">
        <f>'Base de Dados'!E466:E1792</f>
        <v>#VALUE!</v>
      </c>
      <c r="D403" t="e">
        <f>'Base de Dados'!F467:F1792</f>
        <v>#VALUE!</v>
      </c>
      <c r="E403" t="e">
        <f>'Base de Dados'!G467:G1789</f>
        <v>#VALUE!</v>
      </c>
      <c r="F403" t="e">
        <f>'Base de Dados'!I467:I1790</f>
        <v>#VALUE!</v>
      </c>
    </row>
    <row r="404" spans="2:6" x14ac:dyDescent="0.25">
      <c r="B404" t="e">
        <f>'Base de Dados'!Y468:Y1794</f>
        <v>#VALUE!</v>
      </c>
      <c r="C404" t="e">
        <f>'Base de Dados'!E467:E1793</f>
        <v>#VALUE!</v>
      </c>
      <c r="D404" t="e">
        <f>'Base de Dados'!F468:F1793</f>
        <v>#VALUE!</v>
      </c>
      <c r="E404" t="e">
        <f>'Base de Dados'!G468:G1790</f>
        <v>#VALUE!</v>
      </c>
      <c r="F404" t="e">
        <f>'Base de Dados'!I468:I1791</f>
        <v>#VALUE!</v>
      </c>
    </row>
    <row r="405" spans="2:6" x14ac:dyDescent="0.25">
      <c r="B405" t="e">
        <f>'Base de Dados'!Y469:Y1795</f>
        <v>#VALUE!</v>
      </c>
      <c r="C405" t="e">
        <f>'Base de Dados'!E468:E1794</f>
        <v>#VALUE!</v>
      </c>
      <c r="D405" t="e">
        <f>'Base de Dados'!F469:F1794</f>
        <v>#VALUE!</v>
      </c>
      <c r="E405" t="e">
        <f>'Base de Dados'!G469:G1791</f>
        <v>#VALUE!</v>
      </c>
      <c r="F405" t="e">
        <f>'Base de Dados'!I469:I1792</f>
        <v>#VALUE!</v>
      </c>
    </row>
    <row r="406" spans="2:6" x14ac:dyDescent="0.25">
      <c r="B406" t="e">
        <f>'Base de Dados'!Y470:Y1796</f>
        <v>#VALUE!</v>
      </c>
      <c r="C406" t="e">
        <f>'Base de Dados'!E469:E1795</f>
        <v>#VALUE!</v>
      </c>
      <c r="D406" t="e">
        <f>'Base de Dados'!F470:F1795</f>
        <v>#VALUE!</v>
      </c>
      <c r="E406" t="e">
        <f>'Base de Dados'!G470:G1792</f>
        <v>#VALUE!</v>
      </c>
      <c r="F406" t="e">
        <f>'Base de Dados'!I470:I1793</f>
        <v>#VALUE!</v>
      </c>
    </row>
    <row r="407" spans="2:6" x14ac:dyDescent="0.25">
      <c r="B407" t="e">
        <f>'Base de Dados'!Y471:Y1797</f>
        <v>#VALUE!</v>
      </c>
      <c r="C407" t="e">
        <f>'Base de Dados'!E470:E1796</f>
        <v>#VALUE!</v>
      </c>
      <c r="D407" t="e">
        <f>'Base de Dados'!F471:F1796</f>
        <v>#VALUE!</v>
      </c>
      <c r="E407" t="e">
        <f>'Base de Dados'!G471:G1793</f>
        <v>#VALUE!</v>
      </c>
      <c r="F407" t="e">
        <f>'Base de Dados'!I471:I1794</f>
        <v>#VALUE!</v>
      </c>
    </row>
    <row r="408" spans="2:6" x14ac:dyDescent="0.25">
      <c r="B408" t="e">
        <f>'Base de Dados'!Y472:Y1798</f>
        <v>#VALUE!</v>
      </c>
      <c r="C408" t="e">
        <f>'Base de Dados'!E471:E1797</f>
        <v>#VALUE!</v>
      </c>
      <c r="D408" t="e">
        <f>'Base de Dados'!F472:F1797</f>
        <v>#VALUE!</v>
      </c>
      <c r="E408" t="e">
        <f>'Base de Dados'!G472:G1794</f>
        <v>#VALUE!</v>
      </c>
      <c r="F408" t="e">
        <f>'Base de Dados'!I472:I1795</f>
        <v>#VALUE!</v>
      </c>
    </row>
    <row r="409" spans="2:6" x14ac:dyDescent="0.25">
      <c r="B409" t="e">
        <f>'Base de Dados'!Y473:Y1799</f>
        <v>#VALUE!</v>
      </c>
      <c r="C409" t="e">
        <f>'Base de Dados'!E472:E1798</f>
        <v>#VALUE!</v>
      </c>
      <c r="D409" t="e">
        <f>'Base de Dados'!F473:F1798</f>
        <v>#VALUE!</v>
      </c>
      <c r="E409" t="e">
        <f>'Base de Dados'!G473:G1795</f>
        <v>#VALUE!</v>
      </c>
      <c r="F409" t="e">
        <f>'Base de Dados'!I473:I1796</f>
        <v>#VALUE!</v>
      </c>
    </row>
    <row r="410" spans="2:6" x14ac:dyDescent="0.25">
      <c r="B410" t="e">
        <f>'Base de Dados'!Y474:Y1800</f>
        <v>#VALUE!</v>
      </c>
      <c r="C410" t="e">
        <f>'Base de Dados'!E473:E1799</f>
        <v>#VALUE!</v>
      </c>
      <c r="D410" t="e">
        <f>'Base de Dados'!F474:F1799</f>
        <v>#VALUE!</v>
      </c>
      <c r="E410" t="e">
        <f>'Base de Dados'!G474:G1796</f>
        <v>#VALUE!</v>
      </c>
      <c r="F410" t="e">
        <f>'Base de Dados'!I474:I1797</f>
        <v>#VALUE!</v>
      </c>
    </row>
    <row r="411" spans="2:6" x14ac:dyDescent="0.25">
      <c r="B411" t="e">
        <f>'Base de Dados'!Y475:Y1801</f>
        <v>#VALUE!</v>
      </c>
      <c r="C411" t="e">
        <f>'Base de Dados'!E474:E1800</f>
        <v>#VALUE!</v>
      </c>
      <c r="D411" t="e">
        <f>'Base de Dados'!F475:F1800</f>
        <v>#VALUE!</v>
      </c>
      <c r="E411" t="e">
        <f>'Base de Dados'!G475:G1797</f>
        <v>#VALUE!</v>
      </c>
      <c r="F411" t="e">
        <f>'Base de Dados'!I475:I1798</f>
        <v>#VALUE!</v>
      </c>
    </row>
    <row r="412" spans="2:6" x14ac:dyDescent="0.25">
      <c r="B412" t="e">
        <f>'Base de Dados'!Y476:Y1802</f>
        <v>#VALUE!</v>
      </c>
      <c r="C412" t="e">
        <f>'Base de Dados'!E475:E1801</f>
        <v>#VALUE!</v>
      </c>
      <c r="D412" t="e">
        <f>'Base de Dados'!F476:F1801</f>
        <v>#VALUE!</v>
      </c>
      <c r="E412" t="e">
        <f>'Base de Dados'!G476:G1798</f>
        <v>#VALUE!</v>
      </c>
      <c r="F412" t="e">
        <f>'Base de Dados'!I476:I1799</f>
        <v>#VALUE!</v>
      </c>
    </row>
    <row r="413" spans="2:6" x14ac:dyDescent="0.25">
      <c r="B413" t="e">
        <f>'Base de Dados'!Y477:Y1803</f>
        <v>#VALUE!</v>
      </c>
      <c r="C413" t="e">
        <f>'Base de Dados'!E476:E1802</f>
        <v>#VALUE!</v>
      </c>
      <c r="D413" t="e">
        <f>'Base de Dados'!F477:F1802</f>
        <v>#VALUE!</v>
      </c>
      <c r="E413" t="e">
        <f>'Base de Dados'!G477:G1799</f>
        <v>#VALUE!</v>
      </c>
      <c r="F413" t="e">
        <f>'Base de Dados'!I477:I1800</f>
        <v>#VALUE!</v>
      </c>
    </row>
    <row r="414" spans="2:6" x14ac:dyDescent="0.25">
      <c r="B414" t="e">
        <f>'Base de Dados'!Y479:Y1804</f>
        <v>#VALUE!</v>
      </c>
      <c r="C414" t="e">
        <f>'Base de Dados'!E477:E1803</f>
        <v>#VALUE!</v>
      </c>
      <c r="D414" t="e">
        <f>'Base de Dados'!F479:F1803</f>
        <v>#VALUE!</v>
      </c>
      <c r="E414" t="e">
        <f>'Base de Dados'!G479:G1800</f>
        <v>#VALUE!</v>
      </c>
      <c r="F414" t="e">
        <f>'Base de Dados'!I479:I1801</f>
        <v>#VALUE!</v>
      </c>
    </row>
    <row r="415" spans="2:6" x14ac:dyDescent="0.25">
      <c r="B415" t="e">
        <f>'Base de Dados'!Y480:Y1805</f>
        <v>#VALUE!</v>
      </c>
      <c r="C415" t="e">
        <f>'Base de Dados'!E479:E1804</f>
        <v>#VALUE!</v>
      </c>
      <c r="D415" t="e">
        <f>'Base de Dados'!F480:F1804</f>
        <v>#VALUE!</v>
      </c>
      <c r="E415" t="e">
        <f>'Base de Dados'!G480:G1801</f>
        <v>#VALUE!</v>
      </c>
      <c r="F415" t="e">
        <f>'Base de Dados'!I480:I1802</f>
        <v>#VALUE!</v>
      </c>
    </row>
    <row r="416" spans="2:6" x14ac:dyDescent="0.25">
      <c r="B416" t="e">
        <f>'Base de Dados'!Y481:Y1806</f>
        <v>#VALUE!</v>
      </c>
      <c r="C416" t="e">
        <f>'Base de Dados'!E480:E1805</f>
        <v>#VALUE!</v>
      </c>
      <c r="D416" t="e">
        <f>'Base de Dados'!F481:F1805</f>
        <v>#VALUE!</v>
      </c>
      <c r="E416" t="e">
        <f>'Base de Dados'!G481:G1802</f>
        <v>#VALUE!</v>
      </c>
      <c r="F416" t="e">
        <f>'Base de Dados'!I481:I1803</f>
        <v>#VALUE!</v>
      </c>
    </row>
    <row r="417" spans="2:6" x14ac:dyDescent="0.25">
      <c r="B417" t="e">
        <f>'Base de Dados'!Y482:Y1807</f>
        <v>#VALUE!</v>
      </c>
      <c r="C417" t="e">
        <f>'Base de Dados'!E481:E1806</f>
        <v>#VALUE!</v>
      </c>
      <c r="D417" t="e">
        <f>'Base de Dados'!F482:F1806</f>
        <v>#VALUE!</v>
      </c>
      <c r="E417" t="e">
        <f>'Base de Dados'!G482:G1803</f>
        <v>#VALUE!</v>
      </c>
      <c r="F417" t="e">
        <f>'Base de Dados'!I482:I1804</f>
        <v>#VALUE!</v>
      </c>
    </row>
    <row r="418" spans="2:6" x14ac:dyDescent="0.25">
      <c r="B418" t="e">
        <f>'Base de Dados'!Y483:Y1808</f>
        <v>#VALUE!</v>
      </c>
      <c r="C418" t="e">
        <f>'Base de Dados'!E482:E1807</f>
        <v>#VALUE!</v>
      </c>
      <c r="D418" t="e">
        <f>'Base de Dados'!F483:F1807</f>
        <v>#VALUE!</v>
      </c>
      <c r="E418" t="e">
        <f>'Base de Dados'!G483:G1804</f>
        <v>#VALUE!</v>
      </c>
      <c r="F418" t="e">
        <f>'Base de Dados'!I483:I1805</f>
        <v>#VALUE!</v>
      </c>
    </row>
    <row r="419" spans="2:6" x14ac:dyDescent="0.25">
      <c r="B419" t="e">
        <f>'Base de Dados'!Y484:Y1809</f>
        <v>#VALUE!</v>
      </c>
      <c r="C419" t="e">
        <f>'Base de Dados'!E483:E1808</f>
        <v>#VALUE!</v>
      </c>
      <c r="D419" t="e">
        <f>'Base de Dados'!F484:F1808</f>
        <v>#VALUE!</v>
      </c>
      <c r="E419" t="e">
        <f>'Base de Dados'!G484:G1805</f>
        <v>#VALUE!</v>
      </c>
      <c r="F419" t="e">
        <f>'Base de Dados'!I484:I1806</f>
        <v>#VALUE!</v>
      </c>
    </row>
    <row r="420" spans="2:6" x14ac:dyDescent="0.25">
      <c r="B420" t="e">
        <f>'Base de Dados'!Y485:Y1810</f>
        <v>#VALUE!</v>
      </c>
      <c r="C420" t="e">
        <f>'Base de Dados'!E484:E1809</f>
        <v>#VALUE!</v>
      </c>
      <c r="D420" t="e">
        <f>'Base de Dados'!F485:F1809</f>
        <v>#VALUE!</v>
      </c>
      <c r="E420" t="e">
        <f>'Base de Dados'!G485:G1806</f>
        <v>#VALUE!</v>
      </c>
      <c r="F420" t="e">
        <f>'Base de Dados'!I485:I1807</f>
        <v>#VALUE!</v>
      </c>
    </row>
    <row r="421" spans="2:6" x14ac:dyDescent="0.25">
      <c r="B421" t="e">
        <f>'Base de Dados'!Y485:Y1811</f>
        <v>#VALUE!</v>
      </c>
      <c r="C421" t="e">
        <f>'Base de Dados'!E485:E1810</f>
        <v>#VALUE!</v>
      </c>
      <c r="D421" t="e">
        <f>'Base de Dados'!F485:F1810</f>
        <v>#VALUE!</v>
      </c>
      <c r="E421" t="e">
        <f>'Base de Dados'!G485:G1807</f>
        <v>#VALUE!</v>
      </c>
      <c r="F421" t="e">
        <f>'Base de Dados'!I485:I1808</f>
        <v>#VALUE!</v>
      </c>
    </row>
    <row r="422" spans="2:6" x14ac:dyDescent="0.25">
      <c r="B422" t="e">
        <f>'Base de Dados'!Y486:Y1812</f>
        <v>#VALUE!</v>
      </c>
      <c r="C422" t="e">
        <f>'Base de Dados'!E485:E1811</f>
        <v>#VALUE!</v>
      </c>
      <c r="D422" t="e">
        <f>'Base de Dados'!F486:F1811</f>
        <v>#VALUE!</v>
      </c>
      <c r="E422" t="e">
        <f>'Base de Dados'!G486:G1808</f>
        <v>#VALUE!</v>
      </c>
      <c r="F422" t="e">
        <f>'Base de Dados'!I486:I1809</f>
        <v>#VALUE!</v>
      </c>
    </row>
    <row r="423" spans="2:6" x14ac:dyDescent="0.25">
      <c r="B423" t="e">
        <f>'Base de Dados'!Y488:Y1813</f>
        <v>#VALUE!</v>
      </c>
      <c r="C423" t="e">
        <f>'Base de Dados'!E486:E1812</f>
        <v>#VALUE!</v>
      </c>
      <c r="D423" t="e">
        <f>'Base de Dados'!F488:F1812</f>
        <v>#VALUE!</v>
      </c>
      <c r="E423" t="e">
        <f>'Base de Dados'!G488:G1809</f>
        <v>#VALUE!</v>
      </c>
      <c r="F423" t="e">
        <f>'Base de Dados'!I488:I1810</f>
        <v>#VALUE!</v>
      </c>
    </row>
    <row r="424" spans="2:6" x14ac:dyDescent="0.25">
      <c r="B424" t="e">
        <f>'Base de Dados'!Y489:Y1814</f>
        <v>#VALUE!</v>
      </c>
      <c r="C424" t="e">
        <f>'Base de Dados'!E488:E1813</f>
        <v>#VALUE!</v>
      </c>
      <c r="D424" t="e">
        <f>'Base de Dados'!F489:F1813</f>
        <v>#VALUE!</v>
      </c>
      <c r="E424" t="e">
        <f>'Base de Dados'!G489:G1810</f>
        <v>#VALUE!</v>
      </c>
      <c r="F424" t="e">
        <f>'Base de Dados'!I489:I1811</f>
        <v>#VALUE!</v>
      </c>
    </row>
    <row r="425" spans="2:6" x14ac:dyDescent="0.25">
      <c r="B425" t="e">
        <f>'Base de Dados'!Y517:Y1815</f>
        <v>#VALUE!</v>
      </c>
      <c r="C425" t="e">
        <f>'Base de Dados'!E489:E1814</f>
        <v>#VALUE!</v>
      </c>
      <c r="D425" t="e">
        <f>'Base de Dados'!F517:F1814</f>
        <v>#VALUE!</v>
      </c>
      <c r="E425" t="e">
        <f>'Base de Dados'!G517:G1811</f>
        <v>#VALUE!</v>
      </c>
      <c r="F425" t="e">
        <f>'Base de Dados'!I517:I1812</f>
        <v>#VALUE!</v>
      </c>
    </row>
    <row r="426" spans="2:6" x14ac:dyDescent="0.25">
      <c r="B426" t="e">
        <f>'Base de Dados'!Y649:Y1816</f>
        <v>#VALUE!</v>
      </c>
      <c r="C426" t="e">
        <f>'Base de Dados'!E517:E1815</f>
        <v>#VALUE!</v>
      </c>
      <c r="D426" t="str">
        <f>'Base de Dados'!F288:F1815</f>
        <v>ATELIER DE ARTETERAPIA</v>
      </c>
      <c r="E426" t="e">
        <f>'Base de Dados'!G649:G1812</f>
        <v>#VALUE!</v>
      </c>
      <c r="F426" t="e">
        <f>'Base de Dados'!I649:I1813</f>
        <v>#VALUE!</v>
      </c>
    </row>
    <row r="427" spans="2:6" x14ac:dyDescent="0.25">
      <c r="B427" t="e">
        <f>'Base de Dados'!Y1089:Y1817</f>
        <v>#VALUE!</v>
      </c>
      <c r="C427" t="e">
        <f>'Base de Dados'!E649:E1816</f>
        <v>#VALUE!</v>
      </c>
      <c r="D427" t="e">
        <f>'Base de Dados'!F1089:F1816</f>
        <v>#VALUE!</v>
      </c>
      <c r="E427" t="e">
        <f>'Base de Dados'!G1089:G1813</f>
        <v>#VALUE!</v>
      </c>
      <c r="F427" t="e">
        <f>'Base de Dados'!I1089:I1814</f>
        <v>#VALUE!</v>
      </c>
    </row>
    <row r="428" spans="2:6" x14ac:dyDescent="0.25">
      <c r="B428" t="e">
        <f>'Base de Dados'!Y1095:Y1818</f>
        <v>#VALUE!</v>
      </c>
      <c r="C428" t="e">
        <f>'Base de Dados'!E1089:E1817</f>
        <v>#VALUE!</v>
      </c>
      <c r="D428" t="e">
        <f>'Base de Dados'!F1095:F1817</f>
        <v>#VALUE!</v>
      </c>
      <c r="E428" t="e">
        <f>'Base de Dados'!G1095:G1814</f>
        <v>#VALUE!</v>
      </c>
      <c r="F428" t="e">
        <f>'Base de Dados'!I1095:I1815</f>
        <v>#VALUE!</v>
      </c>
    </row>
    <row r="429" spans="2:6" x14ac:dyDescent="0.25">
      <c r="B429" t="e">
        <f>'Base de Dados'!Y1392:Y1819</f>
        <v>#VALUE!</v>
      </c>
      <c r="C429" t="e">
        <f>'Base de Dados'!E1095:E1818</f>
        <v>#VALUE!</v>
      </c>
      <c r="D429" t="e">
        <f>'Base de Dados'!F1392:F1818</f>
        <v>#VALUE!</v>
      </c>
      <c r="E429" t="e">
        <f>'Base de Dados'!G1392:G1815</f>
        <v>#VALUE!</v>
      </c>
      <c r="F429" t="e">
        <f>'Base de Dados'!I1392:I1816</f>
        <v>#VALUE!</v>
      </c>
    </row>
    <row r="432" spans="2:6" x14ac:dyDescent="0.25">
      <c r="B432" t="e">
        <f>'Base de Dados'!Y1395:Y1822</f>
        <v>#VALUE!</v>
      </c>
    </row>
    <row r="435" spans="2:2" x14ac:dyDescent="0.25">
      <c r="B435" t="e">
        <f>'Base de Dados'!Y1398:Y1825</f>
        <v>#VALUE!</v>
      </c>
    </row>
    <row r="436" spans="2:2" x14ac:dyDescent="0.25">
      <c r="B436" t="e">
        <f>'Base de Dados'!Y1399:Y1826</f>
        <v>#VALUE!</v>
      </c>
    </row>
    <row r="437" spans="2:2" x14ac:dyDescent="0.25">
      <c r="B437" t="e">
        <f>'Base de Dados'!Y1400:Y1827</f>
        <v>#VALUE!</v>
      </c>
    </row>
    <row r="438" spans="2:2" x14ac:dyDescent="0.25">
      <c r="B438" t="e">
        <f>'Base de Dados'!Y1401:Y1828</f>
        <v>#VALUE!</v>
      </c>
    </row>
    <row r="439" spans="2:2" x14ac:dyDescent="0.25">
      <c r="B439" t="e">
        <f>'Base de Dados'!Y1402:Y1829</f>
        <v>#VALUE!</v>
      </c>
    </row>
    <row r="440" spans="2:2" x14ac:dyDescent="0.25">
      <c r="B440" t="e">
        <f>'Base de Dados'!Y1403:Y1830</f>
        <v>#VALUE!</v>
      </c>
    </row>
    <row r="441" spans="2:2" x14ac:dyDescent="0.25">
      <c r="B441" t="e">
        <f>'Base de Dados'!Y1404:Y1831</f>
        <v>#VALUE!</v>
      </c>
    </row>
    <row r="442" spans="2:2" x14ac:dyDescent="0.25">
      <c r="B442" t="e">
        <f>'Base de Dados'!Y1405:Y1832</f>
        <v>#VALUE!</v>
      </c>
    </row>
    <row r="443" spans="2:2" x14ac:dyDescent="0.25">
      <c r="B443" t="e">
        <f>'Base de Dados'!Y1406:Y1833</f>
        <v>#VALUE!</v>
      </c>
    </row>
    <row r="444" spans="2:2" x14ac:dyDescent="0.25">
      <c r="B444" t="e">
        <f>'Base de Dados'!Y1407:Y1834</f>
        <v>#VALUE!</v>
      </c>
    </row>
    <row r="445" spans="2:2" x14ac:dyDescent="0.25">
      <c r="B445" t="e">
        <f>'Base de Dados'!Y1408:Y1835</f>
        <v>#VALUE!</v>
      </c>
    </row>
    <row r="446" spans="2:2" x14ac:dyDescent="0.25">
      <c r="B446" t="e">
        <f>'Base de Dados'!Y1409:Y1836</f>
        <v>#VALUE!</v>
      </c>
    </row>
    <row r="447" spans="2:2" x14ac:dyDescent="0.25">
      <c r="B447" t="e">
        <f>'Base de Dados'!Y1410:Y1837</f>
        <v>#VALUE!</v>
      </c>
    </row>
    <row r="448" spans="2:2" x14ac:dyDescent="0.25">
      <c r="B448" t="e">
        <f>'Base de Dados'!Y1411:Y1838</f>
        <v>#VALUE!</v>
      </c>
    </row>
    <row r="449" spans="2:2" x14ac:dyDescent="0.25">
      <c r="B449" t="e">
        <f>'Base de Dados'!Y1412:Y1839</f>
        <v>#VALUE!</v>
      </c>
    </row>
    <row r="450" spans="2:2" x14ac:dyDescent="0.25">
      <c r="B450" t="e">
        <f>'Base de Dados'!Y1413:Y1840</f>
        <v>#VALUE!</v>
      </c>
    </row>
    <row r="451" spans="2:2" x14ac:dyDescent="0.25">
      <c r="B451" t="e">
        <f>'Base de Dados'!Y1414:Y1841</f>
        <v>#VALUE!</v>
      </c>
    </row>
    <row r="452" spans="2:2" x14ac:dyDescent="0.25">
      <c r="B452" t="e">
        <f>'Base de Dados'!Y1415:Y1842</f>
        <v>#VALUE!</v>
      </c>
    </row>
    <row r="453" spans="2:2" x14ac:dyDescent="0.25">
      <c r="B453" t="e">
        <f>'Base de Dados'!Y1416:Y1843</f>
        <v>#VALUE!</v>
      </c>
    </row>
    <row r="454" spans="2:2" x14ac:dyDescent="0.25">
      <c r="B454" t="e">
        <f>'Base de Dados'!Y1417:Y1844</f>
        <v>#VALUE!</v>
      </c>
    </row>
    <row r="455" spans="2:2" x14ac:dyDescent="0.25">
      <c r="B455" t="e">
        <f>'Base de Dados'!Y1418:Y1845</f>
        <v>#VALUE!</v>
      </c>
    </row>
    <row r="456" spans="2:2" x14ac:dyDescent="0.25">
      <c r="B456" t="e">
        <f>'Base de Dados'!Y1419:Y1846</f>
        <v>#VALUE!</v>
      </c>
    </row>
    <row r="457" spans="2:2" x14ac:dyDescent="0.25">
      <c r="B457" t="e">
        <f>'Base de Dados'!Y1420:Y1847</f>
        <v>#VALUE!</v>
      </c>
    </row>
    <row r="458" spans="2:2" x14ac:dyDescent="0.25">
      <c r="B458" t="e">
        <f>'Base de Dados'!Y1421:Y1848</f>
        <v>#VALUE!</v>
      </c>
    </row>
    <row r="459" spans="2:2" x14ac:dyDescent="0.25">
      <c r="B459" t="e">
        <f>'Base de Dados'!Y1422:Y1849</f>
        <v>#VALUE!</v>
      </c>
    </row>
    <row r="460" spans="2:2" x14ac:dyDescent="0.25">
      <c r="B460" t="e">
        <f>'Base de Dados'!Y1423:Y1850</f>
        <v>#VALUE!</v>
      </c>
    </row>
    <row r="461" spans="2:2" x14ac:dyDescent="0.25">
      <c r="B461" t="e">
        <f>'Base de Dados'!Y1424:Y1851</f>
        <v>#VALUE!</v>
      </c>
    </row>
    <row r="462" spans="2:2" x14ac:dyDescent="0.25">
      <c r="B462" t="e">
        <f>'Base de Dados'!Y1425:Y1852</f>
        <v>#VALUE!</v>
      </c>
    </row>
    <row r="463" spans="2:2" x14ac:dyDescent="0.25">
      <c r="B463" t="e">
        <f>'Base de Dados'!Y1426:Y1853</f>
        <v>#VALUE!</v>
      </c>
    </row>
    <row r="464" spans="2:2" x14ac:dyDescent="0.25">
      <c r="B464" t="e">
        <f>'Base de Dados'!Y1427:Y1854</f>
        <v>#VALUE!</v>
      </c>
    </row>
    <row r="465" spans="2:2" x14ac:dyDescent="0.25">
      <c r="B465" t="e">
        <f>'Base de Dados'!Y1428:Y1855</f>
        <v>#VALUE!</v>
      </c>
    </row>
    <row r="466" spans="2:2" x14ac:dyDescent="0.25">
      <c r="B466" t="e">
        <f>'Base de Dados'!Y1429:Y1856</f>
        <v>#VALUE!</v>
      </c>
    </row>
    <row r="467" spans="2:2" x14ac:dyDescent="0.25">
      <c r="B467" t="e">
        <f>'Base de Dados'!Y1430:Y1857</f>
        <v>#VALUE!</v>
      </c>
    </row>
    <row r="468" spans="2:2" x14ac:dyDescent="0.25">
      <c r="B468" t="e">
        <f>'Base de Dados'!Y1431:Y1858</f>
        <v>#VALUE!</v>
      </c>
    </row>
    <row r="469" spans="2:2" x14ac:dyDescent="0.25">
      <c r="B469" t="e">
        <f>'Base de Dados'!Y1432:Y1859</f>
        <v>#VALUE!</v>
      </c>
    </row>
    <row r="470" spans="2:2" x14ac:dyDescent="0.25">
      <c r="B470" t="e">
        <f>'Base de Dados'!Y1433:Y1860</f>
        <v>#VALUE!</v>
      </c>
    </row>
    <row r="471" spans="2:2" x14ac:dyDescent="0.25">
      <c r="B471" t="e">
        <f>'Base de Dados'!Y1434:Y1861</f>
        <v>#VALUE!</v>
      </c>
    </row>
    <row r="472" spans="2:2" x14ac:dyDescent="0.25">
      <c r="B472" t="e">
        <f>'Base de Dados'!Y1435:Y1862</f>
        <v>#VALUE!</v>
      </c>
    </row>
    <row r="473" spans="2:2" x14ac:dyDescent="0.25">
      <c r="B473" t="e">
        <f>'Base de Dados'!Y1436:Y1863</f>
        <v>#VALUE!</v>
      </c>
    </row>
    <row r="474" spans="2:2" x14ac:dyDescent="0.25">
      <c r="B474" t="e">
        <f>'Base de Dados'!Y1437:Y1864</f>
        <v>#VALUE!</v>
      </c>
    </row>
    <row r="475" spans="2:2" x14ac:dyDescent="0.25">
      <c r="B475" t="e">
        <f>'Base de Dados'!Y1438:Y1865</f>
        <v>#VALUE!</v>
      </c>
    </row>
    <row r="476" spans="2:2" x14ac:dyDescent="0.25">
      <c r="B476" t="e">
        <f>'Base de Dados'!Y1439:Y1866</f>
        <v>#VALUE!</v>
      </c>
    </row>
    <row r="477" spans="2:2" x14ac:dyDescent="0.25">
      <c r="B477" t="e">
        <f>'Base de Dados'!Y1440:Y1867</f>
        <v>#VALUE!</v>
      </c>
    </row>
    <row r="478" spans="2:2" x14ac:dyDescent="0.25">
      <c r="B478" t="e">
        <f>'Base de Dados'!Y1441:Y1868</f>
        <v>#VALUE!</v>
      </c>
    </row>
    <row r="479" spans="2:2" x14ac:dyDescent="0.25">
      <c r="B479" t="e">
        <f>'Base de Dados'!Y1442:Y1869</f>
        <v>#VALUE!</v>
      </c>
    </row>
    <row r="480" spans="2:2" x14ac:dyDescent="0.25">
      <c r="B480" t="e">
        <f>'Base de Dados'!Y1443:Y1870</f>
        <v>#VALUE!</v>
      </c>
    </row>
    <row r="481" spans="2:2" x14ac:dyDescent="0.25">
      <c r="B481" t="e">
        <f>'Base de Dados'!Y1444:Y1871</f>
        <v>#VALUE!</v>
      </c>
    </row>
    <row r="482" spans="2:2" x14ac:dyDescent="0.25">
      <c r="B482" t="e">
        <f>'Base de Dados'!Y1445:Y1872</f>
        <v>#VALUE!</v>
      </c>
    </row>
    <row r="483" spans="2:2" x14ac:dyDescent="0.25">
      <c r="B483" t="e">
        <f>'Base de Dados'!Y1446:Y1873</f>
        <v>#VALUE!</v>
      </c>
    </row>
    <row r="484" spans="2:2" x14ac:dyDescent="0.25">
      <c r="B484" t="e">
        <f>'Base de Dados'!Y1447:Y1874</f>
        <v>#VALUE!</v>
      </c>
    </row>
    <row r="485" spans="2:2" x14ac:dyDescent="0.25">
      <c r="B485" t="e">
        <f>'Base de Dados'!Y1448:Y1875</f>
        <v>#VALUE!</v>
      </c>
    </row>
    <row r="486" spans="2:2" x14ac:dyDescent="0.25">
      <c r="B486" t="e">
        <f>'Base de Dados'!Y1449:Y1876</f>
        <v>#VALUE!</v>
      </c>
    </row>
    <row r="487" spans="2:2" x14ac:dyDescent="0.25">
      <c r="B487" t="e">
        <f>'Base de Dados'!Y1450:Y1877</f>
        <v>#VALUE!</v>
      </c>
    </row>
    <row r="488" spans="2:2" x14ac:dyDescent="0.25">
      <c r="B488" t="e">
        <f>'Base de Dados'!Y1451:Y1878</f>
        <v>#VALUE!</v>
      </c>
    </row>
    <row r="489" spans="2:2" x14ac:dyDescent="0.25">
      <c r="B489" t="e">
        <f>'Base de Dados'!Y1452:Y1879</f>
        <v>#VALUE!</v>
      </c>
    </row>
    <row r="490" spans="2:2" x14ac:dyDescent="0.25">
      <c r="B490" t="e">
        <f>'Base de Dados'!Y1453:Y1880</f>
        <v>#VALUE!</v>
      </c>
    </row>
    <row r="491" spans="2:2" x14ac:dyDescent="0.25">
      <c r="B491" t="e">
        <f>'Base de Dados'!Y1454:Y1881</f>
        <v>#VALUE!</v>
      </c>
    </row>
    <row r="492" spans="2:2" x14ac:dyDescent="0.25">
      <c r="B492" t="e">
        <f>'Base de Dados'!Y1455:Y1882</f>
        <v>#VALUE!</v>
      </c>
    </row>
    <row r="493" spans="2:2" x14ac:dyDescent="0.25">
      <c r="B493" t="e">
        <f>'Base de Dados'!Y1456:Y1883</f>
        <v>#VALUE!</v>
      </c>
    </row>
    <row r="494" spans="2:2" x14ac:dyDescent="0.25">
      <c r="B494" t="e">
        <f>'Base de Dados'!Y1457:Y1884</f>
        <v>#VALUE!</v>
      </c>
    </row>
    <row r="495" spans="2:2" x14ac:dyDescent="0.25">
      <c r="B495" t="e">
        <f>'Base de Dados'!Y1458:Y1885</f>
        <v>#VALUE!</v>
      </c>
    </row>
    <row r="496" spans="2:2" x14ac:dyDescent="0.25">
      <c r="B496" t="e">
        <f>'Base de Dados'!Y1459:Y1886</f>
        <v>#VALUE!</v>
      </c>
    </row>
    <row r="497" spans="2:2" x14ac:dyDescent="0.25">
      <c r="B497" t="e">
        <f>'Base de Dados'!Y1460:Y1887</f>
        <v>#VALUE!</v>
      </c>
    </row>
    <row r="498" spans="2:2" x14ac:dyDescent="0.25">
      <c r="B498" t="e">
        <f>'Base de Dados'!Y1461:Y1888</f>
        <v>#VALUE!</v>
      </c>
    </row>
    <row r="499" spans="2:2" x14ac:dyDescent="0.25">
      <c r="B499" t="e">
        <f>'Base de Dados'!Y1462:Y1889</f>
        <v>#VALUE!</v>
      </c>
    </row>
    <row r="500" spans="2:2" x14ac:dyDescent="0.25">
      <c r="B500" t="e">
        <f>'Base de Dados'!Y1463:Y1890</f>
        <v>#VALUE!</v>
      </c>
    </row>
    <row r="501" spans="2:2" x14ac:dyDescent="0.25">
      <c r="B501" t="e">
        <f>'Base de Dados'!Y1464:Y1891</f>
        <v>#VALUE!</v>
      </c>
    </row>
    <row r="502" spans="2:2" x14ac:dyDescent="0.25">
      <c r="B502" t="e">
        <f>'Base de Dados'!Y1465:Y1892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3:A1201"/>
  <sheetViews>
    <sheetView topLeftCell="A1179" workbookViewId="0">
      <selection activeCell="A5" sqref="A5"/>
    </sheetView>
  </sheetViews>
  <sheetFormatPr defaultRowHeight="15" x14ac:dyDescent="0.25"/>
  <cols>
    <col min="1" max="1" width="96.85546875" bestFit="1" customWidth="1"/>
    <col min="2" max="2" width="19.5703125" customWidth="1"/>
    <col min="3" max="6" width="18" customWidth="1"/>
    <col min="7" max="8" width="18.140625" customWidth="1"/>
    <col min="9" max="11" width="18" customWidth="1"/>
    <col min="12" max="12" width="19" customWidth="1"/>
    <col min="13" max="97" width="18" customWidth="1"/>
    <col min="98" max="98" width="16.85546875" customWidth="1"/>
    <col min="99" max="119" width="18" customWidth="1"/>
    <col min="120" max="120" width="16.85546875" customWidth="1"/>
    <col min="121" max="143" width="18" customWidth="1"/>
    <col min="144" max="144" width="16.85546875" customWidth="1"/>
    <col min="145" max="178" width="18" customWidth="1"/>
    <col min="179" max="179" width="17.42578125" customWidth="1"/>
    <col min="180" max="183" width="18" customWidth="1"/>
    <col min="184" max="184" width="16.85546875" customWidth="1"/>
    <col min="185" max="257" width="18" customWidth="1"/>
    <col min="258" max="258" width="19" customWidth="1"/>
    <col min="259" max="284" width="18" customWidth="1"/>
    <col min="285" max="285" width="16.85546875" customWidth="1"/>
    <col min="286" max="291" width="18" customWidth="1"/>
    <col min="292" max="292" width="19" customWidth="1"/>
    <col min="293" max="333" width="18" customWidth="1"/>
    <col min="334" max="334" width="17.85546875" customWidth="1"/>
    <col min="335" max="344" width="18" customWidth="1"/>
    <col min="345" max="345" width="17.85546875" customWidth="1"/>
    <col min="346" max="367" width="18" customWidth="1"/>
    <col min="368" max="368" width="18.28515625" customWidth="1"/>
    <col min="369" max="369" width="16.85546875" customWidth="1"/>
    <col min="370" max="401" width="18" customWidth="1"/>
    <col min="402" max="402" width="17.85546875" customWidth="1"/>
    <col min="403" max="403" width="11.28515625" customWidth="1"/>
    <col min="404" max="404" width="11.7109375" customWidth="1"/>
    <col min="405" max="405" width="7" customWidth="1"/>
    <col min="406" max="406" width="10.28515625" customWidth="1"/>
    <col min="407" max="407" width="25.140625" bestFit="1" customWidth="1"/>
    <col min="408" max="408" width="23" bestFit="1" customWidth="1"/>
    <col min="409" max="409" width="46.42578125" bestFit="1" customWidth="1"/>
    <col min="410" max="410" width="23" bestFit="1" customWidth="1"/>
    <col min="411" max="411" width="42.7109375" bestFit="1" customWidth="1"/>
    <col min="412" max="412" width="23" bestFit="1" customWidth="1"/>
    <col min="413" max="413" width="22.42578125" bestFit="1" customWidth="1"/>
    <col min="414" max="414" width="23" bestFit="1" customWidth="1"/>
    <col min="415" max="415" width="32.28515625" bestFit="1" customWidth="1"/>
    <col min="416" max="416" width="23" bestFit="1" customWidth="1"/>
    <col min="417" max="417" width="48.7109375" bestFit="1" customWidth="1"/>
    <col min="418" max="418" width="23" bestFit="1" customWidth="1"/>
    <col min="419" max="419" width="48.7109375" bestFit="1" customWidth="1"/>
    <col min="420" max="420" width="23" bestFit="1" customWidth="1"/>
    <col min="421" max="421" width="31.5703125" bestFit="1" customWidth="1"/>
    <col min="422" max="422" width="23" bestFit="1" customWidth="1"/>
    <col min="423" max="423" width="40.42578125" bestFit="1" customWidth="1"/>
    <col min="424" max="424" width="23" bestFit="1" customWidth="1"/>
    <col min="425" max="425" width="63.85546875" bestFit="1" customWidth="1"/>
    <col min="426" max="426" width="23" bestFit="1" customWidth="1"/>
    <col min="427" max="427" width="35.85546875" bestFit="1" customWidth="1"/>
    <col min="428" max="428" width="23" bestFit="1" customWidth="1"/>
    <col min="429" max="429" width="41.28515625" bestFit="1" customWidth="1"/>
    <col min="430" max="430" width="23" bestFit="1" customWidth="1"/>
    <col min="431" max="431" width="38.7109375" bestFit="1" customWidth="1"/>
    <col min="432" max="432" width="23" bestFit="1" customWidth="1"/>
    <col min="433" max="433" width="43.42578125" bestFit="1" customWidth="1"/>
    <col min="434" max="434" width="23" bestFit="1" customWidth="1"/>
    <col min="435" max="435" width="29.28515625" bestFit="1" customWidth="1"/>
    <col min="436" max="436" width="23" bestFit="1" customWidth="1"/>
    <col min="437" max="437" width="42.42578125" bestFit="1" customWidth="1"/>
    <col min="438" max="438" width="23" bestFit="1" customWidth="1"/>
    <col min="439" max="439" width="53.85546875" bestFit="1" customWidth="1"/>
    <col min="440" max="440" width="23" bestFit="1" customWidth="1"/>
    <col min="441" max="441" width="53.85546875" bestFit="1" customWidth="1"/>
    <col min="442" max="442" width="23" bestFit="1" customWidth="1"/>
    <col min="443" max="443" width="38.5703125" bestFit="1" customWidth="1"/>
    <col min="444" max="444" width="23" bestFit="1" customWidth="1"/>
    <col min="445" max="445" width="34.140625" bestFit="1" customWidth="1"/>
    <col min="446" max="446" width="23" bestFit="1" customWidth="1"/>
    <col min="447" max="447" width="39.85546875" bestFit="1" customWidth="1"/>
    <col min="448" max="448" width="23" bestFit="1" customWidth="1"/>
    <col min="449" max="449" width="35.42578125" bestFit="1" customWidth="1"/>
    <col min="450" max="450" width="23" bestFit="1" customWidth="1"/>
    <col min="451" max="451" width="37" bestFit="1" customWidth="1"/>
    <col min="452" max="452" width="23" bestFit="1" customWidth="1"/>
    <col min="453" max="453" width="35.7109375" bestFit="1" customWidth="1"/>
    <col min="454" max="454" width="23" bestFit="1" customWidth="1"/>
    <col min="455" max="455" width="31.7109375" bestFit="1" customWidth="1"/>
    <col min="456" max="456" width="23" bestFit="1" customWidth="1"/>
    <col min="457" max="457" width="49.28515625" bestFit="1" customWidth="1"/>
    <col min="458" max="458" width="23" bestFit="1" customWidth="1"/>
    <col min="459" max="459" width="45.7109375" bestFit="1" customWidth="1"/>
    <col min="460" max="460" width="23" bestFit="1" customWidth="1"/>
    <col min="461" max="461" width="30.140625" bestFit="1" customWidth="1"/>
    <col min="462" max="462" width="23" bestFit="1" customWidth="1"/>
    <col min="463" max="463" width="24.85546875" bestFit="1" customWidth="1"/>
    <col min="464" max="464" width="23" bestFit="1" customWidth="1"/>
    <col min="465" max="465" width="68" bestFit="1" customWidth="1"/>
    <col min="466" max="466" width="23" bestFit="1" customWidth="1"/>
    <col min="467" max="467" width="44.42578125" bestFit="1" customWidth="1"/>
    <col min="468" max="468" width="23" bestFit="1" customWidth="1"/>
    <col min="469" max="469" width="28.7109375" bestFit="1" customWidth="1"/>
    <col min="470" max="470" width="23" bestFit="1" customWidth="1"/>
    <col min="471" max="471" width="31" bestFit="1" customWidth="1"/>
    <col min="472" max="472" width="23" bestFit="1" customWidth="1"/>
    <col min="473" max="473" width="38.140625" bestFit="1" customWidth="1"/>
    <col min="474" max="474" width="23" bestFit="1" customWidth="1"/>
    <col min="475" max="475" width="39.85546875" bestFit="1" customWidth="1"/>
    <col min="476" max="476" width="23" bestFit="1" customWidth="1"/>
    <col min="477" max="477" width="44.85546875" bestFit="1" customWidth="1"/>
    <col min="478" max="478" width="23" bestFit="1" customWidth="1"/>
    <col min="479" max="479" width="44" bestFit="1" customWidth="1"/>
    <col min="480" max="480" width="23" bestFit="1" customWidth="1"/>
    <col min="481" max="481" width="39.28515625" bestFit="1" customWidth="1"/>
    <col min="482" max="482" width="23" bestFit="1" customWidth="1"/>
    <col min="483" max="483" width="27.28515625" bestFit="1" customWidth="1"/>
    <col min="484" max="484" width="23" bestFit="1" customWidth="1"/>
    <col min="485" max="485" width="51.140625" bestFit="1" customWidth="1"/>
    <col min="486" max="486" width="23" bestFit="1" customWidth="1"/>
    <col min="487" max="487" width="56.140625" bestFit="1" customWidth="1"/>
    <col min="488" max="488" width="23" bestFit="1" customWidth="1"/>
    <col min="489" max="489" width="40.140625" bestFit="1" customWidth="1"/>
    <col min="490" max="490" width="23" bestFit="1" customWidth="1"/>
    <col min="491" max="491" width="55.5703125" bestFit="1" customWidth="1"/>
    <col min="492" max="492" width="23" bestFit="1" customWidth="1"/>
    <col min="493" max="493" width="43" bestFit="1" customWidth="1"/>
    <col min="494" max="494" width="23" bestFit="1" customWidth="1"/>
    <col min="495" max="495" width="51.42578125" bestFit="1" customWidth="1"/>
    <col min="496" max="496" width="23" bestFit="1" customWidth="1"/>
    <col min="497" max="497" width="37.140625" bestFit="1" customWidth="1"/>
    <col min="498" max="498" width="23" bestFit="1" customWidth="1"/>
    <col min="499" max="499" width="58.42578125" bestFit="1" customWidth="1"/>
    <col min="500" max="500" width="23" bestFit="1" customWidth="1"/>
    <col min="501" max="501" width="41.28515625" bestFit="1" customWidth="1"/>
    <col min="502" max="502" width="23" bestFit="1" customWidth="1"/>
    <col min="503" max="503" width="36" bestFit="1" customWidth="1"/>
    <col min="504" max="504" width="23" bestFit="1" customWidth="1"/>
    <col min="505" max="505" width="28.85546875" bestFit="1" customWidth="1"/>
    <col min="506" max="506" width="23" bestFit="1" customWidth="1"/>
    <col min="507" max="507" width="38.5703125" bestFit="1" customWidth="1"/>
    <col min="508" max="508" width="23" bestFit="1" customWidth="1"/>
    <col min="509" max="509" width="93.140625" bestFit="1" customWidth="1"/>
    <col min="510" max="510" width="23" bestFit="1" customWidth="1"/>
    <col min="511" max="511" width="47.140625" bestFit="1" customWidth="1"/>
    <col min="512" max="512" width="23" bestFit="1" customWidth="1"/>
    <col min="513" max="513" width="58.85546875" bestFit="1" customWidth="1"/>
    <col min="514" max="514" width="23" bestFit="1" customWidth="1"/>
    <col min="515" max="515" width="36.42578125" bestFit="1" customWidth="1"/>
    <col min="516" max="516" width="24" bestFit="1" customWidth="1"/>
    <col min="517" max="517" width="43.85546875" bestFit="1" customWidth="1"/>
    <col min="518" max="518" width="23" bestFit="1" customWidth="1"/>
    <col min="519" max="519" width="60.85546875" bestFit="1" customWidth="1"/>
    <col min="520" max="520" width="23" bestFit="1" customWidth="1"/>
    <col min="521" max="521" width="41.5703125" bestFit="1" customWidth="1"/>
    <col min="522" max="522" width="23" bestFit="1" customWidth="1"/>
    <col min="523" max="523" width="38.7109375" bestFit="1" customWidth="1"/>
    <col min="524" max="524" width="23" bestFit="1" customWidth="1"/>
    <col min="525" max="525" width="38.7109375" bestFit="1" customWidth="1"/>
    <col min="526" max="526" width="23" bestFit="1" customWidth="1"/>
    <col min="527" max="527" width="51.5703125" bestFit="1" customWidth="1"/>
    <col min="528" max="528" width="23" bestFit="1" customWidth="1"/>
    <col min="529" max="529" width="48.140625" bestFit="1" customWidth="1"/>
    <col min="530" max="530" width="23" bestFit="1" customWidth="1"/>
    <col min="531" max="531" width="37.42578125" bestFit="1" customWidth="1"/>
    <col min="532" max="532" width="23" bestFit="1" customWidth="1"/>
    <col min="533" max="533" width="39.5703125" bestFit="1" customWidth="1"/>
    <col min="534" max="534" width="23" bestFit="1" customWidth="1"/>
    <col min="535" max="535" width="62.5703125" bestFit="1" customWidth="1"/>
    <col min="536" max="536" width="23" bestFit="1" customWidth="1"/>
    <col min="537" max="537" width="56" bestFit="1" customWidth="1"/>
    <col min="538" max="538" width="23" bestFit="1" customWidth="1"/>
    <col min="539" max="539" width="46.7109375" bestFit="1" customWidth="1"/>
    <col min="540" max="540" width="23" bestFit="1" customWidth="1"/>
    <col min="541" max="541" width="49.7109375" bestFit="1" customWidth="1"/>
    <col min="542" max="542" width="23" bestFit="1" customWidth="1"/>
    <col min="543" max="543" width="77.140625" bestFit="1" customWidth="1"/>
    <col min="544" max="544" width="23" bestFit="1" customWidth="1"/>
    <col min="545" max="545" width="41.85546875" bestFit="1" customWidth="1"/>
    <col min="546" max="546" width="23" bestFit="1" customWidth="1"/>
    <col min="547" max="547" width="40" bestFit="1" customWidth="1"/>
    <col min="548" max="548" width="23" bestFit="1" customWidth="1"/>
    <col min="549" max="549" width="33.140625" bestFit="1" customWidth="1"/>
    <col min="550" max="550" width="23" bestFit="1" customWidth="1"/>
    <col min="551" max="551" width="36.7109375" bestFit="1" customWidth="1"/>
    <col min="552" max="552" width="23" bestFit="1" customWidth="1"/>
    <col min="553" max="553" width="27.7109375" bestFit="1" customWidth="1"/>
    <col min="554" max="554" width="23" bestFit="1" customWidth="1"/>
    <col min="555" max="555" width="24.140625" bestFit="1" customWidth="1"/>
    <col min="556" max="556" width="23" bestFit="1" customWidth="1"/>
    <col min="557" max="557" width="53.28515625" bestFit="1" customWidth="1"/>
    <col min="558" max="558" width="23" bestFit="1" customWidth="1"/>
    <col min="559" max="559" width="38.5703125" bestFit="1" customWidth="1"/>
    <col min="560" max="560" width="23" bestFit="1" customWidth="1"/>
    <col min="561" max="561" width="45.28515625" bestFit="1" customWidth="1"/>
    <col min="562" max="562" width="23" bestFit="1" customWidth="1"/>
    <col min="563" max="563" width="38.140625" bestFit="1" customWidth="1"/>
    <col min="564" max="564" width="23" bestFit="1" customWidth="1"/>
    <col min="565" max="565" width="49.5703125" bestFit="1" customWidth="1"/>
    <col min="566" max="566" width="23" bestFit="1" customWidth="1"/>
    <col min="567" max="567" width="32.7109375" bestFit="1" customWidth="1"/>
    <col min="568" max="568" width="23" bestFit="1" customWidth="1"/>
    <col min="569" max="569" width="33.5703125" bestFit="1" customWidth="1"/>
    <col min="570" max="570" width="22" bestFit="1" customWidth="1"/>
    <col min="571" max="571" width="37.28515625" bestFit="1" customWidth="1"/>
    <col min="572" max="572" width="23" bestFit="1" customWidth="1"/>
    <col min="573" max="573" width="30.28515625" bestFit="1" customWidth="1"/>
    <col min="574" max="574" width="23" bestFit="1" customWidth="1"/>
    <col min="575" max="575" width="28.42578125" bestFit="1" customWidth="1"/>
    <col min="576" max="576" width="23" bestFit="1" customWidth="1"/>
    <col min="577" max="577" width="47.140625" bestFit="1" customWidth="1"/>
    <col min="578" max="578" width="23" bestFit="1" customWidth="1"/>
    <col min="579" max="579" width="36.85546875" bestFit="1" customWidth="1"/>
    <col min="580" max="580" width="23" bestFit="1" customWidth="1"/>
    <col min="581" max="581" width="22.28515625" bestFit="1" customWidth="1"/>
    <col min="582" max="582" width="23" bestFit="1" customWidth="1"/>
    <col min="583" max="583" width="37.42578125" bestFit="1" customWidth="1"/>
    <col min="584" max="584" width="24" bestFit="1" customWidth="1"/>
    <col min="585" max="585" width="23.42578125" bestFit="1" customWidth="1"/>
    <col min="586" max="586" width="23" bestFit="1" customWidth="1"/>
    <col min="587" max="587" width="40.42578125" bestFit="1" customWidth="1"/>
    <col min="588" max="588" width="23" bestFit="1" customWidth="1"/>
    <col min="589" max="589" width="30" bestFit="1" customWidth="1"/>
    <col min="590" max="590" width="23" bestFit="1" customWidth="1"/>
    <col min="591" max="591" width="36" bestFit="1" customWidth="1"/>
    <col min="592" max="592" width="23" bestFit="1" customWidth="1"/>
    <col min="593" max="593" width="48.28515625" bestFit="1" customWidth="1"/>
    <col min="594" max="594" width="23" bestFit="1" customWidth="1"/>
    <col min="595" max="595" width="35.42578125" bestFit="1" customWidth="1"/>
    <col min="596" max="596" width="23" bestFit="1" customWidth="1"/>
    <col min="597" max="597" width="39" bestFit="1" customWidth="1"/>
    <col min="598" max="598" width="23" bestFit="1" customWidth="1"/>
    <col min="599" max="599" width="47.140625" bestFit="1" customWidth="1"/>
    <col min="600" max="600" width="23" bestFit="1" customWidth="1"/>
    <col min="601" max="601" width="33.5703125" bestFit="1" customWidth="1"/>
    <col min="602" max="602" width="23" bestFit="1" customWidth="1"/>
    <col min="603" max="603" width="37.140625" bestFit="1" customWidth="1"/>
    <col min="604" max="606" width="23" bestFit="1" customWidth="1"/>
    <col min="607" max="607" width="42.85546875" bestFit="1" customWidth="1"/>
    <col min="608" max="608" width="23" bestFit="1" customWidth="1"/>
    <col min="609" max="609" width="30.5703125" bestFit="1" customWidth="1"/>
    <col min="610" max="610" width="23" bestFit="1" customWidth="1"/>
    <col min="611" max="611" width="54.28515625" bestFit="1" customWidth="1"/>
    <col min="612" max="612" width="23" bestFit="1" customWidth="1"/>
    <col min="613" max="613" width="36.42578125" bestFit="1" customWidth="1"/>
    <col min="614" max="614" width="23" bestFit="1" customWidth="1"/>
    <col min="615" max="615" width="52.5703125" bestFit="1" customWidth="1"/>
    <col min="616" max="616" width="23" bestFit="1" customWidth="1"/>
    <col min="617" max="617" width="44.140625" bestFit="1" customWidth="1"/>
    <col min="618" max="618" width="23" bestFit="1" customWidth="1"/>
    <col min="619" max="619" width="50.140625" bestFit="1" customWidth="1"/>
    <col min="620" max="620" width="23" bestFit="1" customWidth="1"/>
    <col min="621" max="621" width="74.42578125" bestFit="1" customWidth="1"/>
    <col min="622" max="622" width="23" bestFit="1" customWidth="1"/>
    <col min="623" max="623" width="38.7109375" bestFit="1" customWidth="1"/>
    <col min="624" max="624" width="23" bestFit="1" customWidth="1"/>
    <col min="625" max="625" width="38.7109375" bestFit="1" customWidth="1"/>
    <col min="626" max="626" width="23" bestFit="1" customWidth="1"/>
    <col min="627" max="627" width="38.28515625" bestFit="1" customWidth="1"/>
    <col min="628" max="628" width="23" bestFit="1" customWidth="1"/>
    <col min="629" max="629" width="24.42578125" bestFit="1" customWidth="1"/>
    <col min="630" max="630" width="23" bestFit="1" customWidth="1"/>
    <col min="631" max="631" width="42.42578125" bestFit="1" customWidth="1"/>
    <col min="632" max="632" width="23" bestFit="1" customWidth="1"/>
    <col min="633" max="633" width="35.7109375" bestFit="1" customWidth="1"/>
    <col min="634" max="634" width="23" bestFit="1" customWidth="1"/>
    <col min="635" max="635" width="39.42578125" bestFit="1" customWidth="1"/>
    <col min="636" max="636" width="23" bestFit="1" customWidth="1"/>
    <col min="637" max="637" width="28.7109375" bestFit="1" customWidth="1"/>
    <col min="638" max="638" width="23" bestFit="1" customWidth="1"/>
    <col min="639" max="639" width="39.28515625" bestFit="1" customWidth="1"/>
    <col min="640" max="640" width="23" bestFit="1" customWidth="1"/>
    <col min="641" max="641" width="53.7109375" bestFit="1" customWidth="1"/>
    <col min="642" max="642" width="23" bestFit="1" customWidth="1"/>
    <col min="643" max="643" width="23.140625" bestFit="1" customWidth="1"/>
    <col min="644" max="644" width="23" bestFit="1" customWidth="1"/>
    <col min="645" max="645" width="56.42578125" bestFit="1" customWidth="1"/>
    <col min="646" max="646" width="23" bestFit="1" customWidth="1"/>
    <col min="647" max="647" width="46.7109375" bestFit="1" customWidth="1"/>
    <col min="648" max="648" width="23" bestFit="1" customWidth="1"/>
    <col min="649" max="649" width="48.7109375" bestFit="1" customWidth="1"/>
    <col min="650" max="650" width="23" bestFit="1" customWidth="1"/>
    <col min="651" max="651" width="35.42578125" bestFit="1" customWidth="1"/>
    <col min="652" max="652" width="23" bestFit="1" customWidth="1"/>
    <col min="653" max="653" width="42.42578125" bestFit="1" customWidth="1"/>
    <col min="654" max="654" width="23" bestFit="1" customWidth="1"/>
    <col min="655" max="655" width="58" bestFit="1" customWidth="1"/>
    <col min="656" max="656" width="23" bestFit="1" customWidth="1"/>
    <col min="657" max="657" width="58" bestFit="1" customWidth="1"/>
    <col min="658" max="658" width="23" bestFit="1" customWidth="1"/>
    <col min="659" max="659" width="58" bestFit="1" customWidth="1"/>
    <col min="660" max="660" width="23" bestFit="1" customWidth="1"/>
    <col min="661" max="661" width="58" bestFit="1" customWidth="1"/>
    <col min="662" max="662" width="23" bestFit="1" customWidth="1"/>
    <col min="663" max="663" width="32.85546875" bestFit="1" customWidth="1"/>
    <col min="664" max="664" width="23" bestFit="1" customWidth="1"/>
    <col min="665" max="665" width="43.85546875" bestFit="1" customWidth="1"/>
    <col min="666" max="666" width="23" bestFit="1" customWidth="1"/>
    <col min="667" max="667" width="63" bestFit="1" customWidth="1"/>
    <col min="668" max="668" width="22.85546875" bestFit="1" customWidth="1"/>
    <col min="669" max="669" width="48.28515625" bestFit="1" customWidth="1"/>
    <col min="670" max="670" width="23" bestFit="1" customWidth="1"/>
    <col min="671" max="671" width="19.85546875" bestFit="1" customWidth="1"/>
    <col min="672" max="672" width="23" bestFit="1" customWidth="1"/>
    <col min="673" max="673" width="47.5703125" bestFit="1" customWidth="1"/>
    <col min="674" max="674" width="23" bestFit="1" customWidth="1"/>
    <col min="675" max="675" width="39.7109375" bestFit="1" customWidth="1"/>
    <col min="676" max="676" width="23" bestFit="1" customWidth="1"/>
    <col min="677" max="677" width="35.5703125" bestFit="1" customWidth="1"/>
    <col min="678" max="678" width="23" bestFit="1" customWidth="1"/>
    <col min="679" max="679" width="26.28515625" bestFit="1" customWidth="1"/>
    <col min="680" max="680" width="23" bestFit="1" customWidth="1"/>
    <col min="681" max="681" width="68.140625" bestFit="1" customWidth="1"/>
    <col min="682" max="682" width="23" bestFit="1" customWidth="1"/>
    <col min="683" max="683" width="41.28515625" bestFit="1" customWidth="1"/>
    <col min="684" max="684" width="23" bestFit="1" customWidth="1"/>
    <col min="685" max="685" width="32" bestFit="1" customWidth="1"/>
    <col min="686" max="686" width="23" bestFit="1" customWidth="1"/>
    <col min="687" max="687" width="53.140625" bestFit="1" customWidth="1"/>
    <col min="688" max="688" width="23" bestFit="1" customWidth="1"/>
    <col min="689" max="689" width="29" bestFit="1" customWidth="1"/>
    <col min="690" max="690" width="22.85546875" bestFit="1" customWidth="1"/>
    <col min="691" max="691" width="50.5703125" bestFit="1" customWidth="1"/>
    <col min="692" max="692" width="23" bestFit="1" customWidth="1"/>
    <col min="693" max="693" width="50.5703125" bestFit="1" customWidth="1"/>
    <col min="694" max="694" width="23" bestFit="1" customWidth="1"/>
    <col min="695" max="695" width="50.5703125" bestFit="1" customWidth="1"/>
    <col min="696" max="696" width="23" bestFit="1" customWidth="1"/>
    <col min="697" max="697" width="55.5703125" bestFit="1" customWidth="1"/>
    <col min="698" max="698" width="23" bestFit="1" customWidth="1"/>
    <col min="699" max="699" width="34.5703125" bestFit="1" customWidth="1"/>
    <col min="700" max="700" width="23" bestFit="1" customWidth="1"/>
    <col min="701" max="701" width="45.5703125" bestFit="1" customWidth="1"/>
    <col min="702" max="702" width="23" bestFit="1" customWidth="1"/>
    <col min="703" max="703" width="34.85546875" bestFit="1" customWidth="1"/>
    <col min="704" max="704" width="23" bestFit="1" customWidth="1"/>
    <col min="705" max="705" width="54.28515625" bestFit="1" customWidth="1"/>
    <col min="706" max="706" width="23" bestFit="1" customWidth="1"/>
    <col min="707" max="707" width="54.28515625" bestFit="1" customWidth="1"/>
    <col min="708" max="708" width="23" bestFit="1" customWidth="1"/>
    <col min="709" max="709" width="34.42578125" bestFit="1" customWidth="1"/>
    <col min="710" max="710" width="34.85546875" bestFit="1" customWidth="1"/>
    <col min="711" max="711" width="23" bestFit="1" customWidth="1"/>
    <col min="712" max="712" width="30" bestFit="1" customWidth="1"/>
    <col min="713" max="713" width="23" bestFit="1" customWidth="1"/>
    <col min="714" max="714" width="36.140625" bestFit="1" customWidth="1"/>
    <col min="715" max="715" width="23" bestFit="1" customWidth="1"/>
    <col min="716" max="716" width="43" bestFit="1" customWidth="1"/>
    <col min="717" max="717" width="23" bestFit="1" customWidth="1"/>
    <col min="718" max="718" width="29.7109375" bestFit="1" customWidth="1"/>
    <col min="719" max="719" width="23" bestFit="1" customWidth="1"/>
    <col min="720" max="720" width="30.42578125" bestFit="1" customWidth="1"/>
    <col min="721" max="721" width="23" bestFit="1" customWidth="1"/>
    <col min="722" max="722" width="56.85546875" bestFit="1" customWidth="1"/>
    <col min="723" max="723" width="23" bestFit="1" customWidth="1"/>
    <col min="724" max="724" width="38.140625" bestFit="1" customWidth="1"/>
    <col min="725" max="725" width="23" bestFit="1" customWidth="1"/>
    <col min="726" max="726" width="43.85546875" bestFit="1" customWidth="1"/>
    <col min="727" max="727" width="23" bestFit="1" customWidth="1"/>
    <col min="728" max="728" width="43.85546875" bestFit="1" customWidth="1"/>
    <col min="729" max="729" width="23" bestFit="1" customWidth="1"/>
    <col min="730" max="730" width="86.42578125" bestFit="1" customWidth="1"/>
    <col min="731" max="731" width="23" bestFit="1" customWidth="1"/>
    <col min="732" max="732" width="60.85546875" bestFit="1" customWidth="1"/>
    <col min="733" max="733" width="23" bestFit="1" customWidth="1"/>
    <col min="734" max="734" width="61" bestFit="1" customWidth="1"/>
    <col min="735" max="735" width="23" bestFit="1" customWidth="1"/>
    <col min="736" max="736" width="69" bestFit="1" customWidth="1"/>
    <col min="737" max="737" width="23.28515625" bestFit="1" customWidth="1"/>
    <col min="738" max="738" width="34.140625" bestFit="1" customWidth="1"/>
    <col min="739" max="739" width="22" bestFit="1" customWidth="1"/>
    <col min="740" max="740" width="28.140625" bestFit="1" customWidth="1"/>
    <col min="741" max="741" width="23" bestFit="1" customWidth="1"/>
    <col min="742" max="742" width="48" bestFit="1" customWidth="1"/>
    <col min="743" max="743" width="23" bestFit="1" customWidth="1"/>
    <col min="744" max="744" width="57.28515625" bestFit="1" customWidth="1"/>
    <col min="745" max="745" width="23" bestFit="1" customWidth="1"/>
    <col min="746" max="746" width="57.28515625" bestFit="1" customWidth="1"/>
    <col min="747" max="747" width="23" bestFit="1" customWidth="1"/>
    <col min="748" max="748" width="57.28515625" bestFit="1" customWidth="1"/>
    <col min="749" max="749" width="23" bestFit="1" customWidth="1"/>
    <col min="750" max="750" width="42.28515625" bestFit="1" customWidth="1"/>
    <col min="751" max="751" width="23" bestFit="1" customWidth="1"/>
    <col min="752" max="752" width="45.28515625" bestFit="1" customWidth="1"/>
    <col min="753" max="753" width="23" bestFit="1" customWidth="1"/>
    <col min="754" max="754" width="63.28515625" bestFit="1" customWidth="1"/>
    <col min="755" max="755" width="23" bestFit="1" customWidth="1"/>
    <col min="756" max="756" width="35.28515625" bestFit="1" customWidth="1"/>
    <col min="757" max="757" width="23" bestFit="1" customWidth="1"/>
    <col min="758" max="758" width="44.7109375" bestFit="1" customWidth="1"/>
    <col min="759" max="759" width="23" bestFit="1" customWidth="1"/>
    <col min="760" max="760" width="44.85546875" bestFit="1" customWidth="1"/>
    <col min="761" max="761" width="23" bestFit="1" customWidth="1"/>
    <col min="762" max="762" width="37.28515625" bestFit="1" customWidth="1"/>
    <col min="763" max="763" width="23" bestFit="1" customWidth="1"/>
    <col min="764" max="764" width="25.140625" bestFit="1" customWidth="1"/>
    <col min="765" max="765" width="23" bestFit="1" customWidth="1"/>
    <col min="766" max="766" width="32.28515625" bestFit="1" customWidth="1"/>
    <col min="767" max="767" width="23" bestFit="1" customWidth="1"/>
    <col min="768" max="768" width="63.7109375" bestFit="1" customWidth="1"/>
    <col min="769" max="769" width="23" bestFit="1" customWidth="1"/>
    <col min="770" max="770" width="20.5703125" bestFit="1" customWidth="1"/>
    <col min="771" max="771" width="23" bestFit="1" customWidth="1"/>
    <col min="772" max="772" width="56.5703125" bestFit="1" customWidth="1"/>
    <col min="773" max="773" width="23" bestFit="1" customWidth="1"/>
    <col min="774" max="774" width="37.140625" bestFit="1" customWidth="1"/>
    <col min="775" max="775" width="23" bestFit="1" customWidth="1"/>
    <col min="776" max="776" width="77.140625" bestFit="1" customWidth="1"/>
    <col min="777" max="777" width="23" bestFit="1" customWidth="1"/>
    <col min="778" max="778" width="61.7109375" bestFit="1" customWidth="1"/>
    <col min="779" max="779" width="23" bestFit="1" customWidth="1"/>
    <col min="780" max="780" width="41.140625" bestFit="1" customWidth="1"/>
    <col min="781" max="781" width="23" bestFit="1" customWidth="1"/>
    <col min="782" max="782" width="51.28515625" bestFit="1" customWidth="1"/>
    <col min="783" max="783" width="23" bestFit="1" customWidth="1"/>
    <col min="784" max="784" width="27.5703125" bestFit="1" customWidth="1"/>
    <col min="785" max="785" width="23" bestFit="1" customWidth="1"/>
    <col min="786" max="786" width="57.5703125" bestFit="1" customWidth="1"/>
    <col min="787" max="787" width="23" bestFit="1" customWidth="1"/>
    <col min="788" max="788" width="38.5703125" bestFit="1" customWidth="1"/>
    <col min="789" max="789" width="23" bestFit="1" customWidth="1"/>
    <col min="790" max="790" width="24" bestFit="1" customWidth="1"/>
    <col min="791" max="791" width="23" bestFit="1" customWidth="1"/>
    <col min="792" max="792" width="26.42578125" bestFit="1" customWidth="1"/>
    <col min="793" max="793" width="23" bestFit="1" customWidth="1"/>
    <col min="794" max="794" width="57.7109375" bestFit="1" customWidth="1"/>
    <col min="795" max="795" width="23" bestFit="1" customWidth="1"/>
    <col min="796" max="796" width="55.140625" bestFit="1" customWidth="1"/>
    <col min="797" max="797" width="23" bestFit="1" customWidth="1"/>
    <col min="798" max="798" width="55.7109375" bestFit="1" customWidth="1"/>
    <col min="799" max="799" width="23" bestFit="1" customWidth="1"/>
    <col min="800" max="800" width="55.5703125" bestFit="1" customWidth="1"/>
    <col min="801" max="801" width="23" bestFit="1" customWidth="1"/>
    <col min="802" max="802" width="40.28515625" bestFit="1" customWidth="1"/>
    <col min="803" max="803" width="23" bestFit="1" customWidth="1"/>
    <col min="804" max="804" width="48.28515625" bestFit="1" customWidth="1"/>
    <col min="805" max="805" width="22.85546875" bestFit="1" customWidth="1"/>
    <col min="806" max="806" width="13.140625" bestFit="1" customWidth="1"/>
    <col min="807" max="807" width="16.28515625" bestFit="1" customWidth="1"/>
    <col min="808" max="808" width="13.5703125" bestFit="1" customWidth="1"/>
    <col min="809" max="809" width="16.7109375" bestFit="1" customWidth="1"/>
    <col min="810" max="810" width="61" bestFit="1" customWidth="1"/>
    <col min="811" max="811" width="11.28515625" bestFit="1" customWidth="1"/>
    <col min="812" max="812" width="79.42578125" bestFit="1" customWidth="1"/>
    <col min="813" max="813" width="11.85546875" bestFit="1" customWidth="1"/>
    <col min="814" max="814" width="10.28515625" bestFit="1" customWidth="1"/>
  </cols>
  <sheetData>
    <row r="3" spans="1:1" x14ac:dyDescent="0.25">
      <c r="A3" s="1" t="s">
        <v>1527</v>
      </c>
    </row>
    <row r="4" spans="1:1" x14ac:dyDescent="0.25">
      <c r="A4" s="2" t="s">
        <v>0</v>
      </c>
    </row>
    <row r="5" spans="1:1" x14ac:dyDescent="0.25">
      <c r="A5" s="3" t="s">
        <v>1</v>
      </c>
    </row>
    <row r="6" spans="1:1" x14ac:dyDescent="0.25">
      <c r="A6" s="4" t="s">
        <v>3</v>
      </c>
    </row>
    <row r="7" spans="1:1" x14ac:dyDescent="0.25">
      <c r="A7" s="2" t="s">
        <v>49</v>
      </c>
    </row>
    <row r="8" spans="1:1" x14ac:dyDescent="0.25">
      <c r="A8" s="3" t="s">
        <v>50</v>
      </c>
    </row>
    <row r="9" spans="1:1" x14ac:dyDescent="0.25">
      <c r="A9" s="4" t="s">
        <v>52</v>
      </c>
    </row>
    <row r="10" spans="1:1" x14ac:dyDescent="0.25">
      <c r="A10" s="2" t="s">
        <v>55</v>
      </c>
    </row>
    <row r="11" spans="1:1" x14ac:dyDescent="0.25">
      <c r="A11" s="3" t="s">
        <v>56</v>
      </c>
    </row>
    <row r="12" spans="1:1" x14ac:dyDescent="0.25">
      <c r="A12" s="4" t="s">
        <v>57</v>
      </c>
    </row>
    <row r="13" spans="1:1" x14ac:dyDescent="0.25">
      <c r="A13" s="2" t="s">
        <v>58</v>
      </c>
    </row>
    <row r="14" spans="1:1" x14ac:dyDescent="0.25">
      <c r="A14" s="3" t="s">
        <v>59</v>
      </c>
    </row>
    <row r="15" spans="1:1" x14ac:dyDescent="0.25">
      <c r="A15" s="4" t="s">
        <v>60</v>
      </c>
    </row>
    <row r="16" spans="1:1" x14ac:dyDescent="0.25">
      <c r="A16" s="3" t="s">
        <v>63</v>
      </c>
    </row>
    <row r="17" spans="1:1" x14ac:dyDescent="0.25">
      <c r="A17" s="4" t="s">
        <v>60</v>
      </c>
    </row>
    <row r="18" spans="1:1" x14ac:dyDescent="0.25">
      <c r="A18" s="2" t="s">
        <v>64</v>
      </c>
    </row>
    <row r="19" spans="1:1" x14ac:dyDescent="0.25">
      <c r="A19" s="3" t="s">
        <v>65</v>
      </c>
    </row>
    <row r="20" spans="1:1" x14ac:dyDescent="0.25">
      <c r="A20" s="4" t="s">
        <v>66</v>
      </c>
    </row>
    <row r="21" spans="1:1" x14ac:dyDescent="0.25">
      <c r="A21" s="2" t="s">
        <v>70</v>
      </c>
    </row>
    <row r="22" spans="1:1" x14ac:dyDescent="0.25">
      <c r="A22" s="3" t="s">
        <v>71</v>
      </c>
    </row>
    <row r="23" spans="1:1" x14ac:dyDescent="0.25">
      <c r="A23" s="4" t="s">
        <v>72</v>
      </c>
    </row>
    <row r="24" spans="1:1" x14ac:dyDescent="0.25">
      <c r="A24" s="2" t="s">
        <v>81</v>
      </c>
    </row>
    <row r="25" spans="1:1" x14ac:dyDescent="0.25">
      <c r="A25" s="3" t="s">
        <v>82</v>
      </c>
    </row>
    <row r="26" spans="1:1" x14ac:dyDescent="0.25">
      <c r="A26" s="4" t="s">
        <v>83</v>
      </c>
    </row>
    <row r="27" spans="1:1" x14ac:dyDescent="0.25">
      <c r="A27" s="2" t="s">
        <v>84</v>
      </c>
    </row>
    <row r="28" spans="1:1" x14ac:dyDescent="0.25">
      <c r="A28" s="3" t="s">
        <v>85</v>
      </c>
    </row>
    <row r="29" spans="1:1" x14ac:dyDescent="0.25">
      <c r="A29" s="4" t="s">
        <v>86</v>
      </c>
    </row>
    <row r="30" spans="1:1" x14ac:dyDescent="0.25">
      <c r="A30" s="2" t="s">
        <v>88</v>
      </c>
    </row>
    <row r="31" spans="1:1" x14ac:dyDescent="0.25">
      <c r="A31" s="3" t="s">
        <v>89</v>
      </c>
    </row>
    <row r="32" spans="1:1" x14ac:dyDescent="0.25">
      <c r="A32" s="4" t="s">
        <v>90</v>
      </c>
    </row>
    <row r="33" spans="1:1" x14ac:dyDescent="0.25">
      <c r="A33" s="3" t="s">
        <v>92</v>
      </c>
    </row>
    <row r="34" spans="1:1" x14ac:dyDescent="0.25">
      <c r="A34" s="4" t="s">
        <v>93</v>
      </c>
    </row>
    <row r="35" spans="1:1" x14ac:dyDescent="0.25">
      <c r="A35" s="2" t="s">
        <v>94</v>
      </c>
    </row>
    <row r="36" spans="1:1" x14ac:dyDescent="0.25">
      <c r="A36" s="3" t="s">
        <v>95</v>
      </c>
    </row>
    <row r="37" spans="1:1" x14ac:dyDescent="0.25">
      <c r="A37" s="4" t="s">
        <v>96</v>
      </c>
    </row>
    <row r="38" spans="1:1" x14ac:dyDescent="0.25">
      <c r="A38" s="2" t="s">
        <v>5</v>
      </c>
    </row>
    <row r="39" spans="1:1" x14ac:dyDescent="0.25">
      <c r="A39" s="3" t="s">
        <v>6</v>
      </c>
    </row>
    <row r="40" spans="1:1" x14ac:dyDescent="0.25">
      <c r="A40" s="4" t="s">
        <v>7</v>
      </c>
    </row>
    <row r="41" spans="1:1" x14ac:dyDescent="0.25">
      <c r="A41" s="2" t="s">
        <v>98</v>
      </c>
    </row>
    <row r="42" spans="1:1" x14ac:dyDescent="0.25">
      <c r="A42" s="3" t="s">
        <v>99</v>
      </c>
    </row>
    <row r="43" spans="1:1" x14ac:dyDescent="0.25">
      <c r="A43" s="4" t="s">
        <v>100</v>
      </c>
    </row>
    <row r="44" spans="1:1" x14ac:dyDescent="0.25">
      <c r="A44" s="2" t="s">
        <v>102</v>
      </c>
    </row>
    <row r="45" spans="1:1" x14ac:dyDescent="0.25">
      <c r="A45" s="3" t="s">
        <v>99</v>
      </c>
    </row>
    <row r="46" spans="1:1" x14ac:dyDescent="0.25">
      <c r="A46" s="4" t="s">
        <v>103</v>
      </c>
    </row>
    <row r="47" spans="1:1" x14ac:dyDescent="0.25">
      <c r="A47" s="2" t="s">
        <v>104</v>
      </c>
    </row>
    <row r="48" spans="1:1" x14ac:dyDescent="0.25">
      <c r="A48" s="3" t="s">
        <v>99</v>
      </c>
    </row>
    <row r="49" spans="1:1" x14ac:dyDescent="0.25">
      <c r="A49" s="4" t="s">
        <v>106</v>
      </c>
    </row>
    <row r="50" spans="1:1" x14ac:dyDescent="0.25">
      <c r="A50" s="2" t="s">
        <v>107</v>
      </c>
    </row>
    <row r="51" spans="1:1" x14ac:dyDescent="0.25">
      <c r="A51" s="3" t="s">
        <v>99</v>
      </c>
    </row>
    <row r="52" spans="1:1" x14ac:dyDescent="0.25">
      <c r="A52" s="4" t="s">
        <v>108</v>
      </c>
    </row>
    <row r="53" spans="1:1" x14ac:dyDescent="0.25">
      <c r="A53" s="2" t="s">
        <v>109</v>
      </c>
    </row>
    <row r="54" spans="1:1" x14ac:dyDescent="0.25">
      <c r="A54" s="3" t="s">
        <v>110</v>
      </c>
    </row>
    <row r="55" spans="1:1" x14ac:dyDescent="0.25">
      <c r="A55" s="4" t="s">
        <v>111</v>
      </c>
    </row>
    <row r="56" spans="1:1" x14ac:dyDescent="0.25">
      <c r="A56" s="2" t="s">
        <v>113</v>
      </c>
    </row>
    <row r="57" spans="1:1" x14ac:dyDescent="0.25">
      <c r="A57" s="3" t="s">
        <v>114</v>
      </c>
    </row>
    <row r="58" spans="1:1" x14ac:dyDescent="0.25">
      <c r="A58" s="4" t="s">
        <v>115</v>
      </c>
    </row>
    <row r="59" spans="1:1" x14ac:dyDescent="0.25">
      <c r="A59" s="2" t="s">
        <v>117</v>
      </c>
    </row>
    <row r="60" spans="1:1" x14ac:dyDescent="0.25">
      <c r="A60" s="3" t="s">
        <v>118</v>
      </c>
    </row>
    <row r="61" spans="1:1" x14ac:dyDescent="0.25">
      <c r="A61" s="4" t="s">
        <v>119</v>
      </c>
    </row>
    <row r="62" spans="1:1" x14ac:dyDescent="0.25">
      <c r="A62" s="2" t="s">
        <v>121</v>
      </c>
    </row>
    <row r="63" spans="1:1" x14ac:dyDescent="0.25">
      <c r="A63" s="3" t="s">
        <v>122</v>
      </c>
    </row>
    <row r="64" spans="1:1" x14ac:dyDescent="0.25">
      <c r="A64" s="4" t="s">
        <v>123</v>
      </c>
    </row>
    <row r="65" spans="1:1" x14ac:dyDescent="0.25">
      <c r="A65" s="2" t="s">
        <v>125</v>
      </c>
    </row>
    <row r="66" spans="1:1" x14ac:dyDescent="0.25">
      <c r="A66" s="3" t="s">
        <v>126</v>
      </c>
    </row>
    <row r="67" spans="1:1" x14ac:dyDescent="0.25">
      <c r="A67" s="4" t="s">
        <v>127</v>
      </c>
    </row>
    <row r="68" spans="1:1" x14ac:dyDescent="0.25">
      <c r="A68" s="2" t="s">
        <v>129</v>
      </c>
    </row>
    <row r="69" spans="1:1" x14ac:dyDescent="0.25">
      <c r="A69" s="3" t="s">
        <v>130</v>
      </c>
    </row>
    <row r="70" spans="1:1" x14ac:dyDescent="0.25">
      <c r="A70" s="4" t="s">
        <v>131</v>
      </c>
    </row>
    <row r="71" spans="1:1" x14ac:dyDescent="0.25">
      <c r="A71" s="2" t="s">
        <v>133</v>
      </c>
    </row>
    <row r="72" spans="1:1" x14ac:dyDescent="0.25">
      <c r="A72" s="3" t="s">
        <v>134</v>
      </c>
    </row>
    <row r="73" spans="1:1" x14ac:dyDescent="0.25">
      <c r="A73" s="4" t="s">
        <v>135</v>
      </c>
    </row>
    <row r="74" spans="1:1" x14ac:dyDescent="0.25">
      <c r="A74" s="2" t="s">
        <v>138</v>
      </c>
    </row>
    <row r="75" spans="1:1" x14ac:dyDescent="0.25">
      <c r="A75" s="3" t="s">
        <v>139</v>
      </c>
    </row>
    <row r="76" spans="1:1" x14ac:dyDescent="0.25">
      <c r="A76" s="4" t="s">
        <v>140</v>
      </c>
    </row>
    <row r="77" spans="1:1" x14ac:dyDescent="0.25">
      <c r="A77" s="2" t="s">
        <v>141</v>
      </c>
    </row>
    <row r="78" spans="1:1" x14ac:dyDescent="0.25">
      <c r="A78" s="3" t="s">
        <v>142</v>
      </c>
    </row>
    <row r="79" spans="1:1" x14ac:dyDescent="0.25">
      <c r="A79" s="4" t="s">
        <v>143</v>
      </c>
    </row>
    <row r="80" spans="1:1" x14ac:dyDescent="0.25">
      <c r="A80" s="2" t="s">
        <v>11</v>
      </c>
    </row>
    <row r="81" spans="1:1" x14ac:dyDescent="0.25">
      <c r="A81" s="3" t="s">
        <v>12</v>
      </c>
    </row>
    <row r="82" spans="1:1" x14ac:dyDescent="0.25">
      <c r="A82" s="4" t="s">
        <v>14</v>
      </c>
    </row>
    <row r="83" spans="1:1" x14ac:dyDescent="0.25">
      <c r="A83" s="2" t="s">
        <v>145</v>
      </c>
    </row>
    <row r="84" spans="1:1" x14ac:dyDescent="0.25">
      <c r="A84" s="3" t="s">
        <v>146</v>
      </c>
    </row>
    <row r="85" spans="1:1" x14ac:dyDescent="0.25">
      <c r="A85" s="4" t="s">
        <v>147</v>
      </c>
    </row>
    <row r="86" spans="1:1" x14ac:dyDescent="0.25">
      <c r="A86" s="2" t="s">
        <v>148</v>
      </c>
    </row>
    <row r="87" spans="1:1" x14ac:dyDescent="0.25">
      <c r="A87" s="3" t="s">
        <v>149</v>
      </c>
    </row>
    <row r="88" spans="1:1" x14ac:dyDescent="0.25">
      <c r="A88" s="4" t="s">
        <v>151</v>
      </c>
    </row>
    <row r="89" spans="1:1" x14ac:dyDescent="0.25">
      <c r="A89" s="2" t="s">
        <v>153</v>
      </c>
    </row>
    <row r="90" spans="1:1" x14ac:dyDescent="0.25">
      <c r="A90" s="3" t="s">
        <v>154</v>
      </c>
    </row>
    <row r="91" spans="1:1" x14ac:dyDescent="0.25">
      <c r="A91" s="4" t="s">
        <v>156</v>
      </c>
    </row>
    <row r="92" spans="1:1" x14ac:dyDescent="0.25">
      <c r="A92" s="2" t="s">
        <v>158</v>
      </c>
    </row>
    <row r="93" spans="1:1" x14ac:dyDescent="0.25">
      <c r="A93" s="3" t="s">
        <v>159</v>
      </c>
    </row>
    <row r="94" spans="1:1" x14ac:dyDescent="0.25">
      <c r="A94" s="4" t="s">
        <v>160</v>
      </c>
    </row>
    <row r="95" spans="1:1" x14ac:dyDescent="0.25">
      <c r="A95" s="2" t="s">
        <v>162</v>
      </c>
    </row>
    <row r="96" spans="1:1" x14ac:dyDescent="0.25">
      <c r="A96" s="3" t="s">
        <v>163</v>
      </c>
    </row>
    <row r="97" spans="1:1" x14ac:dyDescent="0.25">
      <c r="A97" s="4" t="s">
        <v>164</v>
      </c>
    </row>
    <row r="98" spans="1:1" x14ac:dyDescent="0.25">
      <c r="A98" s="4" t="s">
        <v>167</v>
      </c>
    </row>
    <row r="99" spans="1:1" x14ac:dyDescent="0.25">
      <c r="A99" s="2" t="s">
        <v>168</v>
      </c>
    </row>
    <row r="100" spans="1:1" x14ac:dyDescent="0.25">
      <c r="A100" s="3" t="s">
        <v>169</v>
      </c>
    </row>
    <row r="101" spans="1:1" x14ac:dyDescent="0.25">
      <c r="A101" s="4" t="s">
        <v>171</v>
      </c>
    </row>
    <row r="102" spans="1:1" x14ac:dyDescent="0.25">
      <c r="A102" s="2" t="s">
        <v>174</v>
      </c>
    </row>
    <row r="103" spans="1:1" x14ac:dyDescent="0.25">
      <c r="A103" s="3" t="s">
        <v>175</v>
      </c>
    </row>
    <row r="104" spans="1:1" x14ac:dyDescent="0.25">
      <c r="A104" s="4" t="s">
        <v>176</v>
      </c>
    </row>
    <row r="105" spans="1:1" x14ac:dyDescent="0.25">
      <c r="A105" s="2" t="s">
        <v>179</v>
      </c>
    </row>
    <row r="106" spans="1:1" x14ac:dyDescent="0.25">
      <c r="A106" s="3" t="s">
        <v>180</v>
      </c>
    </row>
    <row r="107" spans="1:1" x14ac:dyDescent="0.25">
      <c r="A107" s="4" t="s">
        <v>181</v>
      </c>
    </row>
    <row r="108" spans="1:1" x14ac:dyDescent="0.25">
      <c r="A108" s="2" t="s">
        <v>183</v>
      </c>
    </row>
    <row r="109" spans="1:1" x14ac:dyDescent="0.25">
      <c r="A109" s="3" t="s">
        <v>184</v>
      </c>
    </row>
    <row r="110" spans="1:1" x14ac:dyDescent="0.25">
      <c r="A110" s="4" t="s">
        <v>185</v>
      </c>
    </row>
    <row r="111" spans="1:1" x14ac:dyDescent="0.25">
      <c r="A111" s="2" t="s">
        <v>186</v>
      </c>
    </row>
    <row r="112" spans="1:1" x14ac:dyDescent="0.25">
      <c r="A112" s="3" t="s">
        <v>187</v>
      </c>
    </row>
    <row r="113" spans="1:1" x14ac:dyDescent="0.25">
      <c r="A113" s="4" t="s">
        <v>188</v>
      </c>
    </row>
    <row r="114" spans="1:1" x14ac:dyDescent="0.25">
      <c r="A114" s="2" t="s">
        <v>18</v>
      </c>
    </row>
    <row r="115" spans="1:1" x14ac:dyDescent="0.25">
      <c r="A115" s="3" t="s">
        <v>19</v>
      </c>
    </row>
    <row r="116" spans="1:1" x14ac:dyDescent="0.25">
      <c r="A116" s="4" t="s">
        <v>24</v>
      </c>
    </row>
    <row r="117" spans="1:1" x14ac:dyDescent="0.25">
      <c r="A117" s="4" t="s">
        <v>20</v>
      </c>
    </row>
    <row r="118" spans="1:1" x14ac:dyDescent="0.25">
      <c r="A118" s="4" t="s">
        <v>26</v>
      </c>
    </row>
    <row r="119" spans="1:1" x14ac:dyDescent="0.25">
      <c r="A119" s="2" t="s">
        <v>189</v>
      </c>
    </row>
    <row r="120" spans="1:1" x14ac:dyDescent="0.25">
      <c r="A120" s="3" t="s">
        <v>190</v>
      </c>
    </row>
    <row r="121" spans="1:1" x14ac:dyDescent="0.25">
      <c r="A121" s="4" t="s">
        <v>191</v>
      </c>
    </row>
    <row r="122" spans="1:1" x14ac:dyDescent="0.25">
      <c r="A122" s="4" t="s">
        <v>192</v>
      </c>
    </row>
    <row r="123" spans="1:1" x14ac:dyDescent="0.25">
      <c r="A123" s="2" t="s">
        <v>193</v>
      </c>
    </row>
    <row r="124" spans="1:1" x14ac:dyDescent="0.25">
      <c r="A124" s="3" t="s">
        <v>194</v>
      </c>
    </row>
    <row r="125" spans="1:1" x14ac:dyDescent="0.25">
      <c r="A125" s="4" t="s">
        <v>195</v>
      </c>
    </row>
    <row r="126" spans="1:1" x14ac:dyDescent="0.25">
      <c r="A126" s="2" t="s">
        <v>197</v>
      </c>
    </row>
    <row r="127" spans="1:1" x14ac:dyDescent="0.25">
      <c r="A127" s="3" t="s">
        <v>198</v>
      </c>
    </row>
    <row r="128" spans="1:1" x14ac:dyDescent="0.25">
      <c r="A128" s="4" t="s">
        <v>199</v>
      </c>
    </row>
    <row r="129" spans="1:1" x14ac:dyDescent="0.25">
      <c r="A129" s="2" t="s">
        <v>200</v>
      </c>
    </row>
    <row r="130" spans="1:1" x14ac:dyDescent="0.25">
      <c r="A130" s="3" t="s">
        <v>201</v>
      </c>
    </row>
    <row r="131" spans="1:1" x14ac:dyDescent="0.25">
      <c r="A131" s="4" t="s">
        <v>203</v>
      </c>
    </row>
    <row r="132" spans="1:1" x14ac:dyDescent="0.25">
      <c r="A132" s="2" t="s">
        <v>206</v>
      </c>
    </row>
    <row r="133" spans="1:1" x14ac:dyDescent="0.25">
      <c r="A133" s="3" t="s">
        <v>207</v>
      </c>
    </row>
    <row r="134" spans="1:1" x14ac:dyDescent="0.25">
      <c r="A134" s="4" t="s">
        <v>208</v>
      </c>
    </row>
    <row r="135" spans="1:1" x14ac:dyDescent="0.25">
      <c r="A135" s="2" t="s">
        <v>210</v>
      </c>
    </row>
    <row r="136" spans="1:1" x14ac:dyDescent="0.25">
      <c r="A136" s="3" t="s">
        <v>211</v>
      </c>
    </row>
    <row r="137" spans="1:1" x14ac:dyDescent="0.25">
      <c r="A137" s="4" t="s">
        <v>212</v>
      </c>
    </row>
    <row r="138" spans="1:1" x14ac:dyDescent="0.25">
      <c r="A138" s="2" t="s">
        <v>214</v>
      </c>
    </row>
    <row r="139" spans="1:1" x14ac:dyDescent="0.25">
      <c r="A139" s="3" t="s">
        <v>215</v>
      </c>
    </row>
    <row r="140" spans="1:1" x14ac:dyDescent="0.25">
      <c r="A140" s="4" t="s">
        <v>216</v>
      </c>
    </row>
    <row r="141" spans="1:1" x14ac:dyDescent="0.25">
      <c r="A141" s="2" t="s">
        <v>218</v>
      </c>
    </row>
    <row r="142" spans="1:1" x14ac:dyDescent="0.25">
      <c r="A142" s="3" t="s">
        <v>219</v>
      </c>
    </row>
    <row r="143" spans="1:1" x14ac:dyDescent="0.25">
      <c r="A143" s="4" t="s">
        <v>220</v>
      </c>
    </row>
    <row r="144" spans="1:1" x14ac:dyDescent="0.25">
      <c r="A144" s="2" t="s">
        <v>221</v>
      </c>
    </row>
    <row r="145" spans="1:1" x14ac:dyDescent="0.25">
      <c r="A145" s="3" t="s">
        <v>222</v>
      </c>
    </row>
    <row r="146" spans="1:1" x14ac:dyDescent="0.25">
      <c r="A146" s="4" t="s">
        <v>223</v>
      </c>
    </row>
    <row r="147" spans="1:1" x14ac:dyDescent="0.25">
      <c r="A147" s="2" t="s">
        <v>225</v>
      </c>
    </row>
    <row r="148" spans="1:1" x14ac:dyDescent="0.25">
      <c r="A148" s="3" t="s">
        <v>226</v>
      </c>
    </row>
    <row r="149" spans="1:1" x14ac:dyDescent="0.25">
      <c r="A149" s="4" t="s">
        <v>227</v>
      </c>
    </row>
    <row r="150" spans="1:1" x14ac:dyDescent="0.25">
      <c r="A150" s="2" t="s">
        <v>28</v>
      </c>
    </row>
    <row r="151" spans="1:1" x14ac:dyDescent="0.25">
      <c r="A151" s="3" t="s">
        <v>29</v>
      </c>
    </row>
    <row r="152" spans="1:1" x14ac:dyDescent="0.25">
      <c r="A152" s="4" t="s">
        <v>30</v>
      </c>
    </row>
    <row r="153" spans="1:1" x14ac:dyDescent="0.25">
      <c r="A153" s="2" t="s">
        <v>228</v>
      </c>
    </row>
    <row r="154" spans="1:1" x14ac:dyDescent="0.25">
      <c r="A154" s="3" t="s">
        <v>229</v>
      </c>
    </row>
    <row r="155" spans="1:1" x14ac:dyDescent="0.25">
      <c r="A155" s="4" t="s">
        <v>230</v>
      </c>
    </row>
    <row r="156" spans="1:1" x14ac:dyDescent="0.25">
      <c r="A156" s="2" t="s">
        <v>232</v>
      </c>
    </row>
    <row r="157" spans="1:1" x14ac:dyDescent="0.25">
      <c r="A157" s="3" t="s">
        <v>233</v>
      </c>
    </row>
    <row r="158" spans="1:1" x14ac:dyDescent="0.25">
      <c r="A158" s="4" t="s">
        <v>234</v>
      </c>
    </row>
    <row r="159" spans="1:1" x14ac:dyDescent="0.25">
      <c r="A159" s="2" t="s">
        <v>236</v>
      </c>
    </row>
    <row r="160" spans="1:1" x14ac:dyDescent="0.25">
      <c r="A160" s="3" t="s">
        <v>237</v>
      </c>
    </row>
    <row r="161" spans="1:1" x14ac:dyDescent="0.25">
      <c r="A161" s="4" t="s">
        <v>239</v>
      </c>
    </row>
    <row r="162" spans="1:1" x14ac:dyDescent="0.25">
      <c r="A162" s="2" t="s">
        <v>242</v>
      </c>
    </row>
    <row r="163" spans="1:1" x14ac:dyDescent="0.25">
      <c r="A163" s="3" t="s">
        <v>243</v>
      </c>
    </row>
    <row r="164" spans="1:1" x14ac:dyDescent="0.25">
      <c r="A164" s="4" t="s">
        <v>244</v>
      </c>
    </row>
    <row r="165" spans="1:1" x14ac:dyDescent="0.25">
      <c r="A165" s="2" t="s">
        <v>246</v>
      </c>
    </row>
    <row r="166" spans="1:1" x14ac:dyDescent="0.25">
      <c r="A166" s="3" t="s">
        <v>247</v>
      </c>
    </row>
    <row r="167" spans="1:1" x14ac:dyDescent="0.25">
      <c r="A167" s="4" t="s">
        <v>249</v>
      </c>
    </row>
    <row r="168" spans="1:1" x14ac:dyDescent="0.25">
      <c r="A168" s="2" t="s">
        <v>251</v>
      </c>
    </row>
    <row r="169" spans="1:1" x14ac:dyDescent="0.25">
      <c r="A169" s="3" t="s">
        <v>252</v>
      </c>
    </row>
    <row r="170" spans="1:1" x14ac:dyDescent="0.25">
      <c r="A170" s="4" t="s">
        <v>253</v>
      </c>
    </row>
    <row r="171" spans="1:1" x14ac:dyDescent="0.25">
      <c r="A171" s="2" t="s">
        <v>254</v>
      </c>
    </row>
    <row r="172" spans="1:1" x14ac:dyDescent="0.25">
      <c r="A172" s="3" t="s">
        <v>255</v>
      </c>
    </row>
    <row r="173" spans="1:1" x14ac:dyDescent="0.25">
      <c r="A173" s="4" t="s">
        <v>256</v>
      </c>
    </row>
    <row r="174" spans="1:1" x14ac:dyDescent="0.25">
      <c r="A174" s="2" t="s">
        <v>257</v>
      </c>
    </row>
    <row r="175" spans="1:1" x14ac:dyDescent="0.25">
      <c r="A175" s="3" t="s">
        <v>258</v>
      </c>
    </row>
    <row r="176" spans="1:1" x14ac:dyDescent="0.25">
      <c r="A176" s="4" t="s">
        <v>260</v>
      </c>
    </row>
    <row r="177" spans="1:1" x14ac:dyDescent="0.25">
      <c r="A177" s="2" t="s">
        <v>262</v>
      </c>
    </row>
    <row r="178" spans="1:1" x14ac:dyDescent="0.25">
      <c r="A178" s="3" t="s">
        <v>263</v>
      </c>
    </row>
    <row r="179" spans="1:1" x14ac:dyDescent="0.25">
      <c r="A179" s="4" t="s">
        <v>265</v>
      </c>
    </row>
    <row r="180" spans="1:1" x14ac:dyDescent="0.25">
      <c r="A180" s="2" t="s">
        <v>266</v>
      </c>
    </row>
    <row r="181" spans="1:1" x14ac:dyDescent="0.25">
      <c r="A181" s="3" t="s">
        <v>267</v>
      </c>
    </row>
    <row r="182" spans="1:1" x14ac:dyDescent="0.25">
      <c r="A182" s="4" t="s">
        <v>268</v>
      </c>
    </row>
    <row r="183" spans="1:1" x14ac:dyDescent="0.25">
      <c r="A183" s="2" t="s">
        <v>32</v>
      </c>
    </row>
    <row r="184" spans="1:1" x14ac:dyDescent="0.25">
      <c r="A184" s="3" t="s">
        <v>34</v>
      </c>
    </row>
    <row r="185" spans="1:1" x14ac:dyDescent="0.25">
      <c r="A185" s="4" t="s">
        <v>35</v>
      </c>
    </row>
    <row r="186" spans="1:1" x14ac:dyDescent="0.25">
      <c r="A186" s="2" t="s">
        <v>270</v>
      </c>
    </row>
    <row r="187" spans="1:1" x14ac:dyDescent="0.25">
      <c r="A187" s="3" t="s">
        <v>271</v>
      </c>
    </row>
    <row r="188" spans="1:1" x14ac:dyDescent="0.25">
      <c r="A188" s="4" t="s">
        <v>272</v>
      </c>
    </row>
    <row r="189" spans="1:1" x14ac:dyDescent="0.25">
      <c r="A189" s="2" t="s">
        <v>274</v>
      </c>
    </row>
    <row r="190" spans="1:1" x14ac:dyDescent="0.25">
      <c r="A190" s="3" t="s">
        <v>275</v>
      </c>
    </row>
    <row r="191" spans="1:1" x14ac:dyDescent="0.25">
      <c r="A191" s="4" t="s">
        <v>276</v>
      </c>
    </row>
    <row r="192" spans="1:1" x14ac:dyDescent="0.25">
      <c r="A192" s="2" t="s">
        <v>278</v>
      </c>
    </row>
    <row r="193" spans="1:1" x14ac:dyDescent="0.25">
      <c r="A193" s="3" t="s">
        <v>279</v>
      </c>
    </row>
    <row r="194" spans="1:1" x14ac:dyDescent="0.25">
      <c r="A194" s="4" t="s">
        <v>281</v>
      </c>
    </row>
    <row r="195" spans="1:1" x14ac:dyDescent="0.25">
      <c r="A195" s="2" t="s">
        <v>283</v>
      </c>
    </row>
    <row r="196" spans="1:1" x14ac:dyDescent="0.25">
      <c r="A196" s="3" t="s">
        <v>284</v>
      </c>
    </row>
    <row r="197" spans="1:1" x14ac:dyDescent="0.25">
      <c r="A197" s="4" t="s">
        <v>285</v>
      </c>
    </row>
    <row r="198" spans="1:1" x14ac:dyDescent="0.25">
      <c r="A198" s="2" t="s">
        <v>286</v>
      </c>
    </row>
    <row r="199" spans="1:1" x14ac:dyDescent="0.25">
      <c r="A199" s="3" t="s">
        <v>287</v>
      </c>
    </row>
    <row r="200" spans="1:1" x14ac:dyDescent="0.25">
      <c r="A200" s="4" t="s">
        <v>288</v>
      </c>
    </row>
    <row r="201" spans="1:1" x14ac:dyDescent="0.25">
      <c r="A201" s="2" t="s">
        <v>289</v>
      </c>
    </row>
    <row r="202" spans="1:1" x14ac:dyDescent="0.25">
      <c r="A202" s="3" t="s">
        <v>290</v>
      </c>
    </row>
    <row r="203" spans="1:1" x14ac:dyDescent="0.25">
      <c r="A203" s="4" t="s">
        <v>292</v>
      </c>
    </row>
    <row r="204" spans="1:1" x14ac:dyDescent="0.25">
      <c r="A204" s="2" t="s">
        <v>294</v>
      </c>
    </row>
    <row r="205" spans="1:1" x14ac:dyDescent="0.25">
      <c r="A205" s="3" t="s">
        <v>295</v>
      </c>
    </row>
    <row r="206" spans="1:1" x14ac:dyDescent="0.25">
      <c r="A206" s="4" t="s">
        <v>296</v>
      </c>
    </row>
    <row r="207" spans="1:1" x14ac:dyDescent="0.25">
      <c r="A207" s="2" t="s">
        <v>297</v>
      </c>
    </row>
    <row r="208" spans="1:1" x14ac:dyDescent="0.25">
      <c r="A208" s="3" t="s">
        <v>298</v>
      </c>
    </row>
    <row r="209" spans="1:1" x14ac:dyDescent="0.25">
      <c r="A209" s="4" t="s">
        <v>299</v>
      </c>
    </row>
    <row r="210" spans="1:1" x14ac:dyDescent="0.25">
      <c r="A210" s="2" t="s">
        <v>301</v>
      </c>
    </row>
    <row r="211" spans="1:1" x14ac:dyDescent="0.25">
      <c r="A211" s="3" t="s">
        <v>302</v>
      </c>
    </row>
    <row r="212" spans="1:1" x14ac:dyDescent="0.25">
      <c r="A212" s="4" t="s">
        <v>304</v>
      </c>
    </row>
    <row r="213" spans="1:1" x14ac:dyDescent="0.25">
      <c r="A213" s="2" t="s">
        <v>305</v>
      </c>
    </row>
    <row r="214" spans="1:1" x14ac:dyDescent="0.25">
      <c r="A214" s="3" t="s">
        <v>306</v>
      </c>
    </row>
    <row r="215" spans="1:1" x14ac:dyDescent="0.25">
      <c r="A215" s="4" t="s">
        <v>307</v>
      </c>
    </row>
    <row r="216" spans="1:1" x14ac:dyDescent="0.25">
      <c r="A216" s="2" t="s">
        <v>37</v>
      </c>
    </row>
    <row r="217" spans="1:1" x14ac:dyDescent="0.25">
      <c r="A217" s="3" t="s">
        <v>38</v>
      </c>
    </row>
    <row r="218" spans="1:1" x14ac:dyDescent="0.25">
      <c r="A218" s="4" t="s">
        <v>40</v>
      </c>
    </row>
    <row r="219" spans="1:1" x14ac:dyDescent="0.25">
      <c r="A219" s="2" t="s">
        <v>308</v>
      </c>
    </row>
    <row r="220" spans="1:1" x14ac:dyDescent="0.25">
      <c r="A220" s="3" t="s">
        <v>309</v>
      </c>
    </row>
    <row r="221" spans="1:1" x14ac:dyDescent="0.25">
      <c r="A221" s="4" t="s">
        <v>311</v>
      </c>
    </row>
    <row r="222" spans="1:1" x14ac:dyDescent="0.25">
      <c r="A222" s="2" t="s">
        <v>312</v>
      </c>
    </row>
    <row r="223" spans="1:1" x14ac:dyDescent="0.25">
      <c r="A223" s="3" t="s">
        <v>313</v>
      </c>
    </row>
    <row r="224" spans="1:1" x14ac:dyDescent="0.25">
      <c r="A224" s="4" t="s">
        <v>315</v>
      </c>
    </row>
    <row r="225" spans="1:1" x14ac:dyDescent="0.25">
      <c r="A225" s="2" t="s">
        <v>317</v>
      </c>
    </row>
    <row r="226" spans="1:1" x14ac:dyDescent="0.25">
      <c r="A226" s="3" t="s">
        <v>318</v>
      </c>
    </row>
    <row r="227" spans="1:1" x14ac:dyDescent="0.25">
      <c r="A227" s="4" t="s">
        <v>319</v>
      </c>
    </row>
    <row r="228" spans="1:1" x14ac:dyDescent="0.25">
      <c r="A228" s="2" t="s">
        <v>321</v>
      </c>
    </row>
    <row r="229" spans="1:1" x14ac:dyDescent="0.25">
      <c r="A229" s="3" t="s">
        <v>322</v>
      </c>
    </row>
    <row r="230" spans="1:1" x14ac:dyDescent="0.25">
      <c r="A230" s="4" t="s">
        <v>324</v>
      </c>
    </row>
    <row r="231" spans="1:1" x14ac:dyDescent="0.25">
      <c r="A231" s="2" t="s">
        <v>326</v>
      </c>
    </row>
    <row r="232" spans="1:1" x14ac:dyDescent="0.25">
      <c r="A232" s="3" t="s">
        <v>327</v>
      </c>
    </row>
    <row r="233" spans="1:1" x14ac:dyDescent="0.25">
      <c r="A233" s="4" t="s">
        <v>329</v>
      </c>
    </row>
    <row r="234" spans="1:1" x14ac:dyDescent="0.25">
      <c r="A234" s="2" t="s">
        <v>331</v>
      </c>
    </row>
    <row r="235" spans="1:1" x14ac:dyDescent="0.25">
      <c r="A235" s="3" t="s">
        <v>332</v>
      </c>
    </row>
    <row r="236" spans="1:1" x14ac:dyDescent="0.25">
      <c r="A236" s="4" t="s">
        <v>334</v>
      </c>
    </row>
    <row r="237" spans="1:1" x14ac:dyDescent="0.25">
      <c r="A237" s="2" t="s">
        <v>336</v>
      </c>
    </row>
    <row r="238" spans="1:1" x14ac:dyDescent="0.25">
      <c r="A238" s="3" t="s">
        <v>337</v>
      </c>
    </row>
    <row r="239" spans="1:1" x14ac:dyDescent="0.25">
      <c r="A239" s="4" t="s">
        <v>339</v>
      </c>
    </row>
    <row r="240" spans="1:1" x14ac:dyDescent="0.25">
      <c r="A240" s="2" t="s">
        <v>341</v>
      </c>
    </row>
    <row r="241" spans="1:1" x14ac:dyDescent="0.25">
      <c r="A241" s="3" t="s">
        <v>342</v>
      </c>
    </row>
    <row r="242" spans="1:1" x14ac:dyDescent="0.25">
      <c r="A242" s="4" t="s">
        <v>343</v>
      </c>
    </row>
    <row r="243" spans="1:1" x14ac:dyDescent="0.25">
      <c r="A243" s="2" t="s">
        <v>344</v>
      </c>
    </row>
    <row r="244" spans="1:1" x14ac:dyDescent="0.25">
      <c r="A244" s="3" t="s">
        <v>345</v>
      </c>
    </row>
    <row r="245" spans="1:1" x14ac:dyDescent="0.25">
      <c r="A245" s="4" t="s">
        <v>346</v>
      </c>
    </row>
    <row r="246" spans="1:1" x14ac:dyDescent="0.25">
      <c r="A246" s="2" t="s">
        <v>347</v>
      </c>
    </row>
    <row r="247" spans="1:1" x14ac:dyDescent="0.25">
      <c r="A247" s="3" t="s">
        <v>348</v>
      </c>
    </row>
    <row r="248" spans="1:1" x14ac:dyDescent="0.25">
      <c r="A248" s="4" t="s">
        <v>349</v>
      </c>
    </row>
    <row r="249" spans="1:1" x14ac:dyDescent="0.25">
      <c r="A249" s="2" t="s">
        <v>41</v>
      </c>
    </row>
    <row r="250" spans="1:1" x14ac:dyDescent="0.25">
      <c r="A250" s="3" t="s">
        <v>42</v>
      </c>
    </row>
    <row r="251" spans="1:1" x14ac:dyDescent="0.25">
      <c r="A251" s="4" t="s">
        <v>43</v>
      </c>
    </row>
    <row r="252" spans="1:1" x14ac:dyDescent="0.25">
      <c r="A252" s="2" t="s">
        <v>351</v>
      </c>
    </row>
    <row r="253" spans="1:1" x14ac:dyDescent="0.25">
      <c r="A253" s="3" t="s">
        <v>352</v>
      </c>
    </row>
    <row r="254" spans="1:1" x14ac:dyDescent="0.25">
      <c r="A254" s="4" t="s">
        <v>353</v>
      </c>
    </row>
    <row r="255" spans="1:1" x14ac:dyDescent="0.25">
      <c r="A255" s="2" t="s">
        <v>355</v>
      </c>
    </row>
    <row r="256" spans="1:1" x14ac:dyDescent="0.25">
      <c r="A256" s="3" t="s">
        <v>356</v>
      </c>
    </row>
    <row r="257" spans="1:1" x14ac:dyDescent="0.25">
      <c r="A257" s="4" t="s">
        <v>358</v>
      </c>
    </row>
    <row r="258" spans="1:1" x14ac:dyDescent="0.25">
      <c r="A258" s="2" t="s">
        <v>360</v>
      </c>
    </row>
    <row r="259" spans="1:1" x14ac:dyDescent="0.25">
      <c r="A259" s="3" t="s">
        <v>361</v>
      </c>
    </row>
    <row r="260" spans="1:1" x14ac:dyDescent="0.25">
      <c r="A260" s="4" t="s">
        <v>362</v>
      </c>
    </row>
    <row r="261" spans="1:1" x14ac:dyDescent="0.25">
      <c r="A261" s="2" t="s">
        <v>363</v>
      </c>
    </row>
    <row r="262" spans="1:1" x14ac:dyDescent="0.25">
      <c r="A262" s="3" t="s">
        <v>364</v>
      </c>
    </row>
    <row r="263" spans="1:1" x14ac:dyDescent="0.25">
      <c r="A263" s="4" t="s">
        <v>365</v>
      </c>
    </row>
    <row r="264" spans="1:1" x14ac:dyDescent="0.25">
      <c r="A264" s="2" t="s">
        <v>367</v>
      </c>
    </row>
    <row r="265" spans="1:1" x14ac:dyDescent="0.25">
      <c r="A265" s="3" t="s">
        <v>368</v>
      </c>
    </row>
    <row r="266" spans="1:1" x14ac:dyDescent="0.25">
      <c r="A266" s="4" t="s">
        <v>370</v>
      </c>
    </row>
    <row r="267" spans="1:1" x14ac:dyDescent="0.25">
      <c r="A267" s="2" t="s">
        <v>372</v>
      </c>
    </row>
    <row r="268" spans="1:1" x14ac:dyDescent="0.25">
      <c r="A268" s="3" t="s">
        <v>373</v>
      </c>
    </row>
    <row r="269" spans="1:1" x14ac:dyDescent="0.25">
      <c r="A269" s="4" t="s">
        <v>374</v>
      </c>
    </row>
    <row r="270" spans="1:1" x14ac:dyDescent="0.25">
      <c r="A270" s="2" t="s">
        <v>375</v>
      </c>
    </row>
    <row r="271" spans="1:1" x14ac:dyDescent="0.25">
      <c r="A271" s="3" t="s">
        <v>376</v>
      </c>
    </row>
    <row r="272" spans="1:1" x14ac:dyDescent="0.25">
      <c r="A272" s="4" t="s">
        <v>378</v>
      </c>
    </row>
    <row r="273" spans="1:1" x14ac:dyDescent="0.25">
      <c r="A273" s="2" t="s">
        <v>380</v>
      </c>
    </row>
    <row r="274" spans="1:1" x14ac:dyDescent="0.25">
      <c r="A274" s="3" t="s">
        <v>381</v>
      </c>
    </row>
    <row r="275" spans="1:1" x14ac:dyDescent="0.25">
      <c r="A275" s="4" t="s">
        <v>383</v>
      </c>
    </row>
    <row r="276" spans="1:1" x14ac:dyDescent="0.25">
      <c r="A276" s="2" t="s">
        <v>384</v>
      </c>
    </row>
    <row r="277" spans="1:1" x14ac:dyDescent="0.25">
      <c r="A277" s="3" t="s">
        <v>385</v>
      </c>
    </row>
    <row r="278" spans="1:1" x14ac:dyDescent="0.25">
      <c r="A278" s="4" t="s">
        <v>387</v>
      </c>
    </row>
    <row r="279" spans="1:1" x14ac:dyDescent="0.25">
      <c r="A279" s="2" t="s">
        <v>389</v>
      </c>
    </row>
    <row r="280" spans="1:1" x14ac:dyDescent="0.25">
      <c r="A280" s="3" t="s">
        <v>390</v>
      </c>
    </row>
    <row r="281" spans="1:1" x14ac:dyDescent="0.25">
      <c r="A281" s="4" t="s">
        <v>391</v>
      </c>
    </row>
    <row r="282" spans="1:1" x14ac:dyDescent="0.25">
      <c r="A282" s="2" t="s">
        <v>45</v>
      </c>
    </row>
    <row r="283" spans="1:1" x14ac:dyDescent="0.25">
      <c r="A283" s="3" t="s">
        <v>46</v>
      </c>
    </row>
    <row r="284" spans="1:1" x14ac:dyDescent="0.25">
      <c r="A284" s="4" t="s">
        <v>47</v>
      </c>
    </row>
    <row r="285" spans="1:1" x14ac:dyDescent="0.25">
      <c r="A285" s="2" t="s">
        <v>392</v>
      </c>
    </row>
    <row r="286" spans="1:1" x14ac:dyDescent="0.25">
      <c r="A286" s="3" t="s">
        <v>393</v>
      </c>
    </row>
    <row r="287" spans="1:1" x14ac:dyDescent="0.25">
      <c r="A287" s="4" t="s">
        <v>395</v>
      </c>
    </row>
    <row r="288" spans="1:1" x14ac:dyDescent="0.25">
      <c r="A288" s="2" t="s">
        <v>396</v>
      </c>
    </row>
    <row r="289" spans="1:1" x14ac:dyDescent="0.25">
      <c r="A289" s="3" t="s">
        <v>397</v>
      </c>
    </row>
    <row r="290" spans="1:1" x14ac:dyDescent="0.25">
      <c r="A290" s="4" t="s">
        <v>398</v>
      </c>
    </row>
    <row r="291" spans="1:1" x14ac:dyDescent="0.25">
      <c r="A291" s="2" t="s">
        <v>400</v>
      </c>
    </row>
    <row r="292" spans="1:1" x14ac:dyDescent="0.25">
      <c r="A292" s="3" t="s">
        <v>401</v>
      </c>
    </row>
    <row r="293" spans="1:1" x14ac:dyDescent="0.25">
      <c r="A293" s="4" t="s">
        <v>402</v>
      </c>
    </row>
    <row r="294" spans="1:1" x14ac:dyDescent="0.25">
      <c r="A294" s="2" t="s">
        <v>415</v>
      </c>
    </row>
    <row r="295" spans="1:1" x14ac:dyDescent="0.25">
      <c r="A295" s="3" t="s">
        <v>416</v>
      </c>
    </row>
    <row r="296" spans="1:1" x14ac:dyDescent="0.25">
      <c r="A296" s="4" t="s">
        <v>418</v>
      </c>
    </row>
    <row r="297" spans="1:1" x14ac:dyDescent="0.25">
      <c r="A297" s="2" t="s">
        <v>419</v>
      </c>
    </row>
    <row r="298" spans="1:1" x14ac:dyDescent="0.25">
      <c r="A298" s="3" t="s">
        <v>420</v>
      </c>
    </row>
    <row r="299" spans="1:1" x14ac:dyDescent="0.25">
      <c r="A299" s="4" t="s">
        <v>422</v>
      </c>
    </row>
    <row r="300" spans="1:1" x14ac:dyDescent="0.25">
      <c r="A300" s="2" t="s">
        <v>423</v>
      </c>
    </row>
    <row r="301" spans="1:1" x14ac:dyDescent="0.25">
      <c r="A301" s="3" t="s">
        <v>424</v>
      </c>
    </row>
    <row r="302" spans="1:1" x14ac:dyDescent="0.25">
      <c r="A302" s="4" t="s">
        <v>425</v>
      </c>
    </row>
    <row r="303" spans="1:1" x14ac:dyDescent="0.25">
      <c r="A303" s="2" t="s">
        <v>426</v>
      </c>
    </row>
    <row r="304" spans="1:1" x14ac:dyDescent="0.25">
      <c r="A304" s="3" t="s">
        <v>427</v>
      </c>
    </row>
    <row r="305" spans="1:1" x14ac:dyDescent="0.25">
      <c r="A305" s="4" t="s">
        <v>428</v>
      </c>
    </row>
    <row r="306" spans="1:1" x14ac:dyDescent="0.25">
      <c r="A306" s="2" t="s">
        <v>429</v>
      </c>
    </row>
    <row r="307" spans="1:1" x14ac:dyDescent="0.25">
      <c r="A307" s="3" t="s">
        <v>430</v>
      </c>
    </row>
    <row r="308" spans="1:1" x14ac:dyDescent="0.25">
      <c r="A308" s="4" t="s">
        <v>432</v>
      </c>
    </row>
    <row r="309" spans="1:1" x14ac:dyDescent="0.25">
      <c r="A309" s="2" t="s">
        <v>434</v>
      </c>
    </row>
    <row r="310" spans="1:1" x14ac:dyDescent="0.25">
      <c r="A310" s="3" t="s">
        <v>435</v>
      </c>
    </row>
    <row r="311" spans="1:1" x14ac:dyDescent="0.25">
      <c r="A311" s="4" t="s">
        <v>436</v>
      </c>
    </row>
    <row r="312" spans="1:1" x14ac:dyDescent="0.25">
      <c r="A312" s="2" t="s">
        <v>437</v>
      </c>
    </row>
    <row r="313" spans="1:1" x14ac:dyDescent="0.25">
      <c r="A313" s="3" t="s">
        <v>438</v>
      </c>
    </row>
    <row r="314" spans="1:1" x14ac:dyDescent="0.25">
      <c r="A314" s="4" t="s">
        <v>440</v>
      </c>
    </row>
    <row r="315" spans="1:1" x14ac:dyDescent="0.25">
      <c r="A315" s="2" t="s">
        <v>442</v>
      </c>
    </row>
    <row r="316" spans="1:1" x14ac:dyDescent="0.25">
      <c r="A316" s="3" t="s">
        <v>443</v>
      </c>
    </row>
    <row r="317" spans="1:1" x14ac:dyDescent="0.25">
      <c r="A317" s="4" t="s">
        <v>444</v>
      </c>
    </row>
    <row r="318" spans="1:1" x14ac:dyDescent="0.25">
      <c r="A318" s="2" t="s">
        <v>446</v>
      </c>
    </row>
    <row r="319" spans="1:1" x14ac:dyDescent="0.25">
      <c r="A319" s="3" t="s">
        <v>447</v>
      </c>
    </row>
    <row r="320" spans="1:1" x14ac:dyDescent="0.25">
      <c r="A320" s="4" t="s">
        <v>449</v>
      </c>
    </row>
    <row r="321" spans="1:1" x14ac:dyDescent="0.25">
      <c r="A321" s="2" t="s">
        <v>455</v>
      </c>
    </row>
    <row r="322" spans="1:1" x14ac:dyDescent="0.25">
      <c r="A322" s="3" t="s">
        <v>451</v>
      </c>
    </row>
    <row r="323" spans="1:1" x14ac:dyDescent="0.25">
      <c r="A323" s="4" t="s">
        <v>457</v>
      </c>
    </row>
    <row r="324" spans="1:1" x14ac:dyDescent="0.25">
      <c r="A324" s="2" t="s">
        <v>450</v>
      </c>
    </row>
    <row r="325" spans="1:1" x14ac:dyDescent="0.25">
      <c r="A325" s="3" t="s">
        <v>451</v>
      </c>
    </row>
    <row r="326" spans="1:1" x14ac:dyDescent="0.25">
      <c r="A326" s="4" t="s">
        <v>453</v>
      </c>
    </row>
    <row r="327" spans="1:1" x14ac:dyDescent="0.25">
      <c r="A327" s="2" t="s">
        <v>458</v>
      </c>
    </row>
    <row r="328" spans="1:1" x14ac:dyDescent="0.25">
      <c r="A328" s="3" t="s">
        <v>459</v>
      </c>
    </row>
    <row r="329" spans="1:1" x14ac:dyDescent="0.25">
      <c r="A329" s="4" t="s">
        <v>461</v>
      </c>
    </row>
    <row r="330" spans="1:1" x14ac:dyDescent="0.25">
      <c r="A330" s="2" t="s">
        <v>462</v>
      </c>
    </row>
    <row r="331" spans="1:1" x14ac:dyDescent="0.25">
      <c r="A331" s="3" t="s">
        <v>463</v>
      </c>
    </row>
    <row r="332" spans="1:1" x14ac:dyDescent="0.25">
      <c r="A332" s="4" t="s">
        <v>465</v>
      </c>
    </row>
    <row r="333" spans="1:1" x14ac:dyDescent="0.25">
      <c r="A333" s="2" t="s">
        <v>467</v>
      </c>
    </row>
    <row r="334" spans="1:1" x14ac:dyDescent="0.25">
      <c r="A334" s="3" t="s">
        <v>463</v>
      </c>
    </row>
    <row r="335" spans="1:1" x14ac:dyDescent="0.25">
      <c r="A335" s="4" t="s">
        <v>465</v>
      </c>
    </row>
    <row r="336" spans="1:1" x14ac:dyDescent="0.25">
      <c r="A336" s="2" t="s">
        <v>469</v>
      </c>
    </row>
    <row r="337" spans="1:1" x14ac:dyDescent="0.25">
      <c r="A337" s="3" t="s">
        <v>470</v>
      </c>
    </row>
    <row r="338" spans="1:1" x14ac:dyDescent="0.25">
      <c r="A338" s="4" t="s">
        <v>471</v>
      </c>
    </row>
    <row r="339" spans="1:1" x14ac:dyDescent="0.25">
      <c r="A339" s="2" t="s">
        <v>472</v>
      </c>
    </row>
    <row r="340" spans="1:1" x14ac:dyDescent="0.25">
      <c r="A340" s="3" t="s">
        <v>473</v>
      </c>
    </row>
    <row r="341" spans="1:1" x14ac:dyDescent="0.25">
      <c r="A341" s="4" t="s">
        <v>474</v>
      </c>
    </row>
    <row r="342" spans="1:1" x14ac:dyDescent="0.25">
      <c r="A342" s="2" t="s">
        <v>476</v>
      </c>
    </row>
    <row r="343" spans="1:1" x14ac:dyDescent="0.25">
      <c r="A343" s="3" t="s">
        <v>477</v>
      </c>
    </row>
    <row r="344" spans="1:1" x14ac:dyDescent="0.25">
      <c r="A344" s="4" t="s">
        <v>478</v>
      </c>
    </row>
    <row r="345" spans="1:1" x14ac:dyDescent="0.25">
      <c r="A345" s="2" t="s">
        <v>480</v>
      </c>
    </row>
    <row r="346" spans="1:1" x14ac:dyDescent="0.25">
      <c r="A346" s="3" t="s">
        <v>481</v>
      </c>
    </row>
    <row r="347" spans="1:1" x14ac:dyDescent="0.25">
      <c r="A347" s="4" t="s">
        <v>482</v>
      </c>
    </row>
    <row r="348" spans="1:1" x14ac:dyDescent="0.25">
      <c r="A348" s="2" t="s">
        <v>483</v>
      </c>
    </row>
    <row r="349" spans="1:1" x14ac:dyDescent="0.25">
      <c r="A349" s="3" t="s">
        <v>484</v>
      </c>
    </row>
    <row r="350" spans="1:1" x14ac:dyDescent="0.25">
      <c r="A350" s="4" t="s">
        <v>485</v>
      </c>
    </row>
    <row r="351" spans="1:1" x14ac:dyDescent="0.25">
      <c r="A351" s="2" t="s">
        <v>486</v>
      </c>
    </row>
    <row r="352" spans="1:1" x14ac:dyDescent="0.25">
      <c r="A352" s="3" t="s">
        <v>487</v>
      </c>
    </row>
    <row r="353" spans="1:1" x14ac:dyDescent="0.25">
      <c r="A353" s="4" t="s">
        <v>488</v>
      </c>
    </row>
    <row r="354" spans="1:1" x14ac:dyDescent="0.25">
      <c r="A354" s="2" t="s">
        <v>489</v>
      </c>
    </row>
    <row r="355" spans="1:1" x14ac:dyDescent="0.25">
      <c r="A355" s="3" t="s">
        <v>490</v>
      </c>
    </row>
    <row r="356" spans="1:1" x14ac:dyDescent="0.25">
      <c r="A356" s="4" t="s">
        <v>492</v>
      </c>
    </row>
    <row r="357" spans="1:1" x14ac:dyDescent="0.25">
      <c r="A357" s="2" t="s">
        <v>494</v>
      </c>
    </row>
    <row r="358" spans="1:1" x14ac:dyDescent="0.25">
      <c r="A358" s="3" t="s">
        <v>495</v>
      </c>
    </row>
    <row r="359" spans="1:1" x14ac:dyDescent="0.25">
      <c r="A359" s="4" t="s">
        <v>497</v>
      </c>
    </row>
    <row r="360" spans="1:1" x14ac:dyDescent="0.25">
      <c r="A360" s="2" t="s">
        <v>499</v>
      </c>
    </row>
    <row r="361" spans="1:1" x14ac:dyDescent="0.25">
      <c r="A361" s="3" t="s">
        <v>500</v>
      </c>
    </row>
    <row r="362" spans="1:1" x14ac:dyDescent="0.25">
      <c r="A362" s="4" t="s">
        <v>502</v>
      </c>
    </row>
    <row r="363" spans="1:1" x14ac:dyDescent="0.25">
      <c r="A363" s="2" t="s">
        <v>503</v>
      </c>
    </row>
    <row r="364" spans="1:1" x14ac:dyDescent="0.25">
      <c r="A364" s="3" t="s">
        <v>504</v>
      </c>
    </row>
    <row r="365" spans="1:1" x14ac:dyDescent="0.25">
      <c r="A365" s="4" t="s">
        <v>505</v>
      </c>
    </row>
    <row r="366" spans="1:1" x14ac:dyDescent="0.25">
      <c r="A366" s="2" t="s">
        <v>507</v>
      </c>
    </row>
    <row r="367" spans="1:1" x14ac:dyDescent="0.25">
      <c r="A367" s="3" t="s">
        <v>508</v>
      </c>
    </row>
    <row r="368" spans="1:1" x14ac:dyDescent="0.25">
      <c r="A368" s="4" t="s">
        <v>509</v>
      </c>
    </row>
    <row r="369" spans="1:1" x14ac:dyDescent="0.25">
      <c r="A369" s="2" t="s">
        <v>511</v>
      </c>
    </row>
    <row r="370" spans="1:1" x14ac:dyDescent="0.25">
      <c r="A370" s="3" t="s">
        <v>512</v>
      </c>
    </row>
    <row r="371" spans="1:1" x14ac:dyDescent="0.25">
      <c r="A371" s="4" t="s">
        <v>513</v>
      </c>
    </row>
    <row r="372" spans="1:1" x14ac:dyDescent="0.25">
      <c r="A372" s="2" t="s">
        <v>515</v>
      </c>
    </row>
    <row r="373" spans="1:1" x14ac:dyDescent="0.25">
      <c r="A373" s="3" t="s">
        <v>516</v>
      </c>
    </row>
    <row r="374" spans="1:1" x14ac:dyDescent="0.25">
      <c r="A374" s="4" t="s">
        <v>518</v>
      </c>
    </row>
    <row r="375" spans="1:1" x14ac:dyDescent="0.25">
      <c r="A375" s="2" t="s">
        <v>520</v>
      </c>
    </row>
    <row r="376" spans="1:1" x14ac:dyDescent="0.25">
      <c r="A376" s="3" t="s">
        <v>521</v>
      </c>
    </row>
    <row r="377" spans="1:1" x14ac:dyDescent="0.25">
      <c r="A377" s="4" t="s">
        <v>522</v>
      </c>
    </row>
    <row r="378" spans="1:1" x14ac:dyDescent="0.25">
      <c r="A378" s="2" t="s">
        <v>523</v>
      </c>
    </row>
    <row r="379" spans="1:1" x14ac:dyDescent="0.25">
      <c r="A379" s="3" t="s">
        <v>524</v>
      </c>
    </row>
    <row r="380" spans="1:1" x14ac:dyDescent="0.25">
      <c r="A380" s="4" t="s">
        <v>529</v>
      </c>
    </row>
    <row r="381" spans="1:1" x14ac:dyDescent="0.25">
      <c r="A381" s="4" t="s">
        <v>531</v>
      </c>
    </row>
    <row r="382" spans="1:1" x14ac:dyDescent="0.25">
      <c r="A382" s="4" t="s">
        <v>526</v>
      </c>
    </row>
    <row r="383" spans="1:1" x14ac:dyDescent="0.25">
      <c r="A383" s="2" t="s">
        <v>532</v>
      </c>
    </row>
    <row r="384" spans="1:1" x14ac:dyDescent="0.25">
      <c r="A384" s="3" t="s">
        <v>533</v>
      </c>
    </row>
    <row r="385" spans="1:1" x14ac:dyDescent="0.25">
      <c r="A385" s="4" t="s">
        <v>535</v>
      </c>
    </row>
    <row r="386" spans="1:1" x14ac:dyDescent="0.25">
      <c r="A386" s="2" t="s">
        <v>536</v>
      </c>
    </row>
    <row r="387" spans="1:1" x14ac:dyDescent="0.25">
      <c r="A387" s="3" t="s">
        <v>537</v>
      </c>
    </row>
    <row r="388" spans="1:1" x14ac:dyDescent="0.25">
      <c r="A388" s="4" t="s">
        <v>538</v>
      </c>
    </row>
    <row r="389" spans="1:1" x14ac:dyDescent="0.25">
      <c r="A389" s="2" t="s">
        <v>539</v>
      </c>
    </row>
    <row r="390" spans="1:1" x14ac:dyDescent="0.25">
      <c r="A390" s="3" t="s">
        <v>540</v>
      </c>
    </row>
    <row r="391" spans="1:1" x14ac:dyDescent="0.25">
      <c r="A391" s="4" t="s">
        <v>541</v>
      </c>
    </row>
    <row r="392" spans="1:1" x14ac:dyDescent="0.25">
      <c r="A392" s="2" t="s">
        <v>543</v>
      </c>
    </row>
    <row r="393" spans="1:1" x14ac:dyDescent="0.25">
      <c r="A393" s="3" t="s">
        <v>544</v>
      </c>
    </row>
    <row r="394" spans="1:1" x14ac:dyDescent="0.25">
      <c r="A394" s="4" t="s">
        <v>545</v>
      </c>
    </row>
    <row r="395" spans="1:1" x14ac:dyDescent="0.25">
      <c r="A395" s="2" t="s">
        <v>546</v>
      </c>
    </row>
    <row r="396" spans="1:1" x14ac:dyDescent="0.25">
      <c r="A396" s="3" t="s">
        <v>547</v>
      </c>
    </row>
    <row r="397" spans="1:1" x14ac:dyDescent="0.25">
      <c r="A397" s="4" t="s">
        <v>548</v>
      </c>
    </row>
    <row r="398" spans="1:1" x14ac:dyDescent="0.25">
      <c r="A398" s="2" t="s">
        <v>550</v>
      </c>
    </row>
    <row r="399" spans="1:1" x14ac:dyDescent="0.25">
      <c r="A399" s="3" t="s">
        <v>551</v>
      </c>
    </row>
    <row r="400" spans="1:1" x14ac:dyDescent="0.25">
      <c r="A400" s="4" t="s">
        <v>553</v>
      </c>
    </row>
    <row r="401" spans="1:1" x14ac:dyDescent="0.25">
      <c r="A401" s="4" t="s">
        <v>555</v>
      </c>
    </row>
    <row r="402" spans="1:1" x14ac:dyDescent="0.25">
      <c r="A402" s="2" t="s">
        <v>556</v>
      </c>
    </row>
    <row r="403" spans="1:1" x14ac:dyDescent="0.25">
      <c r="A403" s="3" t="s">
        <v>557</v>
      </c>
    </row>
    <row r="404" spans="1:1" x14ac:dyDescent="0.25">
      <c r="A404" s="4" t="s">
        <v>559</v>
      </c>
    </row>
    <row r="405" spans="1:1" x14ac:dyDescent="0.25">
      <c r="A405" s="2" t="s">
        <v>561</v>
      </c>
    </row>
    <row r="406" spans="1:1" x14ac:dyDescent="0.25">
      <c r="A406" s="3" t="s">
        <v>562</v>
      </c>
    </row>
    <row r="407" spans="1:1" x14ac:dyDescent="0.25">
      <c r="A407" s="4" t="s">
        <v>563</v>
      </c>
    </row>
    <row r="408" spans="1:1" x14ac:dyDescent="0.25">
      <c r="A408" s="2" t="s">
        <v>565</v>
      </c>
    </row>
    <row r="409" spans="1:1" x14ac:dyDescent="0.25">
      <c r="A409" s="3" t="s">
        <v>566</v>
      </c>
    </row>
    <row r="410" spans="1:1" x14ac:dyDescent="0.25">
      <c r="A410" s="4" t="s">
        <v>568</v>
      </c>
    </row>
    <row r="411" spans="1:1" x14ac:dyDescent="0.25">
      <c r="A411" s="2" t="s">
        <v>570</v>
      </c>
    </row>
    <row r="412" spans="1:1" x14ac:dyDescent="0.25">
      <c r="A412" s="3" t="s">
        <v>571</v>
      </c>
    </row>
    <row r="413" spans="1:1" x14ac:dyDescent="0.25">
      <c r="A413" s="4" t="s">
        <v>573</v>
      </c>
    </row>
    <row r="414" spans="1:1" x14ac:dyDescent="0.25">
      <c r="A414" s="2" t="s">
        <v>574</v>
      </c>
    </row>
    <row r="415" spans="1:1" x14ac:dyDescent="0.25">
      <c r="A415" s="3" t="s">
        <v>575</v>
      </c>
    </row>
    <row r="416" spans="1:1" x14ac:dyDescent="0.25">
      <c r="A416" s="4" t="s">
        <v>576</v>
      </c>
    </row>
    <row r="417" spans="1:1" x14ac:dyDescent="0.25">
      <c r="A417" s="2" t="s">
        <v>577</v>
      </c>
    </row>
    <row r="418" spans="1:1" x14ac:dyDescent="0.25">
      <c r="A418" s="3" t="s">
        <v>578</v>
      </c>
    </row>
    <row r="419" spans="1:1" x14ac:dyDescent="0.25">
      <c r="A419" s="4" t="s">
        <v>579</v>
      </c>
    </row>
    <row r="420" spans="1:1" x14ac:dyDescent="0.25">
      <c r="A420" s="2" t="s">
        <v>581</v>
      </c>
    </row>
    <row r="421" spans="1:1" x14ac:dyDescent="0.25">
      <c r="A421" s="3" t="s">
        <v>582</v>
      </c>
    </row>
    <row r="422" spans="1:1" x14ac:dyDescent="0.25">
      <c r="A422" s="4" t="s">
        <v>583</v>
      </c>
    </row>
    <row r="423" spans="1:1" x14ac:dyDescent="0.25">
      <c r="A423" s="2" t="s">
        <v>584</v>
      </c>
    </row>
    <row r="424" spans="1:1" x14ac:dyDescent="0.25">
      <c r="A424" s="3" t="s">
        <v>585</v>
      </c>
    </row>
    <row r="425" spans="1:1" x14ac:dyDescent="0.25">
      <c r="A425" s="4" t="s">
        <v>586</v>
      </c>
    </row>
    <row r="426" spans="1:1" x14ac:dyDescent="0.25">
      <c r="A426" s="2" t="s">
        <v>587</v>
      </c>
    </row>
    <row r="427" spans="1:1" x14ac:dyDescent="0.25">
      <c r="A427" s="3" t="s">
        <v>588</v>
      </c>
    </row>
    <row r="428" spans="1:1" x14ac:dyDescent="0.25">
      <c r="A428" s="4" t="s">
        <v>589</v>
      </c>
    </row>
    <row r="429" spans="1:1" x14ac:dyDescent="0.25">
      <c r="A429" s="2" t="s">
        <v>590</v>
      </c>
    </row>
    <row r="430" spans="1:1" x14ac:dyDescent="0.25">
      <c r="A430" s="3" t="s">
        <v>591</v>
      </c>
    </row>
    <row r="431" spans="1:1" x14ac:dyDescent="0.25">
      <c r="A431" s="4" t="s">
        <v>592</v>
      </c>
    </row>
    <row r="432" spans="1:1" x14ac:dyDescent="0.25">
      <c r="A432" s="2" t="s">
        <v>593</v>
      </c>
    </row>
    <row r="433" spans="1:1" x14ac:dyDescent="0.25">
      <c r="A433" s="3" t="s">
        <v>594</v>
      </c>
    </row>
    <row r="434" spans="1:1" x14ac:dyDescent="0.25">
      <c r="A434" s="4" t="s">
        <v>595</v>
      </c>
    </row>
    <row r="435" spans="1:1" x14ac:dyDescent="0.25">
      <c r="A435" s="2" t="s">
        <v>596</v>
      </c>
    </row>
    <row r="436" spans="1:1" x14ac:dyDescent="0.25">
      <c r="A436" s="3" t="s">
        <v>597</v>
      </c>
    </row>
    <row r="437" spans="1:1" x14ac:dyDescent="0.25">
      <c r="A437" s="4" t="s">
        <v>598</v>
      </c>
    </row>
    <row r="438" spans="1:1" x14ac:dyDescent="0.25">
      <c r="A438" s="2" t="s">
        <v>599</v>
      </c>
    </row>
    <row r="439" spans="1:1" x14ac:dyDescent="0.25">
      <c r="A439" s="3" t="s">
        <v>600</v>
      </c>
    </row>
    <row r="440" spans="1:1" x14ac:dyDescent="0.25">
      <c r="A440" s="4" t="s">
        <v>601</v>
      </c>
    </row>
    <row r="441" spans="1:1" x14ac:dyDescent="0.25">
      <c r="A441" s="2" t="s">
        <v>603</v>
      </c>
    </row>
    <row r="442" spans="1:1" x14ac:dyDescent="0.25">
      <c r="A442" s="3" t="s">
        <v>604</v>
      </c>
    </row>
    <row r="443" spans="1:1" x14ac:dyDescent="0.25">
      <c r="A443" s="4" t="s">
        <v>605</v>
      </c>
    </row>
    <row r="444" spans="1:1" x14ac:dyDescent="0.25">
      <c r="A444" s="2" t="s">
        <v>607</v>
      </c>
    </row>
    <row r="445" spans="1:1" x14ac:dyDescent="0.25">
      <c r="A445" s="3" t="s">
        <v>608</v>
      </c>
    </row>
    <row r="446" spans="1:1" x14ac:dyDescent="0.25">
      <c r="A446" s="4" t="s">
        <v>609</v>
      </c>
    </row>
    <row r="447" spans="1:1" x14ac:dyDescent="0.25">
      <c r="A447" s="2" t="s">
        <v>610</v>
      </c>
    </row>
    <row r="448" spans="1:1" x14ac:dyDescent="0.25">
      <c r="A448" s="3" t="s">
        <v>611</v>
      </c>
    </row>
    <row r="449" spans="1:1" x14ac:dyDescent="0.25">
      <c r="A449" s="4" t="s">
        <v>613</v>
      </c>
    </row>
    <row r="450" spans="1:1" x14ac:dyDescent="0.25">
      <c r="A450" s="2" t="s">
        <v>614</v>
      </c>
    </row>
    <row r="451" spans="1:1" x14ac:dyDescent="0.25">
      <c r="A451" s="3" t="s">
        <v>615</v>
      </c>
    </row>
    <row r="452" spans="1:1" x14ac:dyDescent="0.25">
      <c r="A452" s="4" t="s">
        <v>616</v>
      </c>
    </row>
    <row r="453" spans="1:1" x14ac:dyDescent="0.25">
      <c r="A453" s="2" t="s">
        <v>617</v>
      </c>
    </row>
    <row r="454" spans="1:1" x14ac:dyDescent="0.25">
      <c r="A454" s="3" t="s">
        <v>618</v>
      </c>
    </row>
    <row r="455" spans="1:1" x14ac:dyDescent="0.25">
      <c r="A455" s="4" t="s">
        <v>619</v>
      </c>
    </row>
    <row r="456" spans="1:1" x14ac:dyDescent="0.25">
      <c r="A456" s="2" t="s">
        <v>620</v>
      </c>
    </row>
    <row r="457" spans="1:1" x14ac:dyDescent="0.25">
      <c r="A457" s="3" t="s">
        <v>621</v>
      </c>
    </row>
    <row r="458" spans="1:1" x14ac:dyDescent="0.25">
      <c r="A458" s="4" t="s">
        <v>622</v>
      </c>
    </row>
    <row r="459" spans="1:1" x14ac:dyDescent="0.25">
      <c r="A459" s="2" t="s">
        <v>623</v>
      </c>
    </row>
    <row r="460" spans="1:1" x14ac:dyDescent="0.25">
      <c r="A460" s="3" t="s">
        <v>624</v>
      </c>
    </row>
    <row r="461" spans="1:1" x14ac:dyDescent="0.25">
      <c r="A461" s="4" t="s">
        <v>625</v>
      </c>
    </row>
    <row r="462" spans="1:1" x14ac:dyDescent="0.25">
      <c r="A462" s="2" t="s">
        <v>627</v>
      </c>
    </row>
    <row r="463" spans="1:1" x14ac:dyDescent="0.25">
      <c r="A463" s="3" t="s">
        <v>628</v>
      </c>
    </row>
    <row r="464" spans="1:1" x14ac:dyDescent="0.25">
      <c r="A464" s="4" t="s">
        <v>629</v>
      </c>
    </row>
    <row r="465" spans="1:1" x14ac:dyDescent="0.25">
      <c r="A465" s="2" t="s">
        <v>631</v>
      </c>
    </row>
    <row r="466" spans="1:1" x14ac:dyDescent="0.25">
      <c r="A466" s="3" t="s">
        <v>632</v>
      </c>
    </row>
    <row r="467" spans="1:1" x14ac:dyDescent="0.25">
      <c r="A467" s="4" t="s">
        <v>633</v>
      </c>
    </row>
    <row r="468" spans="1:1" x14ac:dyDescent="0.25">
      <c r="A468" s="2" t="s">
        <v>74</v>
      </c>
    </row>
    <row r="469" spans="1:1" x14ac:dyDescent="0.25">
      <c r="A469" s="3" t="s">
        <v>75</v>
      </c>
    </row>
    <row r="470" spans="1:1" x14ac:dyDescent="0.25">
      <c r="A470" s="4" t="s">
        <v>76</v>
      </c>
    </row>
    <row r="471" spans="1:1" x14ac:dyDescent="0.25">
      <c r="A471" s="2" t="s">
        <v>77</v>
      </c>
    </row>
    <row r="472" spans="1:1" x14ac:dyDescent="0.25">
      <c r="A472" s="3" t="s">
        <v>78</v>
      </c>
    </row>
    <row r="473" spans="1:1" x14ac:dyDescent="0.25">
      <c r="A473" s="4" t="s">
        <v>79</v>
      </c>
    </row>
    <row r="474" spans="1:1" x14ac:dyDescent="0.25">
      <c r="A474" s="2" t="s">
        <v>635</v>
      </c>
    </row>
    <row r="475" spans="1:1" x14ac:dyDescent="0.25">
      <c r="A475" s="3" t="s">
        <v>636</v>
      </c>
    </row>
    <row r="476" spans="1:1" x14ac:dyDescent="0.25">
      <c r="A476" s="4" t="s">
        <v>637</v>
      </c>
    </row>
    <row r="477" spans="1:1" x14ac:dyDescent="0.25">
      <c r="A477" s="2" t="s">
        <v>639</v>
      </c>
    </row>
    <row r="478" spans="1:1" x14ac:dyDescent="0.25">
      <c r="A478" s="3" t="s">
        <v>640</v>
      </c>
    </row>
    <row r="479" spans="1:1" x14ac:dyDescent="0.25">
      <c r="A479" s="4" t="s">
        <v>641</v>
      </c>
    </row>
    <row r="480" spans="1:1" x14ac:dyDescent="0.25">
      <c r="A480" s="2" t="s">
        <v>642</v>
      </c>
    </row>
    <row r="481" spans="1:1" x14ac:dyDescent="0.25">
      <c r="A481" s="3" t="s">
        <v>643</v>
      </c>
    </row>
    <row r="482" spans="1:1" x14ac:dyDescent="0.25">
      <c r="A482" s="4" t="s">
        <v>644</v>
      </c>
    </row>
    <row r="483" spans="1:1" x14ac:dyDescent="0.25">
      <c r="A483" s="2" t="s">
        <v>646</v>
      </c>
    </row>
    <row r="484" spans="1:1" x14ac:dyDescent="0.25">
      <c r="A484" s="3" t="s">
        <v>647</v>
      </c>
    </row>
    <row r="485" spans="1:1" x14ac:dyDescent="0.25">
      <c r="A485" s="4" t="s">
        <v>648</v>
      </c>
    </row>
    <row r="486" spans="1:1" x14ac:dyDescent="0.25">
      <c r="A486" s="2" t="s">
        <v>650</v>
      </c>
    </row>
    <row r="487" spans="1:1" x14ac:dyDescent="0.25">
      <c r="A487" s="3" t="s">
        <v>651</v>
      </c>
    </row>
    <row r="488" spans="1:1" x14ac:dyDescent="0.25">
      <c r="A488" s="4" t="s">
        <v>662</v>
      </c>
    </row>
    <row r="489" spans="1:1" x14ac:dyDescent="0.25">
      <c r="A489" s="4" t="s">
        <v>653</v>
      </c>
    </row>
    <row r="490" spans="1:1" x14ac:dyDescent="0.25">
      <c r="A490" s="4" t="s">
        <v>656</v>
      </c>
    </row>
    <row r="491" spans="1:1" x14ac:dyDescent="0.25">
      <c r="A491" s="4" t="s">
        <v>658</v>
      </c>
    </row>
    <row r="492" spans="1:1" x14ac:dyDescent="0.25">
      <c r="A492" s="4" t="s">
        <v>660</v>
      </c>
    </row>
    <row r="493" spans="1:1" x14ac:dyDescent="0.25">
      <c r="A493" s="3" t="s">
        <v>666</v>
      </c>
    </row>
    <row r="494" spans="1:1" x14ac:dyDescent="0.25">
      <c r="A494" s="4" t="s">
        <v>668</v>
      </c>
    </row>
    <row r="495" spans="1:1" x14ac:dyDescent="0.25">
      <c r="A495" s="3" t="s">
        <v>663</v>
      </c>
    </row>
    <row r="496" spans="1:1" x14ac:dyDescent="0.25">
      <c r="A496" s="4" t="s">
        <v>665</v>
      </c>
    </row>
    <row r="497" spans="1:1" x14ac:dyDescent="0.25">
      <c r="A497" s="2" t="s">
        <v>669</v>
      </c>
    </row>
    <row r="498" spans="1:1" x14ac:dyDescent="0.25">
      <c r="A498" s="3" t="s">
        <v>670</v>
      </c>
    </row>
    <row r="499" spans="1:1" x14ac:dyDescent="0.25">
      <c r="A499" s="4" t="s">
        <v>671</v>
      </c>
    </row>
    <row r="500" spans="1:1" x14ac:dyDescent="0.25">
      <c r="A500" s="2" t="s">
        <v>676</v>
      </c>
    </row>
    <row r="501" spans="1:1" x14ac:dyDescent="0.25">
      <c r="A501" s="3" t="s">
        <v>674</v>
      </c>
    </row>
    <row r="502" spans="1:1" x14ac:dyDescent="0.25">
      <c r="A502" s="4" t="s">
        <v>677</v>
      </c>
    </row>
    <row r="503" spans="1:1" x14ac:dyDescent="0.25">
      <c r="A503" s="2" t="s">
        <v>673</v>
      </c>
    </row>
    <row r="504" spans="1:1" x14ac:dyDescent="0.25">
      <c r="A504" s="3" t="s">
        <v>674</v>
      </c>
    </row>
    <row r="505" spans="1:1" x14ac:dyDescent="0.25">
      <c r="A505" s="4" t="s">
        <v>675</v>
      </c>
    </row>
    <row r="506" spans="1:1" x14ac:dyDescent="0.25">
      <c r="A506" s="2" t="s">
        <v>678</v>
      </c>
    </row>
    <row r="507" spans="1:1" x14ac:dyDescent="0.25">
      <c r="A507" s="3" t="s">
        <v>679</v>
      </c>
    </row>
    <row r="508" spans="1:1" x14ac:dyDescent="0.25">
      <c r="A508" s="4" t="s">
        <v>681</v>
      </c>
    </row>
    <row r="509" spans="1:1" x14ac:dyDescent="0.25">
      <c r="A509" s="2" t="s">
        <v>682</v>
      </c>
    </row>
    <row r="510" spans="1:1" x14ac:dyDescent="0.25">
      <c r="A510" s="3" t="s">
        <v>683</v>
      </c>
    </row>
    <row r="511" spans="1:1" x14ac:dyDescent="0.25">
      <c r="A511" s="4" t="s">
        <v>684</v>
      </c>
    </row>
    <row r="512" spans="1:1" x14ac:dyDescent="0.25">
      <c r="A512" s="2" t="s">
        <v>685</v>
      </c>
    </row>
    <row r="513" spans="1:1" x14ac:dyDescent="0.25">
      <c r="A513" s="3" t="s">
        <v>686</v>
      </c>
    </row>
    <row r="514" spans="1:1" x14ac:dyDescent="0.25">
      <c r="A514" s="4" t="s">
        <v>687</v>
      </c>
    </row>
    <row r="515" spans="1:1" x14ac:dyDescent="0.25">
      <c r="A515" s="2" t="s">
        <v>688</v>
      </c>
    </row>
    <row r="516" spans="1:1" x14ac:dyDescent="0.25">
      <c r="A516" s="3" t="s">
        <v>689</v>
      </c>
    </row>
    <row r="517" spans="1:1" x14ac:dyDescent="0.25">
      <c r="A517" s="4" t="s">
        <v>690</v>
      </c>
    </row>
    <row r="518" spans="1:1" x14ac:dyDescent="0.25">
      <c r="A518" s="4" t="s">
        <v>691</v>
      </c>
    </row>
    <row r="519" spans="1:1" x14ac:dyDescent="0.25">
      <c r="A519" s="2" t="s">
        <v>692</v>
      </c>
    </row>
    <row r="520" spans="1:1" x14ac:dyDescent="0.25">
      <c r="A520" s="3" t="s">
        <v>693</v>
      </c>
    </row>
    <row r="521" spans="1:1" x14ac:dyDescent="0.25">
      <c r="A521" s="4" t="s">
        <v>695</v>
      </c>
    </row>
    <row r="522" spans="1:1" x14ac:dyDescent="0.25">
      <c r="A522" s="2" t="s">
        <v>696</v>
      </c>
    </row>
    <row r="523" spans="1:1" x14ac:dyDescent="0.25">
      <c r="A523" s="3" t="s">
        <v>697</v>
      </c>
    </row>
    <row r="524" spans="1:1" x14ac:dyDescent="0.25">
      <c r="A524" s="4" t="s">
        <v>699</v>
      </c>
    </row>
    <row r="525" spans="1:1" x14ac:dyDescent="0.25">
      <c r="A525" s="2" t="s">
        <v>701</v>
      </c>
    </row>
    <row r="526" spans="1:1" x14ac:dyDescent="0.25">
      <c r="A526" s="3" t="s">
        <v>702</v>
      </c>
    </row>
    <row r="527" spans="1:1" x14ac:dyDescent="0.25">
      <c r="A527" s="4" t="s">
        <v>703</v>
      </c>
    </row>
    <row r="528" spans="1:1" x14ac:dyDescent="0.25">
      <c r="A528" s="2" t="s">
        <v>705</v>
      </c>
    </row>
    <row r="529" spans="1:1" x14ac:dyDescent="0.25">
      <c r="A529" s="3" t="s">
        <v>706</v>
      </c>
    </row>
    <row r="530" spans="1:1" x14ac:dyDescent="0.25">
      <c r="A530" s="4" t="s">
        <v>707</v>
      </c>
    </row>
    <row r="531" spans="1:1" x14ac:dyDescent="0.25">
      <c r="A531" s="2" t="s">
        <v>709</v>
      </c>
    </row>
    <row r="532" spans="1:1" x14ac:dyDescent="0.25">
      <c r="A532" s="3" t="s">
        <v>710</v>
      </c>
    </row>
    <row r="533" spans="1:1" x14ac:dyDescent="0.25">
      <c r="A533" s="4" t="s">
        <v>711</v>
      </c>
    </row>
    <row r="534" spans="1:1" x14ac:dyDescent="0.25">
      <c r="A534" s="2" t="s">
        <v>713</v>
      </c>
    </row>
    <row r="535" spans="1:1" x14ac:dyDescent="0.25">
      <c r="A535" s="3" t="s">
        <v>714</v>
      </c>
    </row>
    <row r="536" spans="1:1" x14ac:dyDescent="0.25">
      <c r="A536" s="4" t="s">
        <v>715</v>
      </c>
    </row>
    <row r="537" spans="1:1" x14ac:dyDescent="0.25">
      <c r="A537" s="2" t="s">
        <v>717</v>
      </c>
    </row>
    <row r="538" spans="1:1" x14ac:dyDescent="0.25">
      <c r="A538" s="3" t="s">
        <v>718</v>
      </c>
    </row>
    <row r="539" spans="1:1" x14ac:dyDescent="0.25">
      <c r="A539" s="4" t="s">
        <v>719</v>
      </c>
    </row>
    <row r="540" spans="1:1" x14ac:dyDescent="0.25">
      <c r="A540" s="2" t="s">
        <v>720</v>
      </c>
    </row>
    <row r="541" spans="1:1" x14ac:dyDescent="0.25">
      <c r="A541" s="3" t="s">
        <v>721</v>
      </c>
    </row>
    <row r="542" spans="1:1" x14ac:dyDescent="0.25">
      <c r="A542" s="4" t="s">
        <v>723</v>
      </c>
    </row>
    <row r="543" spans="1:1" x14ac:dyDescent="0.25">
      <c r="A543" s="2" t="s">
        <v>725</v>
      </c>
    </row>
    <row r="544" spans="1:1" x14ac:dyDescent="0.25">
      <c r="A544" s="3" t="s">
        <v>726</v>
      </c>
    </row>
    <row r="545" spans="1:1" x14ac:dyDescent="0.25">
      <c r="A545" s="4" t="s">
        <v>727</v>
      </c>
    </row>
    <row r="546" spans="1:1" x14ac:dyDescent="0.25">
      <c r="A546" s="2" t="s">
        <v>728</v>
      </c>
    </row>
    <row r="547" spans="1:1" x14ac:dyDescent="0.25">
      <c r="A547" s="3" t="s">
        <v>729</v>
      </c>
    </row>
    <row r="548" spans="1:1" x14ac:dyDescent="0.25">
      <c r="A548" s="4" t="s">
        <v>731</v>
      </c>
    </row>
    <row r="549" spans="1:1" x14ac:dyDescent="0.25">
      <c r="A549" s="4" t="s">
        <v>734</v>
      </c>
    </row>
    <row r="550" spans="1:1" x14ac:dyDescent="0.25">
      <c r="A550" s="2" t="s">
        <v>735</v>
      </c>
    </row>
    <row r="551" spans="1:1" x14ac:dyDescent="0.25">
      <c r="A551" s="3" t="s">
        <v>736</v>
      </c>
    </row>
    <row r="552" spans="1:1" x14ac:dyDescent="0.25">
      <c r="A552" s="4" t="s">
        <v>737</v>
      </c>
    </row>
    <row r="553" spans="1:1" x14ac:dyDescent="0.25">
      <c r="A553" s="2" t="s">
        <v>739</v>
      </c>
    </row>
    <row r="554" spans="1:1" x14ac:dyDescent="0.25">
      <c r="A554" s="3" t="s">
        <v>740</v>
      </c>
    </row>
    <row r="555" spans="1:1" x14ac:dyDescent="0.25">
      <c r="A555" s="4" t="s">
        <v>742</v>
      </c>
    </row>
    <row r="556" spans="1:1" x14ac:dyDescent="0.25">
      <c r="A556" s="2" t="s">
        <v>744</v>
      </c>
    </row>
    <row r="557" spans="1:1" x14ac:dyDescent="0.25">
      <c r="A557" s="3" t="s">
        <v>745</v>
      </c>
    </row>
    <row r="558" spans="1:1" x14ac:dyDescent="0.25">
      <c r="A558" s="4" t="s">
        <v>746</v>
      </c>
    </row>
    <row r="559" spans="1:1" x14ac:dyDescent="0.25">
      <c r="A559" s="2" t="s">
        <v>748</v>
      </c>
    </row>
    <row r="560" spans="1:1" x14ac:dyDescent="0.25">
      <c r="A560" s="3" t="s">
        <v>749</v>
      </c>
    </row>
    <row r="561" spans="1:1" x14ac:dyDescent="0.25">
      <c r="A561" s="4" t="s">
        <v>751</v>
      </c>
    </row>
    <row r="562" spans="1:1" x14ac:dyDescent="0.25">
      <c r="A562" s="2" t="s">
        <v>753</v>
      </c>
    </row>
    <row r="563" spans="1:1" x14ac:dyDescent="0.25">
      <c r="A563" s="3" t="s">
        <v>754</v>
      </c>
    </row>
    <row r="564" spans="1:1" x14ac:dyDescent="0.25">
      <c r="A564" s="4" t="s">
        <v>755</v>
      </c>
    </row>
    <row r="565" spans="1:1" x14ac:dyDescent="0.25">
      <c r="A565" s="2" t="s">
        <v>759</v>
      </c>
    </row>
    <row r="566" spans="1:1" x14ac:dyDescent="0.25">
      <c r="A566" s="3" t="s">
        <v>760</v>
      </c>
    </row>
    <row r="567" spans="1:1" x14ac:dyDescent="0.25">
      <c r="A567" s="4" t="s">
        <v>761</v>
      </c>
    </row>
    <row r="568" spans="1:1" x14ac:dyDescent="0.25">
      <c r="A568" s="2" t="s">
        <v>763</v>
      </c>
    </row>
    <row r="569" spans="1:1" x14ac:dyDescent="0.25">
      <c r="A569" s="3" t="s">
        <v>764</v>
      </c>
    </row>
    <row r="570" spans="1:1" x14ac:dyDescent="0.25">
      <c r="A570" s="4" t="s">
        <v>766</v>
      </c>
    </row>
    <row r="571" spans="1:1" x14ac:dyDescent="0.25">
      <c r="A571" s="2" t="s">
        <v>768</v>
      </c>
    </row>
    <row r="572" spans="1:1" x14ac:dyDescent="0.25">
      <c r="A572" s="3" t="s">
        <v>769</v>
      </c>
    </row>
    <row r="573" spans="1:1" x14ac:dyDescent="0.25">
      <c r="A573" s="4" t="s">
        <v>770</v>
      </c>
    </row>
    <row r="574" spans="1:1" x14ac:dyDescent="0.25">
      <c r="A574" s="2" t="s">
        <v>771</v>
      </c>
    </row>
    <row r="575" spans="1:1" x14ac:dyDescent="0.25">
      <c r="A575" s="3" t="s">
        <v>772</v>
      </c>
    </row>
    <row r="576" spans="1:1" x14ac:dyDescent="0.25">
      <c r="A576" s="4" t="s">
        <v>774</v>
      </c>
    </row>
    <row r="577" spans="1:1" x14ac:dyDescent="0.25">
      <c r="A577" s="2" t="s">
        <v>776</v>
      </c>
    </row>
    <row r="578" spans="1:1" x14ac:dyDescent="0.25">
      <c r="A578" s="3" t="s">
        <v>777</v>
      </c>
    </row>
    <row r="579" spans="1:1" x14ac:dyDescent="0.25">
      <c r="A579" s="4" t="s">
        <v>779</v>
      </c>
    </row>
    <row r="580" spans="1:1" x14ac:dyDescent="0.25">
      <c r="A580" s="2" t="s">
        <v>781</v>
      </c>
    </row>
    <row r="581" spans="1:1" x14ac:dyDescent="0.25">
      <c r="A581" s="3" t="s">
        <v>782</v>
      </c>
    </row>
    <row r="582" spans="1:1" x14ac:dyDescent="0.25">
      <c r="A582" s="4" t="s">
        <v>783</v>
      </c>
    </row>
    <row r="583" spans="1:1" x14ac:dyDescent="0.25">
      <c r="A583" s="2" t="s">
        <v>784</v>
      </c>
    </row>
    <row r="584" spans="1:1" x14ac:dyDescent="0.25">
      <c r="A584" s="3" t="s">
        <v>785</v>
      </c>
    </row>
    <row r="585" spans="1:1" x14ac:dyDescent="0.25">
      <c r="A585" s="4" t="s">
        <v>786</v>
      </c>
    </row>
    <row r="586" spans="1:1" x14ac:dyDescent="0.25">
      <c r="A586" s="2" t="s">
        <v>788</v>
      </c>
    </row>
    <row r="587" spans="1:1" x14ac:dyDescent="0.25">
      <c r="A587" s="3" t="s">
        <v>789</v>
      </c>
    </row>
    <row r="588" spans="1:1" x14ac:dyDescent="0.25">
      <c r="A588" s="4" t="s">
        <v>790</v>
      </c>
    </row>
    <row r="589" spans="1:1" x14ac:dyDescent="0.25">
      <c r="A589" s="2" t="s">
        <v>791</v>
      </c>
    </row>
    <row r="590" spans="1:1" x14ac:dyDescent="0.25">
      <c r="A590" s="3" t="s">
        <v>792</v>
      </c>
    </row>
    <row r="591" spans="1:1" x14ac:dyDescent="0.25">
      <c r="A591" s="4" t="s">
        <v>793</v>
      </c>
    </row>
    <row r="592" spans="1:1" x14ac:dyDescent="0.25">
      <c r="A592" s="2" t="s">
        <v>795</v>
      </c>
    </row>
    <row r="593" spans="1:1" x14ac:dyDescent="0.25">
      <c r="A593" s="3" t="s">
        <v>796</v>
      </c>
    </row>
    <row r="594" spans="1:1" x14ac:dyDescent="0.25">
      <c r="A594" s="4" t="s">
        <v>798</v>
      </c>
    </row>
    <row r="595" spans="1:1" x14ac:dyDescent="0.25">
      <c r="A595" s="2" t="s">
        <v>799</v>
      </c>
    </row>
    <row r="596" spans="1:1" x14ac:dyDescent="0.25">
      <c r="A596" s="3" t="s">
        <v>800</v>
      </c>
    </row>
    <row r="597" spans="1:1" x14ac:dyDescent="0.25">
      <c r="A597" s="4" t="s">
        <v>802</v>
      </c>
    </row>
    <row r="598" spans="1:1" x14ac:dyDescent="0.25">
      <c r="A598" s="4" t="s">
        <v>801</v>
      </c>
    </row>
    <row r="599" spans="1:1" x14ac:dyDescent="0.25">
      <c r="A599" s="2" t="s">
        <v>803</v>
      </c>
    </row>
    <row r="600" spans="1:1" x14ac:dyDescent="0.25">
      <c r="A600" s="3" t="s">
        <v>804</v>
      </c>
    </row>
    <row r="601" spans="1:1" x14ac:dyDescent="0.25">
      <c r="A601" s="4" t="s">
        <v>805</v>
      </c>
    </row>
    <row r="602" spans="1:1" x14ac:dyDescent="0.25">
      <c r="A602" s="2" t="s">
        <v>807</v>
      </c>
    </row>
    <row r="603" spans="1:1" x14ac:dyDescent="0.25">
      <c r="A603" s="3" t="s">
        <v>808</v>
      </c>
    </row>
    <row r="604" spans="1:1" x14ac:dyDescent="0.25">
      <c r="A604" s="4" t="s">
        <v>809</v>
      </c>
    </row>
    <row r="605" spans="1:1" x14ac:dyDescent="0.25">
      <c r="A605" s="2" t="s">
        <v>810</v>
      </c>
    </row>
    <row r="606" spans="1:1" x14ac:dyDescent="0.25">
      <c r="A606" s="3" t="s">
        <v>811</v>
      </c>
    </row>
    <row r="607" spans="1:1" x14ac:dyDescent="0.25">
      <c r="A607" s="4" t="s">
        <v>812</v>
      </c>
    </row>
    <row r="608" spans="1:1" x14ac:dyDescent="0.25">
      <c r="A608" s="2" t="s">
        <v>814</v>
      </c>
    </row>
    <row r="609" spans="1:1" x14ac:dyDescent="0.25">
      <c r="A609" s="3" t="s">
        <v>815</v>
      </c>
    </row>
    <row r="610" spans="1:1" x14ac:dyDescent="0.25">
      <c r="A610" s="4" t="s">
        <v>817</v>
      </c>
    </row>
    <row r="611" spans="1:1" x14ac:dyDescent="0.25">
      <c r="A611" s="2" t="s">
        <v>819</v>
      </c>
    </row>
    <row r="612" spans="1:1" x14ac:dyDescent="0.25">
      <c r="A612" s="3" t="s">
        <v>820</v>
      </c>
    </row>
    <row r="613" spans="1:1" x14ac:dyDescent="0.25">
      <c r="A613" s="4" t="s">
        <v>821</v>
      </c>
    </row>
    <row r="614" spans="1:1" x14ac:dyDescent="0.25">
      <c r="A614" s="2" t="s">
        <v>822</v>
      </c>
    </row>
    <row r="615" spans="1:1" x14ac:dyDescent="0.25">
      <c r="A615" s="3" t="s">
        <v>823</v>
      </c>
    </row>
    <row r="616" spans="1:1" x14ac:dyDescent="0.25">
      <c r="A616" s="4" t="s">
        <v>824</v>
      </c>
    </row>
    <row r="617" spans="1:1" x14ac:dyDescent="0.25">
      <c r="A617" s="4" t="s">
        <v>825</v>
      </c>
    </row>
    <row r="618" spans="1:1" x14ac:dyDescent="0.25">
      <c r="A618" s="4" t="s">
        <v>826</v>
      </c>
    </row>
    <row r="619" spans="1:1" x14ac:dyDescent="0.25">
      <c r="A619" s="2" t="s">
        <v>827</v>
      </c>
    </row>
    <row r="620" spans="1:1" x14ac:dyDescent="0.25">
      <c r="A620" s="3" t="s">
        <v>828</v>
      </c>
    </row>
    <row r="621" spans="1:1" x14ac:dyDescent="0.25">
      <c r="A621" s="4" t="s">
        <v>829</v>
      </c>
    </row>
    <row r="622" spans="1:1" x14ac:dyDescent="0.25">
      <c r="A622" s="2" t="s">
        <v>830</v>
      </c>
    </row>
    <row r="623" spans="1:1" x14ac:dyDescent="0.25">
      <c r="A623" s="3" t="s">
        <v>831</v>
      </c>
    </row>
    <row r="624" spans="1:1" x14ac:dyDescent="0.25">
      <c r="A624" s="4" t="s">
        <v>832</v>
      </c>
    </row>
    <row r="625" spans="1:1" x14ac:dyDescent="0.25">
      <c r="A625" s="2" t="s">
        <v>833</v>
      </c>
    </row>
    <row r="626" spans="1:1" x14ac:dyDescent="0.25">
      <c r="A626" s="3" t="s">
        <v>834</v>
      </c>
    </row>
    <row r="627" spans="1:1" x14ac:dyDescent="0.25">
      <c r="A627" s="4" t="s">
        <v>835</v>
      </c>
    </row>
    <row r="628" spans="1:1" x14ac:dyDescent="0.25">
      <c r="A628" s="2" t="s">
        <v>836</v>
      </c>
    </row>
    <row r="629" spans="1:1" x14ac:dyDescent="0.25">
      <c r="A629" s="3" t="s">
        <v>837</v>
      </c>
    </row>
    <row r="630" spans="1:1" x14ac:dyDescent="0.25">
      <c r="A630" s="4" t="s">
        <v>839</v>
      </c>
    </row>
    <row r="631" spans="1:1" x14ac:dyDescent="0.25">
      <c r="A631" s="2" t="s">
        <v>840</v>
      </c>
    </row>
    <row r="632" spans="1:1" x14ac:dyDescent="0.25">
      <c r="A632" s="3" t="s">
        <v>841</v>
      </c>
    </row>
    <row r="633" spans="1:1" x14ac:dyDescent="0.25">
      <c r="A633" s="4" t="s">
        <v>842</v>
      </c>
    </row>
    <row r="634" spans="1:1" x14ac:dyDescent="0.25">
      <c r="A634" s="4" t="s">
        <v>844</v>
      </c>
    </row>
    <row r="635" spans="1:1" x14ac:dyDescent="0.25">
      <c r="A635" s="2" t="s">
        <v>845</v>
      </c>
    </row>
    <row r="636" spans="1:1" x14ac:dyDescent="0.25">
      <c r="A636" s="3" t="s">
        <v>846</v>
      </c>
    </row>
    <row r="637" spans="1:1" x14ac:dyDescent="0.25">
      <c r="A637" s="4" t="s">
        <v>847</v>
      </c>
    </row>
    <row r="638" spans="1:1" x14ac:dyDescent="0.25">
      <c r="A638" s="2" t="s">
        <v>848</v>
      </c>
    </row>
    <row r="639" spans="1:1" x14ac:dyDescent="0.25">
      <c r="A639" s="3" t="s">
        <v>849</v>
      </c>
    </row>
    <row r="640" spans="1:1" x14ac:dyDescent="0.25">
      <c r="A640" s="4" t="s">
        <v>850</v>
      </c>
    </row>
    <row r="641" spans="1:1" x14ac:dyDescent="0.25">
      <c r="A641" s="4" t="s">
        <v>852</v>
      </c>
    </row>
    <row r="642" spans="1:1" x14ac:dyDescent="0.25">
      <c r="A642" s="2" t="s">
        <v>853</v>
      </c>
    </row>
    <row r="643" spans="1:1" x14ac:dyDescent="0.25">
      <c r="A643" s="3" t="s">
        <v>854</v>
      </c>
    </row>
    <row r="644" spans="1:1" x14ac:dyDescent="0.25">
      <c r="A644" s="4" t="s">
        <v>855</v>
      </c>
    </row>
    <row r="645" spans="1:1" x14ac:dyDescent="0.25">
      <c r="A645" s="2" t="s">
        <v>856</v>
      </c>
    </row>
    <row r="646" spans="1:1" x14ac:dyDescent="0.25">
      <c r="A646" s="3" t="s">
        <v>857</v>
      </c>
    </row>
    <row r="647" spans="1:1" x14ac:dyDescent="0.25">
      <c r="A647" s="4" t="s">
        <v>858</v>
      </c>
    </row>
    <row r="648" spans="1:1" x14ac:dyDescent="0.25">
      <c r="A648" s="2" t="s">
        <v>860</v>
      </c>
    </row>
    <row r="649" spans="1:1" x14ac:dyDescent="0.25">
      <c r="A649" s="3" t="s">
        <v>861</v>
      </c>
    </row>
    <row r="650" spans="1:1" x14ac:dyDescent="0.25">
      <c r="A650" s="4" t="s">
        <v>863</v>
      </c>
    </row>
    <row r="651" spans="1:1" x14ac:dyDescent="0.25">
      <c r="A651" s="2" t="s">
        <v>865</v>
      </c>
    </row>
    <row r="652" spans="1:1" x14ac:dyDescent="0.25">
      <c r="A652" s="3" t="s">
        <v>866</v>
      </c>
    </row>
    <row r="653" spans="1:1" x14ac:dyDescent="0.25">
      <c r="A653" s="4" t="s">
        <v>867</v>
      </c>
    </row>
    <row r="654" spans="1:1" x14ac:dyDescent="0.25">
      <c r="A654" s="4" t="s">
        <v>868</v>
      </c>
    </row>
    <row r="655" spans="1:1" x14ac:dyDescent="0.25">
      <c r="A655" s="2" t="s">
        <v>869</v>
      </c>
    </row>
    <row r="656" spans="1:1" x14ac:dyDescent="0.25">
      <c r="A656" s="3" t="s">
        <v>870</v>
      </c>
    </row>
    <row r="657" spans="1:1" x14ac:dyDescent="0.25">
      <c r="A657" s="4" t="s">
        <v>871</v>
      </c>
    </row>
    <row r="658" spans="1:1" x14ac:dyDescent="0.25">
      <c r="A658" s="2" t="s">
        <v>756</v>
      </c>
    </row>
    <row r="659" spans="1:1" x14ac:dyDescent="0.25">
      <c r="A659" s="3" t="s">
        <v>757</v>
      </c>
    </row>
    <row r="660" spans="1:1" x14ac:dyDescent="0.25">
      <c r="A660" s="4" t="s">
        <v>758</v>
      </c>
    </row>
    <row r="661" spans="1:1" x14ac:dyDescent="0.25">
      <c r="A661" s="2" t="s">
        <v>403</v>
      </c>
    </row>
    <row r="662" spans="1:1" x14ac:dyDescent="0.25">
      <c r="A662" s="3" t="s">
        <v>404</v>
      </c>
    </row>
    <row r="663" spans="1:1" x14ac:dyDescent="0.25">
      <c r="A663" s="4" t="s">
        <v>405</v>
      </c>
    </row>
    <row r="664" spans="1:1" x14ac:dyDescent="0.25">
      <c r="A664" s="2" t="s">
        <v>406</v>
      </c>
    </row>
    <row r="665" spans="1:1" x14ac:dyDescent="0.25">
      <c r="A665" s="3" t="s">
        <v>404</v>
      </c>
    </row>
    <row r="666" spans="1:1" x14ac:dyDescent="0.25">
      <c r="A666" s="4" t="s">
        <v>407</v>
      </c>
    </row>
    <row r="667" spans="1:1" x14ac:dyDescent="0.25">
      <c r="A667" s="2" t="s">
        <v>408</v>
      </c>
    </row>
    <row r="668" spans="1:1" x14ac:dyDescent="0.25">
      <c r="A668" s="3" t="s">
        <v>404</v>
      </c>
    </row>
    <row r="669" spans="1:1" x14ac:dyDescent="0.25">
      <c r="A669" s="4" t="s">
        <v>409</v>
      </c>
    </row>
    <row r="670" spans="1:1" x14ac:dyDescent="0.25">
      <c r="A670" s="2" t="s">
        <v>410</v>
      </c>
    </row>
    <row r="671" spans="1:1" x14ac:dyDescent="0.25">
      <c r="A671" s="3" t="s">
        <v>411</v>
      </c>
    </row>
    <row r="672" spans="1:1" x14ac:dyDescent="0.25">
      <c r="A672" s="4" t="s">
        <v>413</v>
      </c>
    </row>
    <row r="673" spans="1:1" x14ac:dyDescent="0.25">
      <c r="A673" s="2" t="s">
        <v>873</v>
      </c>
    </row>
    <row r="674" spans="1:1" x14ac:dyDescent="0.25">
      <c r="A674" s="3" t="s">
        <v>874</v>
      </c>
    </row>
    <row r="675" spans="1:1" x14ac:dyDescent="0.25">
      <c r="A675" s="4" t="s">
        <v>876</v>
      </c>
    </row>
    <row r="676" spans="1:1" x14ac:dyDescent="0.25">
      <c r="A676" s="2" t="s">
        <v>877</v>
      </c>
    </row>
    <row r="677" spans="1:1" x14ac:dyDescent="0.25">
      <c r="A677" s="3" t="s">
        <v>878</v>
      </c>
    </row>
    <row r="678" spans="1:1" x14ac:dyDescent="0.25">
      <c r="A678" s="4" t="s">
        <v>879</v>
      </c>
    </row>
    <row r="679" spans="1:1" x14ac:dyDescent="0.25">
      <c r="A679" s="2" t="s">
        <v>880</v>
      </c>
    </row>
    <row r="680" spans="1:1" x14ac:dyDescent="0.25">
      <c r="A680" s="3" t="s">
        <v>881</v>
      </c>
    </row>
    <row r="681" spans="1:1" x14ac:dyDescent="0.25">
      <c r="A681" s="4" t="s">
        <v>882</v>
      </c>
    </row>
    <row r="682" spans="1:1" x14ac:dyDescent="0.25">
      <c r="A682" s="2" t="s">
        <v>883</v>
      </c>
    </row>
    <row r="683" spans="1:1" x14ac:dyDescent="0.25">
      <c r="A683" s="3" t="s">
        <v>884</v>
      </c>
    </row>
    <row r="684" spans="1:1" x14ac:dyDescent="0.25">
      <c r="A684" s="4" t="s">
        <v>885</v>
      </c>
    </row>
    <row r="685" spans="1:1" x14ac:dyDescent="0.25">
      <c r="A685" s="2" t="s">
        <v>887</v>
      </c>
    </row>
    <row r="686" spans="1:1" x14ac:dyDescent="0.25">
      <c r="A686" s="3" t="s">
        <v>888</v>
      </c>
    </row>
    <row r="687" spans="1:1" x14ac:dyDescent="0.25">
      <c r="A687" s="4" t="s">
        <v>889</v>
      </c>
    </row>
    <row r="688" spans="1:1" x14ac:dyDescent="0.25">
      <c r="A688" s="2" t="s">
        <v>890</v>
      </c>
    </row>
    <row r="689" spans="1:1" x14ac:dyDescent="0.25">
      <c r="A689" s="3" t="s">
        <v>891</v>
      </c>
    </row>
    <row r="690" spans="1:1" x14ac:dyDescent="0.25">
      <c r="A690" s="4" t="s">
        <v>893</v>
      </c>
    </row>
    <row r="691" spans="1:1" x14ac:dyDescent="0.25">
      <c r="A691" s="2" t="s">
        <v>895</v>
      </c>
    </row>
    <row r="692" spans="1:1" x14ac:dyDescent="0.25">
      <c r="A692" s="3" t="s">
        <v>896</v>
      </c>
    </row>
    <row r="693" spans="1:1" x14ac:dyDescent="0.25">
      <c r="A693" s="4" t="s">
        <v>897</v>
      </c>
    </row>
    <row r="694" spans="1:1" x14ac:dyDescent="0.25">
      <c r="A694" s="2" t="s">
        <v>899</v>
      </c>
    </row>
    <row r="695" spans="1:1" x14ac:dyDescent="0.25">
      <c r="A695" s="3" t="s">
        <v>896</v>
      </c>
    </row>
    <row r="696" spans="1:1" x14ac:dyDescent="0.25">
      <c r="A696" s="4" t="s">
        <v>900</v>
      </c>
    </row>
    <row r="697" spans="1:1" x14ac:dyDescent="0.25">
      <c r="A697" s="2" t="s">
        <v>901</v>
      </c>
    </row>
    <row r="698" spans="1:1" x14ac:dyDescent="0.25">
      <c r="A698" s="3" t="s">
        <v>902</v>
      </c>
    </row>
    <row r="699" spans="1:1" x14ac:dyDescent="0.25">
      <c r="A699" s="4" t="s">
        <v>904</v>
      </c>
    </row>
    <row r="700" spans="1:1" x14ac:dyDescent="0.25">
      <c r="A700" s="2" t="s">
        <v>905</v>
      </c>
    </row>
    <row r="701" spans="1:1" x14ac:dyDescent="0.25">
      <c r="A701" s="3" t="s">
        <v>906</v>
      </c>
    </row>
    <row r="702" spans="1:1" x14ac:dyDescent="0.25">
      <c r="A702" s="4" t="s">
        <v>908</v>
      </c>
    </row>
    <row r="703" spans="1:1" x14ac:dyDescent="0.25">
      <c r="A703" s="2" t="s">
        <v>910</v>
      </c>
    </row>
    <row r="704" spans="1:1" x14ac:dyDescent="0.25">
      <c r="A704" s="3" t="s">
        <v>911</v>
      </c>
    </row>
    <row r="705" spans="1:1" x14ac:dyDescent="0.25">
      <c r="A705" s="4" t="s">
        <v>913</v>
      </c>
    </row>
    <row r="706" spans="1:1" x14ac:dyDescent="0.25">
      <c r="A706" s="2" t="s">
        <v>914</v>
      </c>
    </row>
    <row r="707" spans="1:1" x14ac:dyDescent="0.25">
      <c r="A707" s="3" t="s">
        <v>915</v>
      </c>
    </row>
    <row r="708" spans="1:1" x14ac:dyDescent="0.25">
      <c r="A708" s="4" t="s">
        <v>916</v>
      </c>
    </row>
    <row r="709" spans="1:1" x14ac:dyDescent="0.25">
      <c r="A709" s="2" t="s">
        <v>917</v>
      </c>
    </row>
    <row r="710" spans="1:1" x14ac:dyDescent="0.25">
      <c r="A710" s="3" t="s">
        <v>918</v>
      </c>
    </row>
    <row r="711" spans="1:1" x14ac:dyDescent="0.25">
      <c r="A711" s="4" t="s">
        <v>920</v>
      </c>
    </row>
    <row r="712" spans="1:1" x14ac:dyDescent="0.25">
      <c r="A712" s="2" t="s">
        <v>922</v>
      </c>
    </row>
    <row r="713" spans="1:1" x14ac:dyDescent="0.25">
      <c r="A713" s="3" t="s">
        <v>923</v>
      </c>
    </row>
    <row r="714" spans="1:1" x14ac:dyDescent="0.25">
      <c r="A714" s="4" t="s">
        <v>924</v>
      </c>
    </row>
    <row r="715" spans="1:1" x14ac:dyDescent="0.25">
      <c r="A715" s="2" t="s">
        <v>926</v>
      </c>
    </row>
    <row r="716" spans="1:1" x14ac:dyDescent="0.25">
      <c r="A716" s="3" t="s">
        <v>927</v>
      </c>
    </row>
    <row r="717" spans="1:1" x14ac:dyDescent="0.25">
      <c r="A717" s="4" t="s">
        <v>928</v>
      </c>
    </row>
    <row r="718" spans="1:1" x14ac:dyDescent="0.25">
      <c r="A718" s="2" t="s">
        <v>930</v>
      </c>
    </row>
    <row r="719" spans="1:1" x14ac:dyDescent="0.25">
      <c r="A719" s="3" t="s">
        <v>931</v>
      </c>
    </row>
    <row r="720" spans="1:1" x14ac:dyDescent="0.25">
      <c r="A720" s="4" t="s">
        <v>932</v>
      </c>
    </row>
    <row r="721" spans="1:1" x14ac:dyDescent="0.25">
      <c r="A721" s="2" t="s">
        <v>934</v>
      </c>
    </row>
    <row r="722" spans="1:1" x14ac:dyDescent="0.25">
      <c r="A722" s="3" t="s">
        <v>935</v>
      </c>
    </row>
    <row r="723" spans="1:1" x14ac:dyDescent="0.25">
      <c r="A723" s="4" t="s">
        <v>936</v>
      </c>
    </row>
    <row r="724" spans="1:1" x14ac:dyDescent="0.25">
      <c r="A724" s="2" t="s">
        <v>938</v>
      </c>
    </row>
    <row r="725" spans="1:1" x14ac:dyDescent="0.25">
      <c r="A725" s="3" t="s">
        <v>939</v>
      </c>
    </row>
    <row r="726" spans="1:1" x14ac:dyDescent="0.25">
      <c r="A726" s="4" t="s">
        <v>940</v>
      </c>
    </row>
    <row r="727" spans="1:1" x14ac:dyDescent="0.25">
      <c r="A727" s="2" t="s">
        <v>941</v>
      </c>
    </row>
    <row r="728" spans="1:1" x14ac:dyDescent="0.25">
      <c r="A728" s="3" t="s">
        <v>942</v>
      </c>
    </row>
    <row r="729" spans="1:1" x14ac:dyDescent="0.25">
      <c r="A729" s="4" t="s">
        <v>943</v>
      </c>
    </row>
    <row r="730" spans="1:1" x14ac:dyDescent="0.25">
      <c r="A730" s="2" t="s">
        <v>944</v>
      </c>
    </row>
    <row r="731" spans="1:1" x14ac:dyDescent="0.25">
      <c r="A731" s="3" t="s">
        <v>945</v>
      </c>
    </row>
    <row r="732" spans="1:1" x14ac:dyDescent="0.25">
      <c r="A732" s="4" t="s">
        <v>946</v>
      </c>
    </row>
    <row r="733" spans="1:1" x14ac:dyDescent="0.25">
      <c r="A733" s="2" t="s">
        <v>948</v>
      </c>
    </row>
    <row r="734" spans="1:1" x14ac:dyDescent="0.25">
      <c r="A734" s="3" t="s">
        <v>949</v>
      </c>
    </row>
    <row r="735" spans="1:1" x14ac:dyDescent="0.25">
      <c r="A735" s="4" t="s">
        <v>950</v>
      </c>
    </row>
    <row r="736" spans="1:1" x14ac:dyDescent="0.25">
      <c r="A736" s="2" t="s">
        <v>952</v>
      </c>
    </row>
    <row r="737" spans="1:1" x14ac:dyDescent="0.25">
      <c r="A737" s="3" t="s">
        <v>953</v>
      </c>
    </row>
    <row r="738" spans="1:1" x14ac:dyDescent="0.25">
      <c r="A738" s="4" t="s">
        <v>954</v>
      </c>
    </row>
    <row r="739" spans="1:1" x14ac:dyDescent="0.25">
      <c r="A739" s="2" t="s">
        <v>956</v>
      </c>
    </row>
    <row r="740" spans="1:1" x14ac:dyDescent="0.25">
      <c r="A740" s="3" t="s">
        <v>957</v>
      </c>
    </row>
    <row r="741" spans="1:1" x14ac:dyDescent="0.25">
      <c r="A741" s="4" t="s">
        <v>958</v>
      </c>
    </row>
    <row r="742" spans="1:1" x14ac:dyDescent="0.25">
      <c r="A742" s="2" t="s">
        <v>959</v>
      </c>
    </row>
    <row r="743" spans="1:1" x14ac:dyDescent="0.25">
      <c r="A743" s="3" t="s">
        <v>960</v>
      </c>
    </row>
    <row r="744" spans="1:1" x14ac:dyDescent="0.25">
      <c r="A744" s="4" t="s">
        <v>961</v>
      </c>
    </row>
    <row r="745" spans="1:1" x14ac:dyDescent="0.25">
      <c r="A745" s="2" t="s">
        <v>962</v>
      </c>
    </row>
    <row r="746" spans="1:1" x14ac:dyDescent="0.25">
      <c r="A746" s="3" t="s">
        <v>963</v>
      </c>
    </row>
    <row r="747" spans="1:1" x14ac:dyDescent="0.25">
      <c r="A747" s="4" t="s">
        <v>964</v>
      </c>
    </row>
    <row r="748" spans="1:1" x14ac:dyDescent="0.25">
      <c r="A748" s="2" t="s">
        <v>966</v>
      </c>
    </row>
    <row r="749" spans="1:1" x14ac:dyDescent="0.25">
      <c r="A749" s="3" t="s">
        <v>967</v>
      </c>
    </row>
    <row r="750" spans="1:1" x14ac:dyDescent="0.25">
      <c r="A750" s="4" t="s">
        <v>968</v>
      </c>
    </row>
    <row r="751" spans="1:1" x14ac:dyDescent="0.25">
      <c r="A751" s="2" t="s">
        <v>970</v>
      </c>
    </row>
    <row r="752" spans="1:1" x14ac:dyDescent="0.25">
      <c r="A752" s="3" t="s">
        <v>971</v>
      </c>
    </row>
    <row r="753" spans="1:1" x14ac:dyDescent="0.25">
      <c r="A753" s="4" t="s">
        <v>972</v>
      </c>
    </row>
    <row r="754" spans="1:1" x14ac:dyDescent="0.25">
      <c r="A754" s="2" t="s">
        <v>973</v>
      </c>
    </row>
    <row r="755" spans="1:1" x14ac:dyDescent="0.25">
      <c r="A755" s="3" t="s">
        <v>974</v>
      </c>
    </row>
    <row r="756" spans="1:1" x14ac:dyDescent="0.25">
      <c r="A756" s="4" t="s">
        <v>975</v>
      </c>
    </row>
    <row r="757" spans="1:1" x14ac:dyDescent="0.25">
      <c r="A757" s="2" t="s">
        <v>976</v>
      </c>
    </row>
    <row r="758" spans="1:1" x14ac:dyDescent="0.25">
      <c r="A758" s="3" t="s">
        <v>977</v>
      </c>
    </row>
    <row r="759" spans="1:1" x14ac:dyDescent="0.25">
      <c r="A759" s="4" t="s">
        <v>978</v>
      </c>
    </row>
    <row r="760" spans="1:1" x14ac:dyDescent="0.25">
      <c r="A760" s="2" t="s">
        <v>980</v>
      </c>
    </row>
    <row r="761" spans="1:1" x14ac:dyDescent="0.25">
      <c r="A761" s="3" t="s">
        <v>981</v>
      </c>
    </row>
    <row r="762" spans="1:1" x14ac:dyDescent="0.25">
      <c r="A762" s="4" t="s">
        <v>982</v>
      </c>
    </row>
    <row r="763" spans="1:1" x14ac:dyDescent="0.25">
      <c r="A763" s="2" t="s">
        <v>983</v>
      </c>
    </row>
    <row r="764" spans="1:1" x14ac:dyDescent="0.25">
      <c r="A764" s="3" t="s">
        <v>984</v>
      </c>
    </row>
    <row r="765" spans="1:1" x14ac:dyDescent="0.25">
      <c r="A765" s="4" t="s">
        <v>985</v>
      </c>
    </row>
    <row r="766" spans="1:1" x14ac:dyDescent="0.25">
      <c r="A766" s="2" t="s">
        <v>987</v>
      </c>
    </row>
    <row r="767" spans="1:1" x14ac:dyDescent="0.25">
      <c r="A767" s="3" t="s">
        <v>988</v>
      </c>
    </row>
    <row r="768" spans="1:1" x14ac:dyDescent="0.25">
      <c r="A768" s="4" t="s">
        <v>989</v>
      </c>
    </row>
    <row r="769" spans="1:1" x14ac:dyDescent="0.25">
      <c r="A769" s="2" t="s">
        <v>991</v>
      </c>
    </row>
    <row r="770" spans="1:1" x14ac:dyDescent="0.25">
      <c r="A770" s="3" t="s">
        <v>992</v>
      </c>
    </row>
    <row r="771" spans="1:1" x14ac:dyDescent="0.25">
      <c r="A771" s="4" t="s">
        <v>993</v>
      </c>
    </row>
    <row r="772" spans="1:1" x14ac:dyDescent="0.25">
      <c r="A772" s="2" t="s">
        <v>995</v>
      </c>
    </row>
    <row r="773" spans="1:1" x14ac:dyDescent="0.25">
      <c r="A773" s="3" t="s">
        <v>996</v>
      </c>
    </row>
    <row r="774" spans="1:1" x14ac:dyDescent="0.25">
      <c r="A774" s="4" t="s">
        <v>997</v>
      </c>
    </row>
    <row r="775" spans="1:1" x14ac:dyDescent="0.25">
      <c r="A775" s="2" t="s">
        <v>999</v>
      </c>
    </row>
    <row r="776" spans="1:1" x14ac:dyDescent="0.25">
      <c r="A776" s="3" t="s">
        <v>1000</v>
      </c>
    </row>
    <row r="777" spans="1:1" x14ac:dyDescent="0.25">
      <c r="A777" s="4" t="s">
        <v>1001</v>
      </c>
    </row>
    <row r="778" spans="1:1" x14ac:dyDescent="0.25">
      <c r="A778" s="2" t="s">
        <v>1003</v>
      </c>
    </row>
    <row r="779" spans="1:1" x14ac:dyDescent="0.25">
      <c r="A779" s="3" t="s">
        <v>1004</v>
      </c>
    </row>
    <row r="780" spans="1:1" x14ac:dyDescent="0.25">
      <c r="A780" s="4" t="s">
        <v>1005</v>
      </c>
    </row>
    <row r="781" spans="1:1" x14ac:dyDescent="0.25">
      <c r="A781" s="2" t="s">
        <v>1007</v>
      </c>
    </row>
    <row r="782" spans="1:1" x14ac:dyDescent="0.25">
      <c r="A782" s="3" t="s">
        <v>1008</v>
      </c>
    </row>
    <row r="783" spans="1:1" x14ac:dyDescent="0.25">
      <c r="A783" s="4" t="s">
        <v>1009</v>
      </c>
    </row>
    <row r="784" spans="1:1" x14ac:dyDescent="0.25">
      <c r="A784" s="2" t="s">
        <v>1011</v>
      </c>
    </row>
    <row r="785" spans="1:1" x14ac:dyDescent="0.25">
      <c r="A785" s="3" t="s">
        <v>1012</v>
      </c>
    </row>
    <row r="786" spans="1:1" x14ac:dyDescent="0.25">
      <c r="A786" s="4" t="s">
        <v>1013</v>
      </c>
    </row>
    <row r="787" spans="1:1" x14ac:dyDescent="0.25">
      <c r="A787" s="2" t="s">
        <v>1015</v>
      </c>
    </row>
    <row r="788" spans="1:1" x14ac:dyDescent="0.25">
      <c r="A788" s="3" t="s">
        <v>1016</v>
      </c>
    </row>
    <row r="789" spans="1:1" x14ac:dyDescent="0.25">
      <c r="A789" s="4" t="s">
        <v>1017</v>
      </c>
    </row>
    <row r="790" spans="1:1" x14ac:dyDescent="0.25">
      <c r="A790" s="2" t="s">
        <v>1019</v>
      </c>
    </row>
    <row r="791" spans="1:1" x14ac:dyDescent="0.25">
      <c r="A791" s="3" t="s">
        <v>1020</v>
      </c>
    </row>
    <row r="792" spans="1:1" x14ac:dyDescent="0.25">
      <c r="A792" s="4" t="s">
        <v>1021</v>
      </c>
    </row>
    <row r="793" spans="1:1" x14ac:dyDescent="0.25">
      <c r="A793" s="2" t="s">
        <v>1023</v>
      </c>
    </row>
    <row r="794" spans="1:1" x14ac:dyDescent="0.25">
      <c r="A794" s="3" t="s">
        <v>1024</v>
      </c>
    </row>
    <row r="795" spans="1:1" x14ac:dyDescent="0.25">
      <c r="A795" s="4" t="s">
        <v>1025</v>
      </c>
    </row>
    <row r="796" spans="1:1" x14ac:dyDescent="0.25">
      <c r="A796" s="2" t="s">
        <v>1027</v>
      </c>
    </row>
    <row r="797" spans="1:1" x14ac:dyDescent="0.25">
      <c r="A797" s="3" t="s">
        <v>1028</v>
      </c>
    </row>
    <row r="798" spans="1:1" x14ac:dyDescent="0.25">
      <c r="A798" s="4" t="s">
        <v>1029</v>
      </c>
    </row>
    <row r="799" spans="1:1" x14ac:dyDescent="0.25">
      <c r="A799" s="2" t="s">
        <v>1031</v>
      </c>
    </row>
    <row r="800" spans="1:1" x14ac:dyDescent="0.25">
      <c r="A800" s="3" t="s">
        <v>1032</v>
      </c>
    </row>
    <row r="801" spans="1:1" x14ac:dyDescent="0.25">
      <c r="A801" s="4" t="s">
        <v>1033</v>
      </c>
    </row>
    <row r="802" spans="1:1" x14ac:dyDescent="0.25">
      <c r="A802" s="2" t="s">
        <v>1035</v>
      </c>
    </row>
    <row r="803" spans="1:1" x14ac:dyDescent="0.25">
      <c r="A803" s="3" t="s">
        <v>1032</v>
      </c>
    </row>
    <row r="804" spans="1:1" x14ac:dyDescent="0.25">
      <c r="A804" s="4" t="s">
        <v>1033</v>
      </c>
    </row>
    <row r="805" spans="1:1" x14ac:dyDescent="0.25">
      <c r="A805" s="2" t="s">
        <v>1036</v>
      </c>
    </row>
    <row r="806" spans="1:1" x14ac:dyDescent="0.25">
      <c r="A806" s="3" t="s">
        <v>1032</v>
      </c>
    </row>
    <row r="807" spans="1:1" x14ac:dyDescent="0.25">
      <c r="A807" s="4" t="s">
        <v>1037</v>
      </c>
    </row>
    <row r="808" spans="1:1" x14ac:dyDescent="0.25">
      <c r="A808" s="2" t="s">
        <v>1038</v>
      </c>
    </row>
    <row r="809" spans="1:1" x14ac:dyDescent="0.25">
      <c r="A809" s="3" t="s">
        <v>1032</v>
      </c>
    </row>
    <row r="810" spans="1:1" x14ac:dyDescent="0.25">
      <c r="A810" s="4" t="s">
        <v>1040</v>
      </c>
    </row>
    <row r="811" spans="1:1" x14ac:dyDescent="0.25">
      <c r="A811" s="2" t="s">
        <v>1041</v>
      </c>
    </row>
    <row r="812" spans="1:1" x14ac:dyDescent="0.25">
      <c r="A812" s="3" t="s">
        <v>1042</v>
      </c>
    </row>
    <row r="813" spans="1:1" x14ac:dyDescent="0.25">
      <c r="A813" s="4" t="s">
        <v>1043</v>
      </c>
    </row>
    <row r="814" spans="1:1" x14ac:dyDescent="0.25">
      <c r="A814" s="2" t="s">
        <v>1044</v>
      </c>
    </row>
    <row r="815" spans="1:1" x14ac:dyDescent="0.25">
      <c r="A815" s="3" t="s">
        <v>1045</v>
      </c>
    </row>
    <row r="816" spans="1:1" x14ac:dyDescent="0.25">
      <c r="A816" s="4" t="s">
        <v>1046</v>
      </c>
    </row>
    <row r="817" spans="1:1" x14ac:dyDescent="0.25">
      <c r="A817" s="2" t="s">
        <v>1048</v>
      </c>
    </row>
    <row r="818" spans="1:1" x14ac:dyDescent="0.25">
      <c r="A818" s="3" t="s">
        <v>1049</v>
      </c>
    </row>
    <row r="819" spans="1:1" x14ac:dyDescent="0.25">
      <c r="A819" s="4" t="s">
        <v>1050</v>
      </c>
    </row>
    <row r="820" spans="1:1" x14ac:dyDescent="0.25">
      <c r="A820" s="2" t="s">
        <v>1052</v>
      </c>
    </row>
    <row r="821" spans="1:1" x14ac:dyDescent="0.25">
      <c r="A821" s="3" t="s">
        <v>1053</v>
      </c>
    </row>
    <row r="822" spans="1:1" x14ac:dyDescent="0.25">
      <c r="A822" s="4" t="s">
        <v>1054</v>
      </c>
    </row>
    <row r="823" spans="1:1" x14ac:dyDescent="0.25">
      <c r="A823" s="2" t="s">
        <v>1056</v>
      </c>
    </row>
    <row r="824" spans="1:1" x14ac:dyDescent="0.25">
      <c r="A824" s="3" t="s">
        <v>1057</v>
      </c>
    </row>
    <row r="825" spans="1:1" x14ac:dyDescent="0.25">
      <c r="A825" s="4" t="s">
        <v>1059</v>
      </c>
    </row>
    <row r="826" spans="1:1" x14ac:dyDescent="0.25">
      <c r="A826" s="2" t="s">
        <v>1061</v>
      </c>
    </row>
    <row r="827" spans="1:1" x14ac:dyDescent="0.25">
      <c r="A827" s="3" t="s">
        <v>1062</v>
      </c>
    </row>
    <row r="828" spans="1:1" x14ac:dyDescent="0.25">
      <c r="A828" s="4" t="s">
        <v>1064</v>
      </c>
    </row>
    <row r="829" spans="1:1" x14ac:dyDescent="0.25">
      <c r="A829" s="2" t="s">
        <v>1066</v>
      </c>
    </row>
    <row r="830" spans="1:1" x14ac:dyDescent="0.25">
      <c r="A830" s="3" t="s">
        <v>1067</v>
      </c>
    </row>
    <row r="831" spans="1:1" x14ac:dyDescent="0.25">
      <c r="A831" s="4" t="s">
        <v>1069</v>
      </c>
    </row>
    <row r="832" spans="1:1" x14ac:dyDescent="0.25">
      <c r="A832" s="2" t="s">
        <v>1071</v>
      </c>
    </row>
    <row r="833" spans="1:1" x14ac:dyDescent="0.25">
      <c r="A833" s="3" t="s">
        <v>1072</v>
      </c>
    </row>
    <row r="834" spans="1:1" x14ac:dyDescent="0.25">
      <c r="A834" s="4" t="s">
        <v>1074</v>
      </c>
    </row>
    <row r="835" spans="1:1" x14ac:dyDescent="0.25">
      <c r="A835" s="2" t="s">
        <v>1076</v>
      </c>
    </row>
    <row r="836" spans="1:1" x14ac:dyDescent="0.25">
      <c r="A836" s="3" t="s">
        <v>1077</v>
      </c>
    </row>
    <row r="837" spans="1:1" x14ac:dyDescent="0.25">
      <c r="A837" s="4" t="s">
        <v>1079</v>
      </c>
    </row>
    <row r="838" spans="1:1" x14ac:dyDescent="0.25">
      <c r="A838" s="2" t="s">
        <v>1081</v>
      </c>
    </row>
    <row r="839" spans="1:1" x14ac:dyDescent="0.25">
      <c r="A839" s="3" t="s">
        <v>1082</v>
      </c>
    </row>
    <row r="840" spans="1:1" x14ac:dyDescent="0.25">
      <c r="A840" s="4" t="s">
        <v>1083</v>
      </c>
    </row>
    <row r="841" spans="1:1" x14ac:dyDescent="0.25">
      <c r="A841" s="2" t="s">
        <v>1085</v>
      </c>
    </row>
    <row r="842" spans="1:1" x14ac:dyDescent="0.25">
      <c r="A842" s="3" t="s">
        <v>1086</v>
      </c>
    </row>
    <row r="843" spans="1:1" x14ac:dyDescent="0.25">
      <c r="A843" s="4" t="s">
        <v>1088</v>
      </c>
    </row>
    <row r="844" spans="1:1" x14ac:dyDescent="0.25">
      <c r="A844" s="2" t="s">
        <v>1090</v>
      </c>
    </row>
    <row r="845" spans="1:1" x14ac:dyDescent="0.25">
      <c r="A845" s="3" t="s">
        <v>1091</v>
      </c>
    </row>
    <row r="846" spans="1:1" x14ac:dyDescent="0.25">
      <c r="A846" s="4" t="s">
        <v>1092</v>
      </c>
    </row>
    <row r="847" spans="1:1" x14ac:dyDescent="0.25">
      <c r="A847" s="2" t="s">
        <v>1094</v>
      </c>
    </row>
    <row r="848" spans="1:1" x14ac:dyDescent="0.25">
      <c r="A848" s="3" t="s">
        <v>1095</v>
      </c>
    </row>
    <row r="849" spans="1:1" x14ac:dyDescent="0.25">
      <c r="A849" s="4" t="s">
        <v>1096</v>
      </c>
    </row>
    <row r="850" spans="1:1" x14ac:dyDescent="0.25">
      <c r="A850" s="2" t="s">
        <v>1098</v>
      </c>
    </row>
    <row r="851" spans="1:1" x14ac:dyDescent="0.25">
      <c r="A851" s="3" t="s">
        <v>1099</v>
      </c>
    </row>
    <row r="852" spans="1:1" x14ac:dyDescent="0.25">
      <c r="A852" s="4" t="s">
        <v>1101</v>
      </c>
    </row>
    <row r="853" spans="1:1" x14ac:dyDescent="0.25">
      <c r="A853" s="2" t="s">
        <v>1102</v>
      </c>
    </row>
    <row r="854" spans="1:1" x14ac:dyDescent="0.25">
      <c r="A854" s="3" t="s">
        <v>1103</v>
      </c>
    </row>
    <row r="855" spans="1:1" x14ac:dyDescent="0.25">
      <c r="A855" s="4" t="s">
        <v>1105</v>
      </c>
    </row>
    <row r="856" spans="1:1" x14ac:dyDescent="0.25">
      <c r="A856" s="2" t="s">
        <v>1107</v>
      </c>
    </row>
    <row r="857" spans="1:1" x14ac:dyDescent="0.25">
      <c r="A857" s="3" t="s">
        <v>1108</v>
      </c>
    </row>
    <row r="858" spans="1:1" x14ac:dyDescent="0.25">
      <c r="A858" s="4" t="s">
        <v>1110</v>
      </c>
    </row>
    <row r="859" spans="1:1" x14ac:dyDescent="0.25">
      <c r="A859" s="2" t="s">
        <v>1112</v>
      </c>
    </row>
    <row r="860" spans="1:1" x14ac:dyDescent="0.25">
      <c r="A860" s="3" t="s">
        <v>1113</v>
      </c>
    </row>
    <row r="861" spans="1:1" x14ac:dyDescent="0.25">
      <c r="A861" s="4" t="s">
        <v>1114</v>
      </c>
    </row>
    <row r="862" spans="1:1" x14ac:dyDescent="0.25">
      <c r="A862" s="2" t="s">
        <v>1115</v>
      </c>
    </row>
    <row r="863" spans="1:1" x14ac:dyDescent="0.25">
      <c r="A863" s="3" t="s">
        <v>1116</v>
      </c>
    </row>
    <row r="864" spans="1:1" x14ac:dyDescent="0.25">
      <c r="A864" s="4" t="s">
        <v>1117</v>
      </c>
    </row>
    <row r="865" spans="1:1" x14ac:dyDescent="0.25">
      <c r="A865" s="2" t="s">
        <v>1119</v>
      </c>
    </row>
    <row r="866" spans="1:1" x14ac:dyDescent="0.25">
      <c r="A866" s="3" t="s">
        <v>1120</v>
      </c>
    </row>
    <row r="867" spans="1:1" x14ac:dyDescent="0.25">
      <c r="A867" s="4" t="s">
        <v>1122</v>
      </c>
    </row>
    <row r="868" spans="1:1" x14ac:dyDescent="0.25">
      <c r="A868" s="2" t="s">
        <v>1123</v>
      </c>
    </row>
    <row r="869" spans="1:1" x14ac:dyDescent="0.25">
      <c r="A869" s="3" t="s">
        <v>1124</v>
      </c>
    </row>
    <row r="870" spans="1:1" x14ac:dyDescent="0.25">
      <c r="A870" s="4" t="s">
        <v>1126</v>
      </c>
    </row>
    <row r="871" spans="1:1" x14ac:dyDescent="0.25">
      <c r="A871" s="2" t="s">
        <v>1128</v>
      </c>
    </row>
    <row r="872" spans="1:1" x14ac:dyDescent="0.25">
      <c r="A872" s="3" t="s">
        <v>1129</v>
      </c>
    </row>
    <row r="873" spans="1:1" x14ac:dyDescent="0.25">
      <c r="A873" s="4" t="s">
        <v>1131</v>
      </c>
    </row>
    <row r="874" spans="1:1" x14ac:dyDescent="0.25">
      <c r="A874" s="2" t="s">
        <v>1133</v>
      </c>
    </row>
    <row r="875" spans="1:1" x14ac:dyDescent="0.25">
      <c r="A875" s="3" t="s">
        <v>1134</v>
      </c>
    </row>
    <row r="876" spans="1:1" x14ac:dyDescent="0.25">
      <c r="A876" s="4" t="s">
        <v>1135</v>
      </c>
    </row>
    <row r="877" spans="1:1" x14ac:dyDescent="0.25">
      <c r="A877" s="2" t="s">
        <v>1136</v>
      </c>
    </row>
    <row r="878" spans="1:1" x14ac:dyDescent="0.25">
      <c r="A878" s="3" t="s">
        <v>1137</v>
      </c>
    </row>
    <row r="879" spans="1:1" x14ac:dyDescent="0.25">
      <c r="A879" s="4" t="s">
        <v>1138</v>
      </c>
    </row>
    <row r="880" spans="1:1" x14ac:dyDescent="0.25">
      <c r="A880" s="2" t="s">
        <v>1139</v>
      </c>
    </row>
    <row r="881" spans="1:1" x14ac:dyDescent="0.25">
      <c r="A881" s="3" t="s">
        <v>1140</v>
      </c>
    </row>
    <row r="882" spans="1:1" x14ac:dyDescent="0.25">
      <c r="A882" s="4" t="s">
        <v>1142</v>
      </c>
    </row>
    <row r="883" spans="1:1" x14ac:dyDescent="0.25">
      <c r="A883" s="2" t="s">
        <v>1144</v>
      </c>
    </row>
    <row r="884" spans="1:1" x14ac:dyDescent="0.25">
      <c r="A884" s="3" t="s">
        <v>1145</v>
      </c>
    </row>
    <row r="885" spans="1:1" x14ac:dyDescent="0.25">
      <c r="A885" s="4" t="s">
        <v>1147</v>
      </c>
    </row>
    <row r="886" spans="1:1" x14ac:dyDescent="0.25">
      <c r="A886" s="2" t="s">
        <v>1148</v>
      </c>
    </row>
    <row r="887" spans="1:1" x14ac:dyDescent="0.25">
      <c r="A887" s="3" t="s">
        <v>1149</v>
      </c>
    </row>
    <row r="888" spans="1:1" x14ac:dyDescent="0.25">
      <c r="A888" s="4" t="s">
        <v>1150</v>
      </c>
    </row>
    <row r="889" spans="1:1" x14ac:dyDescent="0.25">
      <c r="A889" s="2" t="s">
        <v>1151</v>
      </c>
    </row>
    <row r="890" spans="1:1" x14ac:dyDescent="0.25">
      <c r="A890" s="3" t="s">
        <v>1152</v>
      </c>
    </row>
    <row r="891" spans="1:1" x14ac:dyDescent="0.25">
      <c r="A891" s="4" t="s">
        <v>1153</v>
      </c>
    </row>
    <row r="892" spans="1:1" x14ac:dyDescent="0.25">
      <c r="A892" s="2" t="s">
        <v>1155</v>
      </c>
    </row>
    <row r="893" spans="1:1" x14ac:dyDescent="0.25">
      <c r="A893" s="3" t="s">
        <v>1156</v>
      </c>
    </row>
    <row r="894" spans="1:1" x14ac:dyDescent="0.25">
      <c r="A894" s="4" t="s">
        <v>1158</v>
      </c>
    </row>
    <row r="895" spans="1:1" x14ac:dyDescent="0.25">
      <c r="A895" s="2" t="s">
        <v>1160</v>
      </c>
    </row>
    <row r="896" spans="1:1" x14ac:dyDescent="0.25">
      <c r="A896" s="3" t="s">
        <v>1161</v>
      </c>
    </row>
    <row r="897" spans="1:1" x14ac:dyDescent="0.25">
      <c r="A897" s="4" t="s">
        <v>1163</v>
      </c>
    </row>
    <row r="898" spans="1:1" x14ac:dyDescent="0.25">
      <c r="A898" s="2" t="s">
        <v>1165</v>
      </c>
    </row>
    <row r="899" spans="1:1" x14ac:dyDescent="0.25">
      <c r="A899" s="3" t="s">
        <v>1166</v>
      </c>
    </row>
    <row r="900" spans="1:1" x14ac:dyDescent="0.25">
      <c r="A900" s="4" t="s">
        <v>1167</v>
      </c>
    </row>
    <row r="901" spans="1:1" x14ac:dyDescent="0.25">
      <c r="A901" s="2" t="s">
        <v>1168</v>
      </c>
    </row>
    <row r="902" spans="1:1" x14ac:dyDescent="0.25">
      <c r="A902" s="3" t="s">
        <v>1169</v>
      </c>
    </row>
    <row r="903" spans="1:1" x14ac:dyDescent="0.25">
      <c r="A903" s="4" t="s">
        <v>1170</v>
      </c>
    </row>
    <row r="904" spans="1:1" x14ac:dyDescent="0.25">
      <c r="A904" s="2" t="s">
        <v>1172</v>
      </c>
    </row>
    <row r="905" spans="1:1" x14ac:dyDescent="0.25">
      <c r="A905" s="3" t="s">
        <v>1173</v>
      </c>
    </row>
    <row r="906" spans="1:1" x14ac:dyDescent="0.25">
      <c r="A906" s="4" t="s">
        <v>1175</v>
      </c>
    </row>
    <row r="907" spans="1:1" x14ac:dyDescent="0.25">
      <c r="A907" s="2" t="s">
        <v>1177</v>
      </c>
    </row>
    <row r="908" spans="1:1" x14ac:dyDescent="0.25">
      <c r="A908" s="3" t="s">
        <v>1178</v>
      </c>
    </row>
    <row r="909" spans="1:1" x14ac:dyDescent="0.25">
      <c r="A909" s="4" t="s">
        <v>1180</v>
      </c>
    </row>
    <row r="910" spans="1:1" x14ac:dyDescent="0.25">
      <c r="A910" s="2" t="s">
        <v>1182</v>
      </c>
    </row>
    <row r="911" spans="1:1" x14ac:dyDescent="0.25">
      <c r="A911" s="3" t="s">
        <v>1183</v>
      </c>
    </row>
    <row r="912" spans="1:1" x14ac:dyDescent="0.25">
      <c r="A912" s="4" t="s">
        <v>1184</v>
      </c>
    </row>
    <row r="913" spans="1:1" x14ac:dyDescent="0.25">
      <c r="A913" s="2" t="s">
        <v>1185</v>
      </c>
    </row>
    <row r="914" spans="1:1" x14ac:dyDescent="0.25">
      <c r="A914" s="3" t="s">
        <v>1186</v>
      </c>
    </row>
    <row r="915" spans="1:1" x14ac:dyDescent="0.25">
      <c r="A915" s="4" t="s">
        <v>1187</v>
      </c>
    </row>
    <row r="916" spans="1:1" x14ac:dyDescent="0.25">
      <c r="A916" s="2" t="s">
        <v>1188</v>
      </c>
    </row>
    <row r="917" spans="1:1" x14ac:dyDescent="0.25">
      <c r="A917" s="3" t="s">
        <v>1189</v>
      </c>
    </row>
    <row r="918" spans="1:1" x14ac:dyDescent="0.25">
      <c r="A918" s="4" t="s">
        <v>1190</v>
      </c>
    </row>
    <row r="919" spans="1:1" x14ac:dyDescent="0.25">
      <c r="A919" s="2" t="s">
        <v>1192</v>
      </c>
    </row>
    <row r="920" spans="1:1" x14ac:dyDescent="0.25">
      <c r="A920" s="3" t="s">
        <v>1193</v>
      </c>
    </row>
    <row r="921" spans="1:1" x14ac:dyDescent="0.25">
      <c r="A921" s="4" t="s">
        <v>1194</v>
      </c>
    </row>
    <row r="922" spans="1:1" x14ac:dyDescent="0.25">
      <c r="A922" s="2" t="s">
        <v>1196</v>
      </c>
    </row>
    <row r="923" spans="1:1" x14ac:dyDescent="0.25">
      <c r="A923" s="3" t="s">
        <v>1197</v>
      </c>
    </row>
    <row r="924" spans="1:1" x14ac:dyDescent="0.25">
      <c r="A924" s="4" t="s">
        <v>1197</v>
      </c>
    </row>
    <row r="925" spans="1:1" x14ac:dyDescent="0.25">
      <c r="A925" s="2" t="s">
        <v>1198</v>
      </c>
    </row>
    <row r="926" spans="1:1" x14ac:dyDescent="0.25">
      <c r="A926" s="3" t="s">
        <v>1199</v>
      </c>
    </row>
    <row r="927" spans="1:1" x14ac:dyDescent="0.25">
      <c r="A927" s="4" t="s">
        <v>1200</v>
      </c>
    </row>
    <row r="928" spans="1:1" x14ac:dyDescent="0.25">
      <c r="A928" s="2" t="s">
        <v>1202</v>
      </c>
    </row>
    <row r="929" spans="1:1" x14ac:dyDescent="0.25">
      <c r="A929" s="3" t="s">
        <v>1203</v>
      </c>
    </row>
    <row r="930" spans="1:1" x14ac:dyDescent="0.25">
      <c r="A930" s="4" t="s">
        <v>1205</v>
      </c>
    </row>
    <row r="931" spans="1:1" x14ac:dyDescent="0.25">
      <c r="A931" s="2" t="s">
        <v>1207</v>
      </c>
    </row>
    <row r="932" spans="1:1" x14ac:dyDescent="0.25">
      <c r="A932" s="3" t="s">
        <v>1208</v>
      </c>
    </row>
    <row r="933" spans="1:1" x14ac:dyDescent="0.25">
      <c r="A933" s="4" t="s">
        <v>1209</v>
      </c>
    </row>
    <row r="934" spans="1:1" x14ac:dyDescent="0.25">
      <c r="A934" s="2" t="s">
        <v>1211</v>
      </c>
    </row>
    <row r="935" spans="1:1" x14ac:dyDescent="0.25">
      <c r="A935" s="3" t="s">
        <v>1212</v>
      </c>
    </row>
    <row r="936" spans="1:1" x14ac:dyDescent="0.25">
      <c r="A936" s="4" t="s">
        <v>1213</v>
      </c>
    </row>
    <row r="937" spans="1:1" x14ac:dyDescent="0.25">
      <c r="A937" s="2" t="s">
        <v>1215</v>
      </c>
    </row>
    <row r="938" spans="1:1" x14ac:dyDescent="0.25">
      <c r="A938" s="3" t="s">
        <v>1216</v>
      </c>
    </row>
    <row r="939" spans="1:1" x14ac:dyDescent="0.25">
      <c r="A939" s="4" t="s">
        <v>1217</v>
      </c>
    </row>
    <row r="940" spans="1:1" x14ac:dyDescent="0.25">
      <c r="A940" s="2" t="s">
        <v>1218</v>
      </c>
    </row>
    <row r="941" spans="1:1" x14ac:dyDescent="0.25">
      <c r="A941" s="3" t="s">
        <v>1219</v>
      </c>
    </row>
    <row r="942" spans="1:1" x14ac:dyDescent="0.25">
      <c r="A942" s="4" t="s">
        <v>1220</v>
      </c>
    </row>
    <row r="943" spans="1:1" x14ac:dyDescent="0.25">
      <c r="A943" s="2" t="s">
        <v>1221</v>
      </c>
    </row>
    <row r="944" spans="1:1" x14ac:dyDescent="0.25">
      <c r="A944" s="3" t="s">
        <v>1222</v>
      </c>
    </row>
    <row r="945" spans="1:1" x14ac:dyDescent="0.25">
      <c r="A945" s="4" t="s">
        <v>1223</v>
      </c>
    </row>
    <row r="946" spans="1:1" x14ac:dyDescent="0.25">
      <c r="A946" s="2" t="s">
        <v>1226</v>
      </c>
    </row>
    <row r="947" spans="1:1" x14ac:dyDescent="0.25">
      <c r="A947" s="3" t="s">
        <v>1227</v>
      </c>
    </row>
    <row r="948" spans="1:1" x14ac:dyDescent="0.25">
      <c r="A948" s="4" t="s">
        <v>1229</v>
      </c>
    </row>
    <row r="949" spans="1:1" x14ac:dyDescent="0.25">
      <c r="A949" s="2" t="s">
        <v>1231</v>
      </c>
    </row>
    <row r="950" spans="1:1" x14ac:dyDescent="0.25">
      <c r="A950" s="3" t="s">
        <v>1232</v>
      </c>
    </row>
    <row r="951" spans="1:1" x14ac:dyDescent="0.25">
      <c r="A951" s="4" t="s">
        <v>1233</v>
      </c>
    </row>
    <row r="952" spans="1:1" x14ac:dyDescent="0.25">
      <c r="A952" s="2" t="s">
        <v>1235</v>
      </c>
    </row>
    <row r="953" spans="1:1" x14ac:dyDescent="0.25">
      <c r="A953" s="3" t="s">
        <v>1236</v>
      </c>
    </row>
    <row r="954" spans="1:1" x14ac:dyDescent="0.25">
      <c r="A954" s="4" t="s">
        <v>1237</v>
      </c>
    </row>
    <row r="955" spans="1:1" x14ac:dyDescent="0.25">
      <c r="A955" s="2" t="s">
        <v>1240</v>
      </c>
    </row>
    <row r="956" spans="1:1" x14ac:dyDescent="0.25">
      <c r="A956" s="3" t="s">
        <v>1241</v>
      </c>
    </row>
    <row r="957" spans="1:1" x14ac:dyDescent="0.25">
      <c r="A957" s="4" t="s">
        <v>1242</v>
      </c>
    </row>
    <row r="958" spans="1:1" x14ac:dyDescent="0.25">
      <c r="A958" s="2" t="s">
        <v>1244</v>
      </c>
    </row>
    <row r="959" spans="1:1" x14ac:dyDescent="0.25">
      <c r="A959" s="3" t="s">
        <v>1245</v>
      </c>
    </row>
    <row r="960" spans="1:1" x14ac:dyDescent="0.25">
      <c r="A960" s="4" t="s">
        <v>1246</v>
      </c>
    </row>
    <row r="961" spans="1:1" x14ac:dyDescent="0.25">
      <c r="A961" s="2" t="s">
        <v>1248</v>
      </c>
    </row>
    <row r="962" spans="1:1" x14ac:dyDescent="0.25">
      <c r="A962" s="3" t="s">
        <v>1249</v>
      </c>
    </row>
    <row r="963" spans="1:1" x14ac:dyDescent="0.25">
      <c r="A963" s="4" t="s">
        <v>1250</v>
      </c>
    </row>
    <row r="964" spans="1:1" x14ac:dyDescent="0.25">
      <c r="A964" s="2" t="s">
        <v>1251</v>
      </c>
    </row>
    <row r="965" spans="1:1" x14ac:dyDescent="0.25">
      <c r="A965" s="3" t="s">
        <v>1252</v>
      </c>
    </row>
    <row r="966" spans="1:1" x14ac:dyDescent="0.25">
      <c r="A966" s="4" t="s">
        <v>1253</v>
      </c>
    </row>
    <row r="967" spans="1:1" x14ac:dyDescent="0.25">
      <c r="A967" s="2" t="s">
        <v>1255</v>
      </c>
    </row>
    <row r="968" spans="1:1" x14ac:dyDescent="0.25">
      <c r="A968" s="3" t="s">
        <v>1256</v>
      </c>
    </row>
    <row r="969" spans="1:1" x14ac:dyDescent="0.25">
      <c r="A969" s="4" t="s">
        <v>1257</v>
      </c>
    </row>
    <row r="970" spans="1:1" x14ac:dyDescent="0.25">
      <c r="A970" s="2" t="s">
        <v>1258</v>
      </c>
    </row>
    <row r="971" spans="1:1" x14ac:dyDescent="0.25">
      <c r="A971" s="3" t="s">
        <v>1259</v>
      </c>
    </row>
    <row r="972" spans="1:1" x14ac:dyDescent="0.25">
      <c r="A972" s="4" t="s">
        <v>1260</v>
      </c>
    </row>
    <row r="973" spans="1:1" x14ac:dyDescent="0.25">
      <c r="A973" s="2" t="s">
        <v>1262</v>
      </c>
    </row>
    <row r="974" spans="1:1" x14ac:dyDescent="0.25">
      <c r="A974" s="3" t="s">
        <v>1263</v>
      </c>
    </row>
    <row r="975" spans="1:1" x14ac:dyDescent="0.25">
      <c r="A975" s="4" t="s">
        <v>1264</v>
      </c>
    </row>
    <row r="976" spans="1:1" x14ac:dyDescent="0.25">
      <c r="A976" s="2" t="s">
        <v>1265</v>
      </c>
    </row>
    <row r="977" spans="1:1" x14ac:dyDescent="0.25">
      <c r="A977" s="3" t="s">
        <v>1266</v>
      </c>
    </row>
    <row r="978" spans="1:1" x14ac:dyDescent="0.25">
      <c r="A978" s="4" t="s">
        <v>1267</v>
      </c>
    </row>
    <row r="979" spans="1:1" x14ac:dyDescent="0.25">
      <c r="A979" s="2" t="s">
        <v>1268</v>
      </c>
    </row>
    <row r="980" spans="1:1" x14ac:dyDescent="0.25">
      <c r="A980" s="3" t="s">
        <v>1269</v>
      </c>
    </row>
    <row r="981" spans="1:1" x14ac:dyDescent="0.25">
      <c r="A981" s="4" t="s">
        <v>1270</v>
      </c>
    </row>
    <row r="982" spans="1:1" x14ac:dyDescent="0.25">
      <c r="A982" s="2" t="s">
        <v>1272</v>
      </c>
    </row>
    <row r="983" spans="1:1" x14ac:dyDescent="0.25">
      <c r="A983" s="3" t="s">
        <v>1273</v>
      </c>
    </row>
    <row r="984" spans="1:1" x14ac:dyDescent="0.25">
      <c r="A984" s="4" t="s">
        <v>1274</v>
      </c>
    </row>
    <row r="985" spans="1:1" x14ac:dyDescent="0.25">
      <c r="A985" s="2" t="s">
        <v>1276</v>
      </c>
    </row>
    <row r="986" spans="1:1" x14ac:dyDescent="0.25">
      <c r="A986" s="3" t="s">
        <v>1277</v>
      </c>
    </row>
    <row r="987" spans="1:1" x14ac:dyDescent="0.25">
      <c r="A987" s="4" t="s">
        <v>1278</v>
      </c>
    </row>
    <row r="988" spans="1:1" x14ac:dyDescent="0.25">
      <c r="A988" s="2" t="s">
        <v>1280</v>
      </c>
    </row>
    <row r="989" spans="1:1" x14ac:dyDescent="0.25">
      <c r="A989" s="3" t="s">
        <v>1281</v>
      </c>
    </row>
    <row r="990" spans="1:1" x14ac:dyDescent="0.25">
      <c r="A990" s="4" t="s">
        <v>1282</v>
      </c>
    </row>
    <row r="991" spans="1:1" x14ac:dyDescent="0.25">
      <c r="A991" s="2" t="s">
        <v>1284</v>
      </c>
    </row>
    <row r="992" spans="1:1" x14ac:dyDescent="0.25">
      <c r="A992" s="3" t="s">
        <v>1285</v>
      </c>
    </row>
    <row r="993" spans="1:1" x14ac:dyDescent="0.25">
      <c r="A993" s="4" t="s">
        <v>1286</v>
      </c>
    </row>
    <row r="994" spans="1:1" x14ac:dyDescent="0.25">
      <c r="A994" s="2" t="s">
        <v>1288</v>
      </c>
    </row>
    <row r="995" spans="1:1" x14ac:dyDescent="0.25">
      <c r="A995" s="3" t="s">
        <v>1289</v>
      </c>
    </row>
    <row r="996" spans="1:1" x14ac:dyDescent="0.25">
      <c r="A996" s="4" t="s">
        <v>1290</v>
      </c>
    </row>
    <row r="997" spans="1:1" x14ac:dyDescent="0.25">
      <c r="A997" s="2" t="s">
        <v>1292</v>
      </c>
    </row>
    <row r="998" spans="1:1" x14ac:dyDescent="0.25">
      <c r="A998" s="3" t="s">
        <v>1293</v>
      </c>
    </row>
    <row r="999" spans="1:1" x14ac:dyDescent="0.25">
      <c r="A999" s="4" t="s">
        <v>1294</v>
      </c>
    </row>
    <row r="1000" spans="1:1" x14ac:dyDescent="0.25">
      <c r="A1000" s="2" t="s">
        <v>1296</v>
      </c>
    </row>
    <row r="1001" spans="1:1" x14ac:dyDescent="0.25">
      <c r="A1001" s="3" t="s">
        <v>1297</v>
      </c>
    </row>
    <row r="1002" spans="1:1" x14ac:dyDescent="0.25">
      <c r="A1002" s="4" t="s">
        <v>1298</v>
      </c>
    </row>
    <row r="1003" spans="1:1" x14ac:dyDescent="0.25">
      <c r="A1003" s="2" t="s">
        <v>1300</v>
      </c>
    </row>
    <row r="1004" spans="1:1" x14ac:dyDescent="0.25">
      <c r="A1004" s="3" t="s">
        <v>1301</v>
      </c>
    </row>
    <row r="1005" spans="1:1" x14ac:dyDescent="0.25">
      <c r="A1005" s="4" t="s">
        <v>1302</v>
      </c>
    </row>
    <row r="1006" spans="1:1" x14ac:dyDescent="0.25">
      <c r="A1006" s="2" t="s">
        <v>1304</v>
      </c>
    </row>
    <row r="1007" spans="1:1" x14ac:dyDescent="0.25">
      <c r="A1007" s="3" t="s">
        <v>1305</v>
      </c>
    </row>
    <row r="1008" spans="1:1" x14ac:dyDescent="0.25">
      <c r="A1008" s="4" t="s">
        <v>1306</v>
      </c>
    </row>
    <row r="1009" spans="1:1" x14ac:dyDescent="0.25">
      <c r="A1009" s="2" t="s">
        <v>1308</v>
      </c>
    </row>
    <row r="1010" spans="1:1" x14ac:dyDescent="0.25">
      <c r="A1010" s="3" t="s">
        <v>1309</v>
      </c>
    </row>
    <row r="1011" spans="1:1" x14ac:dyDescent="0.25">
      <c r="A1011" s="4" t="s">
        <v>1310</v>
      </c>
    </row>
    <row r="1012" spans="1:1" x14ac:dyDescent="0.25">
      <c r="A1012" s="2" t="s">
        <v>1312</v>
      </c>
    </row>
    <row r="1013" spans="1:1" x14ac:dyDescent="0.25">
      <c r="A1013" s="3" t="s">
        <v>1309</v>
      </c>
    </row>
    <row r="1014" spans="1:1" x14ac:dyDescent="0.25">
      <c r="A1014" s="4" t="s">
        <v>1313</v>
      </c>
    </row>
    <row r="1015" spans="1:1" x14ac:dyDescent="0.25">
      <c r="A1015" s="2" t="s">
        <v>1314</v>
      </c>
    </row>
    <row r="1016" spans="1:1" x14ac:dyDescent="0.25">
      <c r="A1016" s="3" t="s">
        <v>1315</v>
      </c>
    </row>
    <row r="1017" spans="1:1" x14ac:dyDescent="0.25">
      <c r="A1017" s="4" t="s">
        <v>1316</v>
      </c>
    </row>
    <row r="1018" spans="1:1" x14ac:dyDescent="0.25">
      <c r="A1018" s="2" t="s">
        <v>1318</v>
      </c>
    </row>
    <row r="1019" spans="1:1" x14ac:dyDescent="0.25">
      <c r="A1019" s="3" t="s">
        <v>1319</v>
      </c>
    </row>
    <row r="1020" spans="1:1" x14ac:dyDescent="0.25">
      <c r="A1020" s="4" t="s">
        <v>1320</v>
      </c>
    </row>
    <row r="1021" spans="1:1" x14ac:dyDescent="0.25">
      <c r="A1021" s="2" t="s">
        <v>1322</v>
      </c>
    </row>
    <row r="1022" spans="1:1" x14ac:dyDescent="0.25">
      <c r="A1022" s="3" t="s">
        <v>1197</v>
      </c>
    </row>
    <row r="1023" spans="1:1" x14ac:dyDescent="0.25">
      <c r="A1023" s="4" t="s">
        <v>1528</v>
      </c>
    </row>
    <row r="1024" spans="1:1" x14ac:dyDescent="0.25">
      <c r="A1024" s="2" t="s">
        <v>1325</v>
      </c>
    </row>
    <row r="1025" spans="1:1" x14ac:dyDescent="0.25">
      <c r="A1025" s="3" t="s">
        <v>1326</v>
      </c>
    </row>
    <row r="1026" spans="1:1" x14ac:dyDescent="0.25">
      <c r="A1026" s="4" t="s">
        <v>1327</v>
      </c>
    </row>
    <row r="1027" spans="1:1" x14ac:dyDescent="0.25">
      <c r="A1027" s="2" t="s">
        <v>1329</v>
      </c>
    </row>
    <row r="1028" spans="1:1" x14ac:dyDescent="0.25">
      <c r="A1028" s="3" t="s">
        <v>1330</v>
      </c>
    </row>
    <row r="1029" spans="1:1" x14ac:dyDescent="0.25">
      <c r="A1029" s="4" t="s">
        <v>1331</v>
      </c>
    </row>
    <row r="1030" spans="1:1" x14ac:dyDescent="0.25">
      <c r="A1030" s="2" t="s">
        <v>1332</v>
      </c>
    </row>
    <row r="1031" spans="1:1" x14ac:dyDescent="0.25">
      <c r="A1031" s="3" t="s">
        <v>1333</v>
      </c>
    </row>
    <row r="1032" spans="1:1" x14ac:dyDescent="0.25">
      <c r="A1032" s="4" t="s">
        <v>1334</v>
      </c>
    </row>
    <row r="1033" spans="1:1" x14ac:dyDescent="0.25">
      <c r="A1033" s="2" t="s">
        <v>1335</v>
      </c>
    </row>
    <row r="1034" spans="1:1" x14ac:dyDescent="0.25">
      <c r="A1034" s="3" t="s">
        <v>1333</v>
      </c>
    </row>
    <row r="1035" spans="1:1" x14ac:dyDescent="0.25">
      <c r="A1035" s="4" t="s">
        <v>1336</v>
      </c>
    </row>
    <row r="1036" spans="1:1" x14ac:dyDescent="0.25">
      <c r="A1036" s="2" t="s">
        <v>1338</v>
      </c>
    </row>
    <row r="1037" spans="1:1" x14ac:dyDescent="0.25">
      <c r="A1037" s="3" t="s">
        <v>1339</v>
      </c>
    </row>
    <row r="1038" spans="1:1" x14ac:dyDescent="0.25">
      <c r="A1038" s="4" t="s">
        <v>1340</v>
      </c>
    </row>
    <row r="1039" spans="1:1" x14ac:dyDescent="0.25">
      <c r="A1039" s="2" t="s">
        <v>1341</v>
      </c>
    </row>
    <row r="1040" spans="1:1" x14ac:dyDescent="0.25">
      <c r="A1040" s="3" t="s">
        <v>1197</v>
      </c>
    </row>
    <row r="1041" spans="1:1" x14ac:dyDescent="0.25">
      <c r="A1041" s="4" t="s">
        <v>1528</v>
      </c>
    </row>
    <row r="1042" spans="1:1" x14ac:dyDescent="0.25">
      <c r="A1042" s="2" t="s">
        <v>1342</v>
      </c>
    </row>
    <row r="1043" spans="1:1" x14ac:dyDescent="0.25">
      <c r="A1043" s="3" t="s">
        <v>1343</v>
      </c>
    </row>
    <row r="1044" spans="1:1" x14ac:dyDescent="0.25">
      <c r="A1044" s="4" t="s">
        <v>1344</v>
      </c>
    </row>
    <row r="1045" spans="1:1" x14ac:dyDescent="0.25">
      <c r="A1045" s="2" t="s">
        <v>1345</v>
      </c>
    </row>
    <row r="1046" spans="1:1" x14ac:dyDescent="0.25">
      <c r="A1046" s="3" t="s">
        <v>1346</v>
      </c>
    </row>
    <row r="1047" spans="1:1" x14ac:dyDescent="0.25">
      <c r="A1047" s="4" t="s">
        <v>1347</v>
      </c>
    </row>
    <row r="1048" spans="1:1" x14ac:dyDescent="0.25">
      <c r="A1048" s="2" t="s">
        <v>1348</v>
      </c>
    </row>
    <row r="1049" spans="1:1" x14ac:dyDescent="0.25">
      <c r="A1049" s="3" t="s">
        <v>1349</v>
      </c>
    </row>
    <row r="1050" spans="1:1" x14ac:dyDescent="0.25">
      <c r="A1050" s="4" t="s">
        <v>1350</v>
      </c>
    </row>
    <row r="1051" spans="1:1" x14ac:dyDescent="0.25">
      <c r="A1051" s="2" t="s">
        <v>1351</v>
      </c>
    </row>
    <row r="1052" spans="1:1" x14ac:dyDescent="0.25">
      <c r="A1052" s="3" t="s">
        <v>1352</v>
      </c>
    </row>
    <row r="1053" spans="1:1" x14ac:dyDescent="0.25">
      <c r="A1053" s="4" t="s">
        <v>1353</v>
      </c>
    </row>
    <row r="1054" spans="1:1" x14ac:dyDescent="0.25">
      <c r="A1054" s="2" t="s">
        <v>1354</v>
      </c>
    </row>
    <row r="1055" spans="1:1" x14ac:dyDescent="0.25">
      <c r="A1055" s="3" t="s">
        <v>1355</v>
      </c>
    </row>
    <row r="1056" spans="1:1" x14ac:dyDescent="0.25">
      <c r="A1056" s="4" t="s">
        <v>1356</v>
      </c>
    </row>
    <row r="1057" spans="1:1" x14ac:dyDescent="0.25">
      <c r="A1057" s="2" t="s">
        <v>1357</v>
      </c>
    </row>
    <row r="1058" spans="1:1" x14ac:dyDescent="0.25">
      <c r="A1058" s="3" t="s">
        <v>1358</v>
      </c>
    </row>
    <row r="1059" spans="1:1" x14ac:dyDescent="0.25">
      <c r="A1059" s="4" t="s">
        <v>1359</v>
      </c>
    </row>
    <row r="1060" spans="1:1" x14ac:dyDescent="0.25">
      <c r="A1060" s="2" t="s">
        <v>1361</v>
      </c>
    </row>
    <row r="1061" spans="1:1" x14ac:dyDescent="0.25">
      <c r="A1061" s="3" t="s">
        <v>1362</v>
      </c>
    </row>
    <row r="1062" spans="1:1" x14ac:dyDescent="0.25">
      <c r="A1062" s="4" t="s">
        <v>1363</v>
      </c>
    </row>
    <row r="1063" spans="1:1" x14ac:dyDescent="0.25">
      <c r="A1063" s="2" t="s">
        <v>1364</v>
      </c>
    </row>
    <row r="1064" spans="1:1" x14ac:dyDescent="0.25">
      <c r="A1064" s="3" t="s">
        <v>1365</v>
      </c>
    </row>
    <row r="1065" spans="1:1" x14ac:dyDescent="0.25">
      <c r="A1065" s="4" t="s">
        <v>1366</v>
      </c>
    </row>
    <row r="1066" spans="1:1" x14ac:dyDescent="0.25">
      <c r="A1066" s="2" t="s">
        <v>1368</v>
      </c>
    </row>
    <row r="1067" spans="1:1" x14ac:dyDescent="0.25">
      <c r="A1067" s="3" t="s">
        <v>1369</v>
      </c>
    </row>
    <row r="1068" spans="1:1" x14ac:dyDescent="0.25">
      <c r="A1068" s="4" t="s">
        <v>1370</v>
      </c>
    </row>
    <row r="1069" spans="1:1" x14ac:dyDescent="0.25">
      <c r="A1069" s="2" t="s">
        <v>1371</v>
      </c>
    </row>
    <row r="1070" spans="1:1" x14ac:dyDescent="0.25">
      <c r="A1070" s="3" t="s">
        <v>1372</v>
      </c>
    </row>
    <row r="1071" spans="1:1" x14ac:dyDescent="0.25">
      <c r="A1071" s="4" t="s">
        <v>1373</v>
      </c>
    </row>
    <row r="1072" spans="1:1" x14ac:dyDescent="0.25">
      <c r="A1072" s="2" t="s">
        <v>1375</v>
      </c>
    </row>
    <row r="1073" spans="1:1" x14ac:dyDescent="0.25">
      <c r="A1073" s="3" t="s">
        <v>1376</v>
      </c>
    </row>
    <row r="1074" spans="1:1" x14ac:dyDescent="0.25">
      <c r="A1074" s="4" t="s">
        <v>1377</v>
      </c>
    </row>
    <row r="1075" spans="1:1" x14ac:dyDescent="0.25">
      <c r="A1075" s="2" t="s">
        <v>1379</v>
      </c>
    </row>
    <row r="1076" spans="1:1" x14ac:dyDescent="0.25">
      <c r="A1076" s="3" t="s">
        <v>1376</v>
      </c>
    </row>
    <row r="1077" spans="1:1" x14ac:dyDescent="0.25">
      <c r="A1077" s="4" t="s">
        <v>1377</v>
      </c>
    </row>
    <row r="1078" spans="1:1" x14ac:dyDescent="0.25">
      <c r="A1078" s="2" t="s">
        <v>1380</v>
      </c>
    </row>
    <row r="1079" spans="1:1" x14ac:dyDescent="0.25">
      <c r="A1079" s="3" t="s">
        <v>1381</v>
      </c>
    </row>
    <row r="1080" spans="1:1" x14ac:dyDescent="0.25">
      <c r="A1080" s="4" t="s">
        <v>1382</v>
      </c>
    </row>
    <row r="1081" spans="1:1" x14ac:dyDescent="0.25">
      <c r="A1081" s="2" t="s">
        <v>1384</v>
      </c>
    </row>
    <row r="1082" spans="1:1" x14ac:dyDescent="0.25">
      <c r="A1082" s="3" t="s">
        <v>1385</v>
      </c>
    </row>
    <row r="1083" spans="1:1" x14ac:dyDescent="0.25">
      <c r="A1083" s="4" t="s">
        <v>1386</v>
      </c>
    </row>
    <row r="1084" spans="1:1" x14ac:dyDescent="0.25">
      <c r="A1084" s="2" t="s">
        <v>1387</v>
      </c>
    </row>
    <row r="1085" spans="1:1" x14ac:dyDescent="0.25">
      <c r="A1085" s="3" t="s">
        <v>1388</v>
      </c>
    </row>
    <row r="1086" spans="1:1" x14ac:dyDescent="0.25">
      <c r="A1086" s="4" t="s">
        <v>1389</v>
      </c>
    </row>
    <row r="1087" spans="1:1" x14ac:dyDescent="0.25">
      <c r="A1087" s="2" t="s">
        <v>1391</v>
      </c>
    </row>
    <row r="1088" spans="1:1" x14ac:dyDescent="0.25">
      <c r="A1088" s="3" t="s">
        <v>1392</v>
      </c>
    </row>
    <row r="1089" spans="1:1" x14ac:dyDescent="0.25">
      <c r="A1089" s="4" t="s">
        <v>1393</v>
      </c>
    </row>
    <row r="1090" spans="1:1" x14ac:dyDescent="0.25">
      <c r="A1090" s="2" t="s">
        <v>1395</v>
      </c>
    </row>
    <row r="1091" spans="1:1" x14ac:dyDescent="0.25">
      <c r="A1091" s="3" t="s">
        <v>1396</v>
      </c>
    </row>
    <row r="1092" spans="1:1" x14ac:dyDescent="0.25">
      <c r="A1092" s="4" t="s">
        <v>1397</v>
      </c>
    </row>
    <row r="1093" spans="1:1" x14ac:dyDescent="0.25">
      <c r="A1093" s="2" t="s">
        <v>1398</v>
      </c>
    </row>
    <row r="1094" spans="1:1" x14ac:dyDescent="0.25">
      <c r="A1094" s="3" t="s">
        <v>1399</v>
      </c>
    </row>
    <row r="1095" spans="1:1" x14ac:dyDescent="0.25">
      <c r="A1095" s="4" t="s">
        <v>1400</v>
      </c>
    </row>
    <row r="1096" spans="1:1" x14ac:dyDescent="0.25">
      <c r="A1096" s="2" t="s">
        <v>1401</v>
      </c>
    </row>
    <row r="1097" spans="1:1" x14ac:dyDescent="0.25">
      <c r="A1097" s="3" t="s">
        <v>1402</v>
      </c>
    </row>
    <row r="1098" spans="1:1" x14ac:dyDescent="0.25">
      <c r="A1098" s="4" t="s">
        <v>1403</v>
      </c>
    </row>
    <row r="1099" spans="1:1" x14ac:dyDescent="0.25">
      <c r="A1099" s="2" t="s">
        <v>1404</v>
      </c>
    </row>
    <row r="1100" spans="1:1" x14ac:dyDescent="0.25">
      <c r="A1100" s="3" t="s">
        <v>1405</v>
      </c>
    </row>
    <row r="1101" spans="1:1" x14ac:dyDescent="0.25">
      <c r="A1101" s="4" t="s">
        <v>1406</v>
      </c>
    </row>
    <row r="1102" spans="1:1" x14ac:dyDescent="0.25">
      <c r="A1102" s="2" t="s">
        <v>1408</v>
      </c>
    </row>
    <row r="1103" spans="1:1" x14ac:dyDescent="0.25">
      <c r="A1103" s="3" t="s">
        <v>1409</v>
      </c>
    </row>
    <row r="1104" spans="1:1" x14ac:dyDescent="0.25">
      <c r="A1104" s="4" t="s">
        <v>1410</v>
      </c>
    </row>
    <row r="1105" spans="1:1" x14ac:dyDescent="0.25">
      <c r="A1105" s="2" t="s">
        <v>1412</v>
      </c>
    </row>
    <row r="1106" spans="1:1" x14ac:dyDescent="0.25">
      <c r="A1106" s="3" t="s">
        <v>1323</v>
      </c>
    </row>
    <row r="1107" spans="1:1" x14ac:dyDescent="0.25">
      <c r="A1107" s="4" t="s">
        <v>1323</v>
      </c>
    </row>
    <row r="1108" spans="1:1" x14ac:dyDescent="0.25">
      <c r="A1108" s="2" t="s">
        <v>1413</v>
      </c>
    </row>
    <row r="1109" spans="1:1" x14ac:dyDescent="0.25">
      <c r="A1109" s="3" t="s">
        <v>1414</v>
      </c>
    </row>
    <row r="1110" spans="1:1" x14ac:dyDescent="0.25">
      <c r="A1110" s="4" t="s">
        <v>1415</v>
      </c>
    </row>
    <row r="1111" spans="1:1" x14ac:dyDescent="0.25">
      <c r="A1111" s="2" t="s">
        <v>1417</v>
      </c>
    </row>
    <row r="1112" spans="1:1" x14ac:dyDescent="0.25">
      <c r="A1112" s="3" t="s">
        <v>1418</v>
      </c>
    </row>
    <row r="1113" spans="1:1" x14ac:dyDescent="0.25">
      <c r="A1113" s="4" t="s">
        <v>1419</v>
      </c>
    </row>
    <row r="1114" spans="1:1" x14ac:dyDescent="0.25">
      <c r="A1114" s="2" t="s">
        <v>1421</v>
      </c>
    </row>
    <row r="1115" spans="1:1" x14ac:dyDescent="0.25">
      <c r="A1115" s="3" t="s">
        <v>1422</v>
      </c>
    </row>
    <row r="1116" spans="1:1" x14ac:dyDescent="0.25">
      <c r="A1116" s="4" t="s">
        <v>1423</v>
      </c>
    </row>
    <row r="1117" spans="1:1" x14ac:dyDescent="0.25">
      <c r="A1117" s="2" t="s">
        <v>1424</v>
      </c>
    </row>
    <row r="1118" spans="1:1" x14ac:dyDescent="0.25">
      <c r="A1118" s="3" t="s">
        <v>1425</v>
      </c>
    </row>
    <row r="1119" spans="1:1" x14ac:dyDescent="0.25">
      <c r="A1119" s="4" t="s">
        <v>1426</v>
      </c>
    </row>
    <row r="1120" spans="1:1" x14ac:dyDescent="0.25">
      <c r="A1120" s="2" t="s">
        <v>1428</v>
      </c>
    </row>
    <row r="1121" spans="1:1" x14ac:dyDescent="0.25">
      <c r="A1121" s="3" t="s">
        <v>1429</v>
      </c>
    </row>
    <row r="1122" spans="1:1" x14ac:dyDescent="0.25">
      <c r="A1122" s="4" t="s">
        <v>1430</v>
      </c>
    </row>
    <row r="1123" spans="1:1" x14ac:dyDescent="0.25">
      <c r="A1123" s="2" t="s">
        <v>1431</v>
      </c>
    </row>
    <row r="1124" spans="1:1" x14ac:dyDescent="0.25">
      <c r="A1124" s="3" t="s">
        <v>1432</v>
      </c>
    </row>
    <row r="1125" spans="1:1" x14ac:dyDescent="0.25">
      <c r="A1125" s="4" t="s">
        <v>1433</v>
      </c>
    </row>
    <row r="1126" spans="1:1" x14ac:dyDescent="0.25">
      <c r="A1126" s="2" t="s">
        <v>1435</v>
      </c>
    </row>
    <row r="1127" spans="1:1" x14ac:dyDescent="0.25">
      <c r="A1127" s="3" t="s">
        <v>1436</v>
      </c>
    </row>
    <row r="1128" spans="1:1" x14ac:dyDescent="0.25">
      <c r="A1128" s="4" t="s">
        <v>1437</v>
      </c>
    </row>
    <row r="1129" spans="1:1" x14ac:dyDescent="0.25">
      <c r="A1129" s="2" t="s">
        <v>1439</v>
      </c>
    </row>
    <row r="1130" spans="1:1" x14ac:dyDescent="0.25">
      <c r="A1130" s="3" t="s">
        <v>1440</v>
      </c>
    </row>
    <row r="1131" spans="1:1" x14ac:dyDescent="0.25">
      <c r="A1131" s="4" t="s">
        <v>1441</v>
      </c>
    </row>
    <row r="1132" spans="1:1" x14ac:dyDescent="0.25">
      <c r="A1132" s="2" t="s">
        <v>1443</v>
      </c>
    </row>
    <row r="1133" spans="1:1" x14ac:dyDescent="0.25">
      <c r="A1133" s="3" t="s">
        <v>1444</v>
      </c>
    </row>
    <row r="1134" spans="1:1" x14ac:dyDescent="0.25">
      <c r="A1134" s="4" t="s">
        <v>1445</v>
      </c>
    </row>
    <row r="1135" spans="1:1" x14ac:dyDescent="0.25">
      <c r="A1135" s="2" t="s">
        <v>1447</v>
      </c>
    </row>
    <row r="1136" spans="1:1" x14ac:dyDescent="0.25">
      <c r="A1136" s="3" t="s">
        <v>1448</v>
      </c>
    </row>
    <row r="1137" spans="1:1" x14ac:dyDescent="0.25">
      <c r="A1137" s="4" t="s">
        <v>1449</v>
      </c>
    </row>
    <row r="1138" spans="1:1" x14ac:dyDescent="0.25">
      <c r="A1138" s="2" t="s">
        <v>1451</v>
      </c>
    </row>
    <row r="1139" spans="1:1" x14ac:dyDescent="0.25">
      <c r="A1139" s="3" t="s">
        <v>1452</v>
      </c>
    </row>
    <row r="1140" spans="1:1" x14ac:dyDescent="0.25">
      <c r="A1140" s="4" t="s">
        <v>1453</v>
      </c>
    </row>
    <row r="1141" spans="1:1" x14ac:dyDescent="0.25">
      <c r="A1141" s="2" t="s">
        <v>1455</v>
      </c>
    </row>
    <row r="1142" spans="1:1" x14ac:dyDescent="0.25">
      <c r="A1142" s="3" t="s">
        <v>1456</v>
      </c>
    </row>
    <row r="1143" spans="1:1" x14ac:dyDescent="0.25">
      <c r="A1143" s="4" t="s">
        <v>1457</v>
      </c>
    </row>
    <row r="1144" spans="1:1" x14ac:dyDescent="0.25">
      <c r="A1144" s="2" t="s">
        <v>1458</v>
      </c>
    </row>
    <row r="1145" spans="1:1" x14ac:dyDescent="0.25">
      <c r="A1145" s="3" t="s">
        <v>1459</v>
      </c>
    </row>
    <row r="1146" spans="1:1" x14ac:dyDescent="0.25">
      <c r="A1146" s="4" t="s">
        <v>1460</v>
      </c>
    </row>
    <row r="1147" spans="1:1" x14ac:dyDescent="0.25">
      <c r="A1147" s="2" t="s">
        <v>1461</v>
      </c>
    </row>
    <row r="1148" spans="1:1" x14ac:dyDescent="0.25">
      <c r="A1148" s="3" t="s">
        <v>1462</v>
      </c>
    </row>
    <row r="1149" spans="1:1" x14ac:dyDescent="0.25">
      <c r="A1149" s="4" t="s">
        <v>1463</v>
      </c>
    </row>
    <row r="1150" spans="1:1" x14ac:dyDescent="0.25">
      <c r="A1150" s="2" t="s">
        <v>1464</v>
      </c>
    </row>
    <row r="1151" spans="1:1" x14ac:dyDescent="0.25">
      <c r="A1151" s="3" t="s">
        <v>1465</v>
      </c>
    </row>
    <row r="1152" spans="1:1" x14ac:dyDescent="0.25">
      <c r="A1152" s="4" t="s">
        <v>1466</v>
      </c>
    </row>
    <row r="1153" spans="1:1" x14ac:dyDescent="0.25">
      <c r="A1153" s="2" t="s">
        <v>1468</v>
      </c>
    </row>
    <row r="1154" spans="1:1" x14ac:dyDescent="0.25">
      <c r="A1154" s="3" t="s">
        <v>1469</v>
      </c>
    </row>
    <row r="1155" spans="1:1" x14ac:dyDescent="0.25">
      <c r="A1155" s="4" t="s">
        <v>1470</v>
      </c>
    </row>
    <row r="1156" spans="1:1" x14ac:dyDescent="0.25">
      <c r="A1156" s="2" t="s">
        <v>1472</v>
      </c>
    </row>
    <row r="1157" spans="1:1" x14ac:dyDescent="0.25">
      <c r="A1157" s="3" t="s">
        <v>1473</v>
      </c>
    </row>
    <row r="1158" spans="1:1" x14ac:dyDescent="0.25">
      <c r="A1158" s="4" t="s">
        <v>1474</v>
      </c>
    </row>
    <row r="1159" spans="1:1" x14ac:dyDescent="0.25">
      <c r="A1159" s="2" t="s">
        <v>1476</v>
      </c>
    </row>
    <row r="1160" spans="1:1" x14ac:dyDescent="0.25">
      <c r="A1160" s="3" t="s">
        <v>1477</v>
      </c>
    </row>
    <row r="1161" spans="1:1" x14ac:dyDescent="0.25">
      <c r="A1161" s="4" t="s">
        <v>1528</v>
      </c>
    </row>
    <row r="1162" spans="1:1" x14ac:dyDescent="0.25">
      <c r="A1162" s="2" t="s">
        <v>1478</v>
      </c>
    </row>
    <row r="1163" spans="1:1" x14ac:dyDescent="0.25">
      <c r="A1163" s="3" t="s">
        <v>1479</v>
      </c>
    </row>
    <row r="1164" spans="1:1" x14ac:dyDescent="0.25">
      <c r="A1164" s="4" t="s">
        <v>1528</v>
      </c>
    </row>
    <row r="1165" spans="1:1" x14ac:dyDescent="0.25">
      <c r="A1165" s="2" t="s">
        <v>1480</v>
      </c>
    </row>
    <row r="1166" spans="1:1" x14ac:dyDescent="0.25">
      <c r="A1166" s="3" t="s">
        <v>1481</v>
      </c>
    </row>
    <row r="1167" spans="1:1" x14ac:dyDescent="0.25">
      <c r="A1167" s="4" t="s">
        <v>1482</v>
      </c>
    </row>
    <row r="1168" spans="1:1" x14ac:dyDescent="0.25">
      <c r="A1168" s="2" t="s">
        <v>1483</v>
      </c>
    </row>
    <row r="1169" spans="1:1" x14ac:dyDescent="0.25">
      <c r="A1169" s="3" t="s">
        <v>1484</v>
      </c>
    </row>
    <row r="1170" spans="1:1" x14ac:dyDescent="0.25">
      <c r="A1170" s="4" t="s">
        <v>1485</v>
      </c>
    </row>
    <row r="1171" spans="1:1" x14ac:dyDescent="0.25">
      <c r="A1171" s="2" t="s">
        <v>1486</v>
      </c>
    </row>
    <row r="1172" spans="1:1" x14ac:dyDescent="0.25">
      <c r="A1172" s="3" t="s">
        <v>1487</v>
      </c>
    </row>
    <row r="1173" spans="1:1" x14ac:dyDescent="0.25">
      <c r="A1173" s="4" t="s">
        <v>1488</v>
      </c>
    </row>
    <row r="1174" spans="1:1" x14ac:dyDescent="0.25">
      <c r="A1174" s="2" t="s">
        <v>1489</v>
      </c>
    </row>
    <row r="1175" spans="1:1" x14ac:dyDescent="0.25">
      <c r="A1175" s="3" t="s">
        <v>1490</v>
      </c>
    </row>
    <row r="1176" spans="1:1" x14ac:dyDescent="0.25">
      <c r="A1176" s="4" t="s">
        <v>1491</v>
      </c>
    </row>
    <row r="1177" spans="1:1" x14ac:dyDescent="0.25">
      <c r="A1177" s="2" t="s">
        <v>1492</v>
      </c>
    </row>
    <row r="1178" spans="1:1" x14ac:dyDescent="0.25">
      <c r="A1178" s="3" t="s">
        <v>1493</v>
      </c>
    </row>
    <row r="1179" spans="1:1" x14ac:dyDescent="0.25">
      <c r="A1179" s="4" t="s">
        <v>1494</v>
      </c>
    </row>
    <row r="1180" spans="1:1" x14ac:dyDescent="0.25">
      <c r="A1180" s="2" t="s">
        <v>1496</v>
      </c>
    </row>
    <row r="1181" spans="1:1" x14ac:dyDescent="0.25">
      <c r="A1181" s="3" t="s">
        <v>1497</v>
      </c>
    </row>
    <row r="1182" spans="1:1" x14ac:dyDescent="0.25">
      <c r="A1182" s="4" t="s">
        <v>1498</v>
      </c>
    </row>
    <row r="1183" spans="1:1" x14ac:dyDescent="0.25">
      <c r="A1183" s="2" t="s">
        <v>1499</v>
      </c>
    </row>
    <row r="1184" spans="1:1" x14ac:dyDescent="0.25">
      <c r="A1184" s="3" t="s">
        <v>1500</v>
      </c>
    </row>
    <row r="1185" spans="1:1" x14ac:dyDescent="0.25">
      <c r="A1185" s="4" t="s">
        <v>1498</v>
      </c>
    </row>
    <row r="1186" spans="1:1" x14ac:dyDescent="0.25">
      <c r="A1186" s="2" t="s">
        <v>1501</v>
      </c>
    </row>
    <row r="1187" spans="1:1" x14ac:dyDescent="0.25">
      <c r="A1187" s="3" t="s">
        <v>1502</v>
      </c>
    </row>
    <row r="1188" spans="1:1" x14ac:dyDescent="0.25">
      <c r="A1188" s="4" t="s">
        <v>1503</v>
      </c>
    </row>
    <row r="1189" spans="1:1" x14ac:dyDescent="0.25">
      <c r="A1189" s="2" t="s">
        <v>1504</v>
      </c>
    </row>
    <row r="1190" spans="1:1" x14ac:dyDescent="0.25">
      <c r="A1190" s="3" t="s">
        <v>1502</v>
      </c>
    </row>
    <row r="1191" spans="1:1" x14ac:dyDescent="0.25">
      <c r="A1191" s="4" t="s">
        <v>1503</v>
      </c>
    </row>
    <row r="1192" spans="1:1" x14ac:dyDescent="0.25">
      <c r="A1192" s="2" t="s">
        <v>1505</v>
      </c>
    </row>
    <row r="1193" spans="1:1" x14ac:dyDescent="0.25">
      <c r="A1193" s="3" t="s">
        <v>1506</v>
      </c>
    </row>
    <row r="1194" spans="1:1" x14ac:dyDescent="0.25">
      <c r="A1194" s="4" t="s">
        <v>1507</v>
      </c>
    </row>
    <row r="1195" spans="1:1" x14ac:dyDescent="0.25">
      <c r="A1195" s="2" t="s">
        <v>1509</v>
      </c>
    </row>
    <row r="1196" spans="1:1" x14ac:dyDescent="0.25">
      <c r="A1196" s="3" t="s">
        <v>1510</v>
      </c>
    </row>
    <row r="1197" spans="1:1" x14ac:dyDescent="0.25">
      <c r="A1197" s="4" t="s">
        <v>1511</v>
      </c>
    </row>
    <row r="1198" spans="1:1" x14ac:dyDescent="0.25">
      <c r="A1198" s="2" t="s">
        <v>1513</v>
      </c>
    </row>
    <row r="1199" spans="1:1" x14ac:dyDescent="0.25">
      <c r="A1199" s="3" t="s">
        <v>1514</v>
      </c>
    </row>
    <row r="1200" spans="1:1" x14ac:dyDescent="0.25">
      <c r="A1200" s="4" t="s">
        <v>1515</v>
      </c>
    </row>
    <row r="1201" spans="1:1" x14ac:dyDescent="0.25">
      <c r="A1201" s="2" t="s">
        <v>1529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B6"/>
  <sheetViews>
    <sheetView workbookViewId="0">
      <selection activeCell="D5" sqref="D5"/>
    </sheetView>
  </sheetViews>
  <sheetFormatPr defaultRowHeight="15" x14ac:dyDescent="0.25"/>
  <cols>
    <col min="1" max="1" width="49.28515625" customWidth="1"/>
    <col min="2" max="2" width="10.140625" bestFit="1" customWidth="1"/>
    <col min="3" max="6" width="18" customWidth="1"/>
    <col min="7" max="8" width="18.140625" customWidth="1"/>
    <col min="9" max="11" width="18" customWidth="1"/>
    <col min="12" max="12" width="19" customWidth="1"/>
    <col min="13" max="97" width="18" customWidth="1"/>
    <col min="98" max="98" width="16.85546875" customWidth="1"/>
    <col min="99" max="119" width="18" customWidth="1"/>
    <col min="120" max="120" width="16.85546875" customWidth="1"/>
    <col min="121" max="143" width="18" customWidth="1"/>
    <col min="144" max="144" width="16.85546875" customWidth="1"/>
    <col min="145" max="178" width="18" customWidth="1"/>
    <col min="179" max="179" width="17.42578125" customWidth="1"/>
    <col min="180" max="183" width="18" customWidth="1"/>
    <col min="184" max="184" width="16.85546875" customWidth="1"/>
    <col min="185" max="257" width="18" customWidth="1"/>
    <col min="258" max="258" width="19" customWidth="1"/>
    <col min="259" max="284" width="18" customWidth="1"/>
    <col min="285" max="285" width="16.85546875" customWidth="1"/>
    <col min="286" max="291" width="18" customWidth="1"/>
    <col min="292" max="292" width="19" customWidth="1"/>
    <col min="293" max="333" width="18" customWidth="1"/>
    <col min="334" max="334" width="17.85546875" customWidth="1"/>
    <col min="335" max="344" width="18" customWidth="1"/>
    <col min="345" max="345" width="17.85546875" customWidth="1"/>
    <col min="346" max="367" width="18" customWidth="1"/>
    <col min="368" max="368" width="18.28515625" customWidth="1"/>
    <col min="369" max="369" width="16.85546875" customWidth="1"/>
    <col min="370" max="393" width="18" customWidth="1"/>
    <col min="394" max="394" width="18" bestFit="1" customWidth="1"/>
    <col min="395" max="395" width="18" customWidth="1"/>
    <col min="396" max="396" width="18" bestFit="1" customWidth="1"/>
    <col min="397" max="397" width="18" customWidth="1"/>
    <col min="398" max="398" width="18" bestFit="1" customWidth="1"/>
    <col min="399" max="399" width="18" customWidth="1"/>
    <col min="400" max="400" width="18" bestFit="1" customWidth="1"/>
    <col min="401" max="401" width="18" customWidth="1"/>
    <col min="402" max="402" width="17.85546875" bestFit="1" customWidth="1"/>
    <col min="403" max="403" width="11.28515625" customWidth="1"/>
    <col min="404" max="404" width="11.7109375" customWidth="1"/>
    <col min="405" max="405" width="7" customWidth="1"/>
    <col min="406" max="406" width="10.28515625" customWidth="1"/>
    <col min="407" max="407" width="71.42578125" bestFit="1" customWidth="1"/>
    <col min="408" max="408" width="12.7109375" bestFit="1" customWidth="1"/>
    <col min="409" max="409" width="51.42578125" bestFit="1" customWidth="1"/>
    <col min="410" max="410" width="12.7109375" bestFit="1" customWidth="1"/>
    <col min="411" max="411" width="49" bestFit="1" customWidth="1"/>
    <col min="412" max="412" width="12.7109375" bestFit="1" customWidth="1"/>
    <col min="413" max="413" width="41.85546875" bestFit="1" customWidth="1"/>
    <col min="414" max="414" width="12.7109375" bestFit="1" customWidth="1"/>
    <col min="415" max="415" width="52.7109375" bestFit="1" customWidth="1"/>
    <col min="416" max="416" width="12.7109375" bestFit="1" customWidth="1"/>
    <col min="417" max="417" width="37.42578125" bestFit="1" customWidth="1"/>
    <col min="418" max="418" width="12.7109375" bestFit="1" customWidth="1"/>
    <col min="419" max="419" width="43.85546875" bestFit="1" customWidth="1"/>
    <col min="420" max="420" width="12.7109375" bestFit="1" customWidth="1"/>
    <col min="421" max="421" width="20.5703125" bestFit="1" customWidth="1"/>
    <col min="422" max="422" width="12.7109375" bestFit="1" customWidth="1"/>
    <col min="423" max="423" width="49.42578125" bestFit="1" customWidth="1"/>
    <col min="424" max="424" width="11.7109375" bestFit="1" customWidth="1"/>
    <col min="425" max="425" width="46.85546875" bestFit="1" customWidth="1"/>
    <col min="426" max="426" width="13.42578125" bestFit="1" customWidth="1"/>
    <col min="427" max="427" width="46.85546875" bestFit="1" customWidth="1"/>
    <col min="428" max="428" width="13.42578125" bestFit="1" customWidth="1"/>
    <col min="429" max="429" width="46.85546875" bestFit="1" customWidth="1"/>
    <col min="430" max="430" width="13.42578125" bestFit="1" customWidth="1"/>
    <col min="431" max="431" width="48" bestFit="1" customWidth="1"/>
    <col min="432" max="432" width="11.7109375" bestFit="1" customWidth="1"/>
    <col min="433" max="433" width="30.140625" bestFit="1" customWidth="1"/>
    <col min="434" max="434" width="11.7109375" bestFit="1" customWidth="1"/>
    <col min="435" max="435" width="37.42578125" bestFit="1" customWidth="1"/>
    <col min="436" max="436" width="11.7109375" bestFit="1" customWidth="1"/>
    <col min="437" max="437" width="37.140625" bestFit="1" customWidth="1"/>
    <col min="438" max="438" width="11.7109375" bestFit="1" customWidth="1"/>
    <col min="439" max="439" width="60.85546875" bestFit="1" customWidth="1"/>
    <col min="440" max="440" width="11.7109375" bestFit="1" customWidth="1"/>
    <col min="441" max="441" width="85.140625" bestFit="1" customWidth="1"/>
    <col min="442" max="442" width="11.7109375" bestFit="1" customWidth="1"/>
    <col min="443" max="443" width="30.7109375" bestFit="1" customWidth="1"/>
    <col min="444" max="444" width="11.7109375" bestFit="1" customWidth="1"/>
    <col min="445" max="445" width="31.140625" bestFit="1" customWidth="1"/>
    <col min="446" max="446" width="13.42578125" bestFit="1" customWidth="1"/>
    <col min="447" max="447" width="31.140625" bestFit="1" customWidth="1"/>
    <col min="448" max="448" width="13.42578125" bestFit="1" customWidth="1"/>
    <col min="449" max="449" width="36.42578125" bestFit="1" customWidth="1"/>
    <col min="450" max="450" width="11.7109375" bestFit="1" customWidth="1"/>
    <col min="451" max="451" width="33.140625" bestFit="1" customWidth="1"/>
    <col min="452" max="452" width="11.7109375" bestFit="1" customWidth="1"/>
    <col min="453" max="453" width="61.7109375" bestFit="1" customWidth="1"/>
    <col min="454" max="454" width="11.7109375" bestFit="1" customWidth="1"/>
    <col min="455" max="455" width="34.140625" bestFit="1" customWidth="1"/>
    <col min="456" max="456" width="11.7109375" bestFit="1" customWidth="1"/>
    <col min="457" max="457" width="40.42578125" bestFit="1" customWidth="1"/>
    <col min="458" max="458" width="11.7109375" bestFit="1" customWidth="1"/>
    <col min="459" max="459" width="53.140625" bestFit="1" customWidth="1"/>
    <col min="460" max="460" width="11.7109375" bestFit="1" customWidth="1"/>
    <col min="461" max="461" width="47" bestFit="1" customWidth="1"/>
    <col min="462" max="462" width="11.7109375" bestFit="1" customWidth="1"/>
    <col min="463" max="463" width="65.28515625" bestFit="1" customWidth="1"/>
    <col min="464" max="464" width="11.7109375" bestFit="1" customWidth="1"/>
    <col min="465" max="465" width="26.42578125" bestFit="1" customWidth="1"/>
    <col min="466" max="466" width="11.7109375" bestFit="1" customWidth="1"/>
    <col min="467" max="467" width="38.140625" bestFit="1" customWidth="1"/>
    <col min="468" max="468" width="11.7109375" bestFit="1" customWidth="1"/>
    <col min="469" max="469" width="37.28515625" bestFit="1" customWidth="1"/>
    <col min="470" max="470" width="11.7109375" bestFit="1" customWidth="1"/>
    <col min="471" max="471" width="58.85546875" bestFit="1" customWidth="1"/>
    <col min="472" max="472" width="11.7109375" bestFit="1" customWidth="1"/>
    <col min="473" max="473" width="57.5703125" bestFit="1" customWidth="1"/>
    <col min="474" max="474" width="11.7109375" bestFit="1" customWidth="1"/>
    <col min="475" max="475" width="55.5703125" bestFit="1" customWidth="1"/>
    <col min="476" max="476" width="11.7109375" bestFit="1" customWidth="1"/>
    <col min="477" max="477" width="42.7109375" bestFit="1" customWidth="1"/>
    <col min="478" max="478" width="11.7109375" bestFit="1" customWidth="1"/>
    <col min="479" max="479" width="19.7109375" bestFit="1" customWidth="1"/>
    <col min="480" max="480" width="11.7109375" bestFit="1" customWidth="1"/>
    <col min="481" max="481" width="39.7109375" bestFit="1" customWidth="1"/>
    <col min="482" max="482" width="11.7109375" bestFit="1" customWidth="1"/>
    <col min="483" max="483" width="33.140625" bestFit="1" customWidth="1"/>
    <col min="484" max="484" width="11.7109375" bestFit="1" customWidth="1"/>
    <col min="485" max="485" width="39.5703125" bestFit="1" customWidth="1"/>
    <col min="486" max="486" width="11.7109375" bestFit="1" customWidth="1"/>
    <col min="487" max="487" width="44.42578125" bestFit="1" customWidth="1"/>
    <col min="488" max="488" width="11.7109375" bestFit="1" customWidth="1"/>
    <col min="489" max="489" width="74.42578125" bestFit="1" customWidth="1"/>
    <col min="490" max="490" width="11.7109375" bestFit="1" customWidth="1"/>
    <col min="491" max="491" width="34.85546875" bestFit="1" customWidth="1"/>
    <col min="492" max="492" width="11.7109375" bestFit="1" customWidth="1"/>
    <col min="493" max="493" width="68.28515625" bestFit="1" customWidth="1"/>
    <col min="494" max="494" width="11.7109375" bestFit="1" customWidth="1"/>
    <col min="495" max="495" width="36" bestFit="1" customWidth="1"/>
    <col min="496" max="496" width="11.7109375" bestFit="1" customWidth="1"/>
    <col min="497" max="497" width="38.85546875" bestFit="1" customWidth="1"/>
    <col min="498" max="498" width="11.7109375" bestFit="1" customWidth="1"/>
    <col min="499" max="499" width="50.140625" bestFit="1" customWidth="1"/>
    <col min="500" max="500" width="11.7109375" bestFit="1" customWidth="1"/>
    <col min="501" max="501" width="51.5703125" bestFit="1" customWidth="1"/>
    <col min="502" max="502" width="11.7109375" bestFit="1" customWidth="1"/>
    <col min="503" max="503" width="36" bestFit="1" customWidth="1"/>
    <col min="504" max="504" width="11.7109375" bestFit="1" customWidth="1"/>
    <col min="505" max="505" width="43.7109375" bestFit="1" customWidth="1"/>
    <col min="506" max="506" width="11.7109375" bestFit="1" customWidth="1"/>
    <col min="507" max="507" width="47.140625" bestFit="1" customWidth="1"/>
    <col min="508" max="508" width="11.7109375" bestFit="1" customWidth="1"/>
    <col min="509" max="509" width="24.42578125" bestFit="1" customWidth="1"/>
    <col min="510" max="510" width="11.7109375" bestFit="1" customWidth="1"/>
    <col min="511" max="511" width="31.5703125" bestFit="1" customWidth="1"/>
    <col min="512" max="512" width="11.7109375" bestFit="1" customWidth="1"/>
    <col min="513" max="513" width="36.28515625" bestFit="1" customWidth="1"/>
    <col min="514" max="514" width="11.7109375" bestFit="1" customWidth="1"/>
    <col min="515" max="515" width="34.5703125" bestFit="1" customWidth="1"/>
    <col min="516" max="516" width="11.7109375" bestFit="1" customWidth="1"/>
    <col min="517" max="517" width="57.28515625" bestFit="1" customWidth="1"/>
    <col min="518" max="518" width="13.42578125" bestFit="1" customWidth="1"/>
    <col min="519" max="519" width="57.28515625" bestFit="1" customWidth="1"/>
    <col min="520" max="520" width="13.42578125" bestFit="1" customWidth="1"/>
    <col min="521" max="521" width="57.28515625" bestFit="1" customWidth="1"/>
    <col min="522" max="522" width="13.42578125" bestFit="1" customWidth="1"/>
    <col min="523" max="523" width="57.28515625" bestFit="1" customWidth="1"/>
    <col min="524" max="524" width="13.42578125" bestFit="1" customWidth="1"/>
    <col min="525" max="525" width="28.42578125" bestFit="1" customWidth="1"/>
    <col min="526" max="526" width="11.7109375" bestFit="1" customWidth="1"/>
    <col min="527" max="527" width="54.28515625" bestFit="1" customWidth="1"/>
    <col min="528" max="528" width="11.7109375" bestFit="1" customWidth="1"/>
    <col min="529" max="529" width="38.85546875" bestFit="1" customWidth="1"/>
    <col min="530" max="530" width="11.7109375" bestFit="1" customWidth="1"/>
    <col min="531" max="531" width="24.140625" bestFit="1" customWidth="1"/>
    <col min="532" max="532" width="11.7109375" bestFit="1" customWidth="1"/>
    <col min="533" max="533" width="43.85546875" bestFit="1" customWidth="1"/>
    <col min="534" max="534" width="11.7109375" bestFit="1" customWidth="1"/>
    <col min="535" max="535" width="42.85546875" bestFit="1" customWidth="1"/>
    <col min="536" max="536" width="11.7109375" bestFit="1" customWidth="1"/>
    <col min="537" max="537" width="40.28515625" bestFit="1" customWidth="1"/>
    <col min="538" max="538" width="11.7109375" bestFit="1" customWidth="1"/>
    <col min="539" max="539" width="54.28515625" bestFit="1" customWidth="1"/>
    <col min="540" max="540" width="11.7109375" bestFit="1" customWidth="1"/>
    <col min="541" max="541" width="44.140625" bestFit="1" customWidth="1"/>
    <col min="542" max="542" width="11.7109375" bestFit="1" customWidth="1"/>
    <col min="543" max="543" width="26.42578125" bestFit="1" customWidth="1"/>
    <col min="544" max="544" width="11.7109375" bestFit="1" customWidth="1"/>
    <col min="545" max="545" width="47.85546875" bestFit="1" customWidth="1"/>
    <col min="546" max="546" width="11.7109375" bestFit="1" customWidth="1"/>
    <col min="547" max="547" width="42.28515625" bestFit="1" customWidth="1"/>
    <col min="548" max="548" width="11.7109375" bestFit="1" customWidth="1"/>
    <col min="549" max="549" width="38.28515625" bestFit="1" customWidth="1"/>
    <col min="550" max="550" width="11.7109375" bestFit="1" customWidth="1"/>
    <col min="551" max="551" width="43.42578125" bestFit="1" customWidth="1"/>
    <col min="552" max="552" width="11.7109375" bestFit="1" customWidth="1"/>
    <col min="553" max="553" width="56" bestFit="1" customWidth="1"/>
    <col min="554" max="554" width="11.7109375" bestFit="1" customWidth="1"/>
    <col min="555" max="555" width="38.5703125" bestFit="1" customWidth="1"/>
    <col min="556" max="556" width="11.7109375" bestFit="1" customWidth="1"/>
    <col min="557" max="557" width="44" bestFit="1" customWidth="1"/>
    <col min="558" max="558" width="11.7109375" bestFit="1" customWidth="1"/>
    <col min="559" max="559" width="26.28515625" bestFit="1" customWidth="1"/>
    <col min="560" max="560" width="11.7109375" bestFit="1" customWidth="1"/>
    <col min="561" max="561" width="69" bestFit="1" customWidth="1"/>
    <col min="562" max="562" width="11.7109375" bestFit="1" customWidth="1"/>
    <col min="563" max="563" width="35.7109375" bestFit="1" customWidth="1"/>
    <col min="564" max="564" width="11.7109375" bestFit="1" customWidth="1"/>
    <col min="565" max="565" width="36.7109375" bestFit="1" customWidth="1"/>
    <col min="566" max="566" width="11.7109375" bestFit="1" customWidth="1"/>
    <col min="567" max="567" width="28.7109375" bestFit="1" customWidth="1"/>
    <col min="568" max="568" width="11.7109375" bestFit="1" customWidth="1"/>
    <col min="569" max="569" width="32.85546875" bestFit="1" customWidth="1"/>
    <col min="570" max="570" width="11.7109375" bestFit="1" customWidth="1"/>
    <col min="571" max="571" width="44.42578125" bestFit="1" customWidth="1"/>
    <col min="572" max="572" width="11.7109375" bestFit="1" customWidth="1"/>
    <col min="573" max="573" width="42.42578125" bestFit="1" customWidth="1"/>
    <col min="574" max="574" width="11.7109375" bestFit="1" customWidth="1"/>
    <col min="575" max="575" width="38.28515625" bestFit="1" customWidth="1"/>
    <col min="576" max="576" width="11.7109375" bestFit="1" customWidth="1"/>
    <col min="577" max="577" width="50.140625" bestFit="1" customWidth="1"/>
    <col min="578" max="578" width="11.7109375" bestFit="1" customWidth="1"/>
    <col min="579" max="579" width="47.140625" bestFit="1" customWidth="1"/>
    <col min="580" max="580" width="11.7109375" bestFit="1" customWidth="1"/>
    <col min="581" max="581" width="33.5703125" bestFit="1" customWidth="1"/>
    <col min="582" max="582" width="11.7109375" bestFit="1" customWidth="1"/>
    <col min="583" max="583" width="18" bestFit="1" customWidth="1"/>
    <col min="584" max="584" width="11.7109375" bestFit="1" customWidth="1"/>
    <col min="585" max="585" width="39.28515625" bestFit="1" customWidth="1"/>
    <col min="586" max="586" width="11.7109375" bestFit="1" customWidth="1"/>
    <col min="587" max="587" width="52.5703125" bestFit="1" customWidth="1"/>
    <col min="588" max="588" width="11.7109375" bestFit="1" customWidth="1"/>
    <col min="589" max="589" width="61" bestFit="1" customWidth="1"/>
    <col min="590" max="590" width="11.7109375" bestFit="1" customWidth="1"/>
    <col min="591" max="591" width="34.140625" bestFit="1" customWidth="1"/>
    <col min="592" max="592" width="11.7109375" bestFit="1" customWidth="1"/>
    <col min="593" max="593" width="36.28515625" bestFit="1" customWidth="1"/>
    <col min="594" max="594" width="11.7109375" bestFit="1" customWidth="1"/>
    <col min="595" max="595" width="20.5703125" bestFit="1" customWidth="1"/>
    <col min="596" max="596" width="11.7109375" bestFit="1" customWidth="1"/>
    <col min="597" max="597" width="52.85546875" bestFit="1" customWidth="1"/>
    <col min="598" max="598" width="11.7109375" bestFit="1" customWidth="1"/>
    <col min="599" max="599" width="11.28515625" bestFit="1" customWidth="1"/>
    <col min="600" max="600" width="11.7109375" bestFit="1" customWidth="1"/>
    <col min="601" max="601" width="28" bestFit="1" customWidth="1"/>
    <col min="602" max="602" width="11.7109375" bestFit="1" customWidth="1"/>
    <col min="603" max="603" width="43.28515625" bestFit="1" customWidth="1"/>
    <col min="604" max="604" width="11.7109375" bestFit="1" customWidth="1"/>
    <col min="605" max="605" width="32.7109375" bestFit="1" customWidth="1"/>
    <col min="606" max="606" width="11.7109375" bestFit="1" customWidth="1"/>
    <col min="607" max="607" width="58.42578125" bestFit="1" customWidth="1"/>
    <col min="608" max="608" width="11.7109375" bestFit="1" customWidth="1"/>
    <col min="609" max="609" width="86.42578125" bestFit="1" customWidth="1"/>
    <col min="610" max="610" width="11.7109375" bestFit="1" customWidth="1"/>
    <col min="611" max="611" width="62.5703125" bestFit="1" customWidth="1"/>
    <col min="612" max="612" width="11.7109375" bestFit="1" customWidth="1"/>
    <col min="613" max="613" width="39.5703125" bestFit="1" customWidth="1"/>
    <col min="614" max="614" width="11.7109375" bestFit="1" customWidth="1"/>
    <col min="615" max="615" width="35.7109375" bestFit="1" customWidth="1"/>
    <col min="616" max="616" width="11.7109375" bestFit="1" customWidth="1"/>
    <col min="617" max="617" width="52.42578125" bestFit="1" customWidth="1"/>
    <col min="618" max="618" width="11.7109375" bestFit="1" customWidth="1"/>
    <col min="619" max="619" width="29.28515625" bestFit="1" customWidth="1"/>
    <col min="620" max="620" width="11.7109375" bestFit="1" customWidth="1"/>
    <col min="621" max="621" width="48.28515625" bestFit="1" customWidth="1"/>
    <col min="622" max="622" width="11.7109375" bestFit="1" customWidth="1"/>
    <col min="623" max="623" width="31" bestFit="1" customWidth="1"/>
    <col min="624" max="624" width="11.7109375" bestFit="1" customWidth="1"/>
    <col min="625" max="625" width="40.28515625" bestFit="1" customWidth="1"/>
    <col min="626" max="626" width="11.7109375" bestFit="1" customWidth="1"/>
    <col min="627" max="627" width="35.42578125" bestFit="1" customWidth="1"/>
    <col min="628" max="628" width="11.7109375" bestFit="1" customWidth="1"/>
    <col min="629" max="629" width="25.140625" bestFit="1" customWidth="1"/>
    <col min="630" max="630" width="11.7109375" bestFit="1" customWidth="1"/>
    <col min="631" max="631" width="53.28515625" bestFit="1" customWidth="1"/>
    <col min="632" max="632" width="11.7109375" bestFit="1" customWidth="1"/>
    <col min="633" max="633" width="42.42578125" bestFit="1" customWidth="1"/>
    <col min="634" max="634" width="11.7109375" bestFit="1" customWidth="1"/>
    <col min="635" max="635" width="59.85546875" bestFit="1" customWidth="1"/>
    <col min="636" max="636" width="11.7109375" bestFit="1" customWidth="1"/>
    <col min="637" max="637" width="22.42578125" bestFit="1" customWidth="1"/>
    <col min="638" max="638" width="11.7109375" bestFit="1" customWidth="1"/>
    <col min="639" max="639" width="30" bestFit="1" customWidth="1"/>
    <col min="640" max="640" width="11.7109375" bestFit="1" customWidth="1"/>
    <col min="641" max="641" width="27.7109375" bestFit="1" customWidth="1"/>
    <col min="642" max="642" width="11.7109375" bestFit="1" customWidth="1"/>
    <col min="643" max="643" width="31.28515625" bestFit="1" customWidth="1"/>
    <col min="644" max="644" width="11.7109375" bestFit="1" customWidth="1"/>
    <col min="645" max="645" width="49" bestFit="1" customWidth="1"/>
    <col min="646" max="646" width="11.7109375" bestFit="1" customWidth="1"/>
    <col min="647" max="647" width="43.85546875" bestFit="1" customWidth="1"/>
    <col min="648" max="648" width="11.7109375" bestFit="1" customWidth="1"/>
    <col min="649" max="649" width="50.140625" bestFit="1" customWidth="1"/>
    <col min="650" max="650" width="11.7109375" bestFit="1" customWidth="1"/>
    <col min="651" max="651" width="38.7109375" bestFit="1" customWidth="1"/>
    <col min="652" max="652" width="11.7109375" bestFit="1" customWidth="1"/>
    <col min="653" max="653" width="28.85546875" bestFit="1" customWidth="1"/>
    <col min="654" max="654" width="11.7109375" bestFit="1" customWidth="1"/>
    <col min="655" max="655" width="50.140625" bestFit="1" customWidth="1"/>
    <col min="656" max="656" width="11.7109375" bestFit="1" customWidth="1"/>
    <col min="657" max="657" width="48.7109375" bestFit="1" customWidth="1"/>
    <col min="658" max="658" width="13.42578125" bestFit="1" customWidth="1"/>
    <col min="659" max="659" width="48.7109375" bestFit="1" customWidth="1"/>
    <col min="660" max="660" width="13.42578125" bestFit="1" customWidth="1"/>
    <col min="661" max="661" width="59.7109375" bestFit="1" customWidth="1"/>
    <col min="662" max="662" width="11.7109375" bestFit="1" customWidth="1"/>
    <col min="663" max="663" width="40.42578125" bestFit="1" customWidth="1"/>
    <col min="664" max="664" width="11.7109375" bestFit="1" customWidth="1"/>
    <col min="665" max="665" width="11.28515625" bestFit="1" customWidth="1"/>
    <col min="666" max="666" width="11.7109375" bestFit="1" customWidth="1"/>
    <col min="667" max="667" width="42.85546875" bestFit="1" customWidth="1"/>
    <col min="668" max="668" width="11.7109375" bestFit="1" customWidth="1"/>
    <col min="669" max="669" width="32.85546875" bestFit="1" customWidth="1"/>
    <col min="670" max="670" width="11.7109375" bestFit="1" customWidth="1"/>
    <col min="671" max="671" width="37.28515625" bestFit="1" customWidth="1"/>
    <col min="672" max="672" width="13.42578125" bestFit="1" customWidth="1"/>
    <col min="673" max="673" width="37.28515625" bestFit="1" customWidth="1"/>
    <col min="674" max="674" width="13.42578125" bestFit="1" customWidth="1"/>
    <col min="675" max="675" width="56.42578125" bestFit="1" customWidth="1"/>
    <col min="676" max="676" width="11.7109375" bestFit="1" customWidth="1"/>
    <col min="677" max="677" width="11.28515625" bestFit="1" customWidth="1"/>
    <col min="678" max="678" width="11.7109375" bestFit="1" customWidth="1"/>
    <col min="679" max="679" width="45.7109375" bestFit="1" customWidth="1"/>
    <col min="680" max="680" width="11.7109375" bestFit="1" customWidth="1"/>
    <col min="681" max="681" width="48" bestFit="1" customWidth="1"/>
    <col min="682" max="682" width="11.7109375" bestFit="1" customWidth="1"/>
    <col min="683" max="683" width="40.85546875" bestFit="1" customWidth="1"/>
    <col min="684" max="684" width="11.7109375" bestFit="1" customWidth="1"/>
    <col min="685" max="685" width="26.85546875" bestFit="1" customWidth="1"/>
    <col min="686" max="686" width="11.7109375" bestFit="1" customWidth="1"/>
    <col min="687" max="687" width="33.28515625" bestFit="1" customWidth="1"/>
    <col min="688" max="688" width="11.7109375" bestFit="1" customWidth="1"/>
    <col min="689" max="689" width="28" bestFit="1" customWidth="1"/>
    <col min="690" max="690" width="11.7109375" bestFit="1" customWidth="1"/>
    <col min="691" max="691" width="23.42578125" bestFit="1" customWidth="1"/>
    <col min="692" max="692" width="11.7109375" bestFit="1" customWidth="1"/>
    <col min="693" max="693" width="56.140625" bestFit="1" customWidth="1"/>
    <col min="694" max="694" width="11.7109375" bestFit="1" customWidth="1"/>
    <col min="695" max="695" width="32" bestFit="1" customWidth="1"/>
    <col min="696" max="696" width="11.7109375" bestFit="1" customWidth="1"/>
    <col min="697" max="697" width="42.85546875" bestFit="1" customWidth="1"/>
    <col min="698" max="698" width="11.7109375" bestFit="1" customWidth="1"/>
    <col min="699" max="699" width="40.140625" bestFit="1" customWidth="1"/>
    <col min="700" max="700" width="13.42578125" bestFit="1" customWidth="1"/>
    <col min="701" max="701" width="40.140625" bestFit="1" customWidth="1"/>
    <col min="702" max="702" width="13.42578125" bestFit="1" customWidth="1"/>
    <col min="703" max="703" width="93.140625" bestFit="1" customWidth="1"/>
    <col min="704" max="704" width="11.7109375" bestFit="1" customWidth="1"/>
    <col min="705" max="705" width="30.28515625" bestFit="1" customWidth="1"/>
    <col min="706" max="706" width="11.7109375" bestFit="1" customWidth="1"/>
    <col min="707" max="707" width="35.42578125" bestFit="1" customWidth="1"/>
    <col min="708" max="708" width="11.7109375" bestFit="1" customWidth="1"/>
    <col min="709" max="709" width="48" bestFit="1" customWidth="1"/>
    <col min="710" max="710" width="11.7109375" bestFit="1" customWidth="1"/>
    <col min="711" max="711" width="38" bestFit="1" customWidth="1"/>
    <col min="712" max="712" width="11.7109375" bestFit="1" customWidth="1"/>
    <col min="713" max="713" width="35" bestFit="1" customWidth="1"/>
    <col min="714" max="714" width="11.7109375" bestFit="1" customWidth="1"/>
    <col min="715" max="715" width="44.28515625" bestFit="1" customWidth="1"/>
    <col min="716" max="716" width="11.7109375" bestFit="1" customWidth="1"/>
    <col min="717" max="717" width="53.7109375" bestFit="1" customWidth="1"/>
    <col min="718" max="718" width="11.7109375" bestFit="1" customWidth="1"/>
    <col min="719" max="719" width="31.7109375" bestFit="1" customWidth="1"/>
    <col min="720" max="722" width="11.7109375" bestFit="1" customWidth="1"/>
    <col min="723" max="723" width="42.42578125" bestFit="1" customWidth="1"/>
    <col min="724" max="724" width="11.7109375" bestFit="1" customWidth="1"/>
    <col min="725" max="725" width="22.28515625" bestFit="1" customWidth="1"/>
    <col min="726" max="726" width="11.7109375" bestFit="1" customWidth="1"/>
    <col min="727" max="727" width="39.42578125" bestFit="1" customWidth="1"/>
    <col min="728" max="728" width="11.7109375" bestFit="1" customWidth="1"/>
    <col min="729" max="729" width="38.7109375" bestFit="1" customWidth="1"/>
    <col min="730" max="730" width="11.7109375" bestFit="1" customWidth="1"/>
    <col min="731" max="731" width="62.5703125" bestFit="1" customWidth="1"/>
    <col min="732" max="732" width="11.7109375" bestFit="1" customWidth="1"/>
    <col min="733" max="733" width="28.7109375" bestFit="1" customWidth="1"/>
    <col min="734" max="734" width="11.7109375" bestFit="1" customWidth="1"/>
    <col min="735" max="735" width="33.5703125" bestFit="1" customWidth="1"/>
    <col min="736" max="736" width="11.7109375" bestFit="1" customWidth="1"/>
    <col min="737" max="737" width="36.42578125" bestFit="1" customWidth="1"/>
    <col min="738" max="738" width="11.7109375" bestFit="1" customWidth="1"/>
    <col min="739" max="739" width="29.7109375" bestFit="1" customWidth="1"/>
    <col min="740" max="740" width="11.7109375" bestFit="1" customWidth="1"/>
    <col min="741" max="741" width="30.5703125" bestFit="1" customWidth="1"/>
    <col min="742" max="742" width="11.7109375" bestFit="1" customWidth="1"/>
    <col min="743" max="743" width="47.140625" bestFit="1" customWidth="1"/>
    <col min="744" max="744" width="11.7109375" bestFit="1" customWidth="1"/>
    <col min="745" max="745" width="37" bestFit="1" customWidth="1"/>
    <col min="746" max="746" width="11.7109375" bestFit="1" customWidth="1"/>
    <col min="747" max="747" width="61.140625" bestFit="1" customWidth="1"/>
    <col min="748" max="748" width="11.7109375" bestFit="1" customWidth="1"/>
    <col min="749" max="749" width="35.28515625" bestFit="1" customWidth="1"/>
    <col min="750" max="750" width="11.7109375" bestFit="1" customWidth="1"/>
    <col min="751" max="751" width="71.7109375" bestFit="1" customWidth="1"/>
    <col min="752" max="752" width="11.7109375" bestFit="1" customWidth="1"/>
    <col min="753" max="753" width="31.28515625" bestFit="1" customWidth="1"/>
    <col min="754" max="754" width="11.7109375" bestFit="1" customWidth="1"/>
    <col min="755" max="755" width="46.7109375" bestFit="1" customWidth="1"/>
    <col min="756" max="756" width="11.7109375" bestFit="1" customWidth="1"/>
    <col min="757" max="757" width="61" bestFit="1" customWidth="1"/>
    <col min="758" max="758" width="11.7109375" bestFit="1" customWidth="1"/>
    <col min="759" max="759" width="79.42578125" bestFit="1" customWidth="1"/>
    <col min="760" max="760" width="11.7109375" bestFit="1" customWidth="1"/>
    <col min="761" max="761" width="41.140625" bestFit="1" customWidth="1"/>
    <col min="762" max="762" width="11.7109375" bestFit="1" customWidth="1"/>
    <col min="763" max="763" width="45.28515625" bestFit="1" customWidth="1"/>
    <col min="764" max="764" width="11.7109375" bestFit="1" customWidth="1"/>
    <col min="765" max="765" width="38.5703125" bestFit="1" customWidth="1"/>
    <col min="766" max="766" width="11.7109375" bestFit="1" customWidth="1"/>
    <col min="767" max="767" width="30.28515625" bestFit="1" customWidth="1"/>
    <col min="768" max="768" width="11.7109375" bestFit="1" customWidth="1"/>
    <col min="769" max="769" width="32.42578125" bestFit="1" customWidth="1"/>
    <col min="770" max="770" width="11.7109375" bestFit="1" customWidth="1"/>
    <col min="771" max="771" width="34.42578125" bestFit="1" customWidth="1"/>
    <col min="772" max="772" width="13.42578125" bestFit="1" customWidth="1"/>
    <col min="773" max="773" width="34.85546875" bestFit="1" customWidth="1"/>
    <col min="774" max="774" width="13.42578125" bestFit="1" customWidth="1"/>
    <col min="775" max="775" width="30.42578125" bestFit="1" customWidth="1"/>
    <col min="776" max="776" width="13.42578125" bestFit="1" customWidth="1"/>
    <col min="777" max="777" width="30.42578125" bestFit="1" customWidth="1"/>
    <col min="778" max="778" width="13.42578125" bestFit="1" customWidth="1"/>
    <col min="779" max="779" width="23.140625" bestFit="1" customWidth="1"/>
    <col min="780" max="780" width="11.7109375" bestFit="1" customWidth="1"/>
    <col min="781" max="781" width="51.28515625" bestFit="1" customWidth="1"/>
    <col min="782" max="782" width="11.7109375" bestFit="1" customWidth="1"/>
    <col min="783" max="783" width="24.42578125" bestFit="1" customWidth="1"/>
    <col min="784" max="784" width="11.7109375" bestFit="1" customWidth="1"/>
    <col min="785" max="785" width="10.28515625" bestFit="1" customWidth="1"/>
  </cols>
  <sheetData>
    <row r="1" spans="1:2" x14ac:dyDescent="0.25">
      <c r="A1" s="1" t="s">
        <v>1516</v>
      </c>
      <c r="B1" t="s">
        <v>84</v>
      </c>
    </row>
    <row r="3" spans="1:2" x14ac:dyDescent="0.25">
      <c r="A3" s="1" t="s">
        <v>1527</v>
      </c>
    </row>
    <row r="4" spans="1:2" x14ac:dyDescent="0.25">
      <c r="A4" s="2" t="s">
        <v>85</v>
      </c>
    </row>
    <row r="5" spans="1:2" x14ac:dyDescent="0.25">
      <c r="A5" s="3" t="s">
        <v>86</v>
      </c>
    </row>
    <row r="6" spans="1:2" x14ac:dyDescent="0.25">
      <c r="A6" s="2" t="s">
        <v>1529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3:B20"/>
  <sheetViews>
    <sheetView workbookViewId="0">
      <selection activeCell="A8" sqref="A8"/>
    </sheetView>
  </sheetViews>
  <sheetFormatPr defaultRowHeight="15" x14ac:dyDescent="0.25"/>
  <cols>
    <col min="1" max="1" width="84.85546875" bestFit="1" customWidth="1"/>
    <col min="2" max="2" width="19" customWidth="1"/>
    <col min="3" max="3" width="28.7109375" customWidth="1"/>
    <col min="4" max="4" width="31.5703125" customWidth="1"/>
    <col min="5" max="5" width="37.5703125" customWidth="1"/>
    <col min="6" max="6" width="37.140625" customWidth="1"/>
    <col min="7" max="7" width="34.140625" customWidth="1"/>
    <col min="8" max="8" width="46.85546875" customWidth="1"/>
    <col min="9" max="9" width="39.42578125" customWidth="1"/>
    <col min="10" max="10" width="47.85546875" customWidth="1"/>
    <col min="11" max="11" width="63.85546875" customWidth="1"/>
    <col min="12" max="12" width="55.5703125" customWidth="1"/>
    <col min="13" max="13" width="30" customWidth="1"/>
    <col min="14" max="14" width="32" customWidth="1"/>
    <col min="15" max="15" width="47" customWidth="1"/>
    <col min="16" max="16" width="41.85546875" customWidth="1"/>
    <col min="17" max="17" width="33.140625" customWidth="1"/>
    <col min="18" max="18" width="56.85546875" customWidth="1"/>
    <col min="19" max="19" width="67.85546875" customWidth="1"/>
    <col min="20" max="20" width="38" customWidth="1"/>
    <col min="21" max="21" width="63.7109375" customWidth="1"/>
    <col min="22" max="22" width="50.140625" customWidth="1"/>
    <col min="23" max="23" width="52.28515625" customWidth="1"/>
    <col min="24" max="24" width="64.42578125" customWidth="1"/>
    <col min="25" max="25" width="45.28515625" customWidth="1"/>
    <col min="26" max="26" width="42.5703125" customWidth="1"/>
    <col min="27" max="27" width="46.7109375" customWidth="1"/>
    <col min="28" max="28" width="41.7109375" customWidth="1"/>
    <col min="29" max="29" width="30.42578125" customWidth="1"/>
    <col min="30" max="30" width="44.7109375" customWidth="1"/>
    <col min="31" max="31" width="77.5703125" customWidth="1"/>
    <col min="32" max="32" width="48" customWidth="1"/>
    <col min="33" max="33" width="51.28515625" customWidth="1"/>
    <col min="34" max="34" width="42.28515625" customWidth="1"/>
    <col min="35" max="35" width="32.85546875" customWidth="1"/>
    <col min="36" max="36" width="70.7109375" customWidth="1"/>
    <col min="37" max="37" width="48.5703125" customWidth="1"/>
    <col min="38" max="38" width="49" customWidth="1"/>
    <col min="39" max="39" width="37.28515625" customWidth="1"/>
    <col min="40" max="40" width="45.7109375" customWidth="1"/>
    <col min="41" max="41" width="23.5703125" customWidth="1"/>
    <col min="42" max="42" width="52.42578125" customWidth="1"/>
    <col min="43" max="43" width="26.42578125" customWidth="1"/>
    <col min="44" max="44" width="51.140625" customWidth="1"/>
    <col min="45" max="45" width="25.5703125" customWidth="1"/>
    <col min="46" max="46" width="32.28515625" customWidth="1"/>
    <col min="47" max="47" width="70.28515625" customWidth="1"/>
    <col min="48" max="48" width="27.5703125" customWidth="1"/>
    <col min="49" max="49" width="53.85546875" customWidth="1"/>
    <col min="50" max="50" width="61.140625" customWidth="1"/>
    <col min="51" max="51" width="68" customWidth="1"/>
    <col min="52" max="52" width="49.28515625" customWidth="1"/>
    <col min="53" max="53" width="23.42578125" customWidth="1"/>
    <col min="54" max="54" width="40.85546875" customWidth="1"/>
    <col min="55" max="55" width="31.28515625" customWidth="1"/>
    <col min="56" max="57" width="24.85546875" customWidth="1"/>
    <col min="58" max="58" width="33.5703125" customWidth="1"/>
    <col min="59" max="59" width="63.28515625" customWidth="1"/>
    <col min="60" max="60" width="68.140625" customWidth="1"/>
    <col min="61" max="61" width="48.140625" customWidth="1"/>
    <col min="62" max="62" width="40.28515625" customWidth="1"/>
    <col min="63" max="63" width="36.28515625" customWidth="1"/>
    <col min="64" max="64" width="43.85546875" customWidth="1"/>
    <col min="65" max="65" width="30.7109375" customWidth="1"/>
    <col min="66" max="66" width="36" customWidth="1"/>
    <col min="67" max="67" width="40" customWidth="1"/>
    <col min="68" max="68" width="39.5703125" customWidth="1"/>
    <col min="69" max="69" width="38.7109375" customWidth="1"/>
    <col min="70" max="70" width="40.42578125" customWidth="1"/>
    <col min="71" max="71" width="34.5703125" customWidth="1"/>
    <col min="72" max="72" width="45.7109375" customWidth="1"/>
    <col min="73" max="73" width="38.85546875" customWidth="1"/>
    <col min="74" max="74" width="41.28515625" customWidth="1"/>
    <col min="75" max="75" width="35.42578125" customWidth="1"/>
    <col min="76" max="76" width="59.85546875" customWidth="1"/>
    <col min="77" max="77" width="35.28515625" customWidth="1"/>
    <col min="78" max="78" width="36.42578125" customWidth="1"/>
    <col min="79" max="79" width="45.5703125" customWidth="1"/>
    <col min="80" max="80" width="37.140625" customWidth="1"/>
    <col min="81" max="81" width="36.7109375" customWidth="1"/>
    <col min="82" max="82" width="39.85546875" customWidth="1"/>
    <col min="83" max="83" width="31" customWidth="1"/>
    <col min="84" max="84" width="59.85546875" customWidth="1"/>
    <col min="85" max="85" width="64.85546875" customWidth="1"/>
    <col min="86" max="86" width="62.5703125" customWidth="1"/>
    <col min="87" max="87" width="57.140625" customWidth="1"/>
    <col min="88" max="88" width="37.42578125" customWidth="1"/>
    <col min="89" max="89" width="45.28515625" customWidth="1"/>
    <col min="90" max="90" width="34.5703125" customWidth="1"/>
    <col min="91" max="91" width="68.28515625" customWidth="1"/>
    <col min="92" max="92" width="53.7109375" customWidth="1"/>
    <col min="93" max="93" width="36.42578125" customWidth="1"/>
    <col min="94" max="94" width="41.28515625" customWidth="1"/>
    <col min="95" max="95" width="39.5703125" customWidth="1"/>
    <col min="96" max="96" width="36.28515625" customWidth="1"/>
    <col min="97" max="97" width="37" customWidth="1"/>
    <col min="98" max="98" width="33.5703125" customWidth="1"/>
    <col min="99" max="99" width="38" customWidth="1"/>
    <col min="100" max="100" width="40.42578125" customWidth="1"/>
    <col min="101" max="101" width="47.140625" customWidth="1"/>
    <col min="102" max="102" width="46" customWidth="1"/>
    <col min="103" max="103" width="49.42578125" customWidth="1"/>
    <col min="104" max="104" width="39.85546875" customWidth="1"/>
    <col min="105" max="105" width="41" customWidth="1"/>
    <col min="106" max="106" width="83.28515625" customWidth="1"/>
    <col min="107" max="107" width="42.85546875" customWidth="1"/>
    <col min="108" max="108" width="35" customWidth="1"/>
    <col min="109" max="109" width="49" customWidth="1"/>
    <col min="110" max="110" width="53.5703125" customWidth="1"/>
    <col min="111" max="111" width="43.85546875" customWidth="1"/>
    <col min="112" max="112" width="35.7109375" customWidth="1"/>
    <col min="113" max="113" width="61.140625" customWidth="1"/>
    <col min="114" max="114" width="53.85546875" customWidth="1"/>
    <col min="115" max="115" width="37.5703125" customWidth="1"/>
    <col min="116" max="116" width="38.7109375" customWidth="1"/>
    <col min="117" max="117" width="63.7109375" customWidth="1"/>
    <col min="118" max="118" width="69.85546875" customWidth="1"/>
    <col min="119" max="119" width="57.28515625" customWidth="1"/>
    <col min="120" max="120" width="30.7109375" customWidth="1"/>
    <col min="121" max="121" width="26.85546875" customWidth="1"/>
    <col min="122" max="122" width="57.140625" customWidth="1"/>
    <col min="123" max="123" width="48.7109375" customWidth="1"/>
    <col min="124" max="124" width="48" customWidth="1"/>
    <col min="125" max="125" width="57.5703125" customWidth="1"/>
    <col min="126" max="126" width="49" customWidth="1"/>
    <col min="127" max="127" width="43.7109375" customWidth="1"/>
    <col min="128" max="128" width="48.85546875" customWidth="1"/>
    <col min="129" max="129" width="36.7109375" customWidth="1"/>
    <col min="130" max="130" width="44.42578125" customWidth="1"/>
    <col min="131" max="131" width="51.85546875" customWidth="1"/>
    <col min="132" max="132" width="57" customWidth="1"/>
    <col min="133" max="133" width="50.140625" customWidth="1"/>
    <col min="134" max="134" width="31.28515625" customWidth="1"/>
    <col min="135" max="135" width="35.7109375" customWidth="1"/>
    <col min="136" max="136" width="36.42578125" customWidth="1"/>
    <col min="137" max="137" width="45.5703125" customWidth="1"/>
    <col min="138" max="138" width="38.85546875" customWidth="1"/>
    <col min="139" max="139" width="41" customWidth="1"/>
    <col min="140" max="140" width="35" customWidth="1"/>
    <col min="141" max="141" width="30.28515625" customWidth="1"/>
    <col min="142" max="142" width="33.5703125" customWidth="1"/>
    <col min="143" max="143" width="29.7109375" customWidth="1"/>
    <col min="144" max="144" width="34.5703125" customWidth="1"/>
    <col min="145" max="145" width="39" customWidth="1"/>
    <col min="146" max="146" width="34.140625" customWidth="1"/>
    <col min="147" max="147" width="37.28515625" customWidth="1"/>
    <col min="148" max="148" width="36.5703125" customWidth="1"/>
    <col min="149" max="149" width="37.140625" customWidth="1"/>
    <col min="150" max="150" width="44.85546875" customWidth="1"/>
    <col min="151" max="151" width="26.28515625" customWidth="1"/>
    <col min="152" max="152" width="41.140625" customWidth="1"/>
    <col min="153" max="153" width="53" customWidth="1"/>
    <col min="154" max="154" width="43" customWidth="1"/>
    <col min="155" max="155" width="86.42578125" customWidth="1"/>
    <col min="156" max="156" width="39.7109375" customWidth="1"/>
    <col min="157" max="157" width="34.42578125" customWidth="1"/>
    <col min="158" max="158" width="34.85546875" customWidth="1"/>
    <col min="159" max="159" width="32" customWidth="1"/>
    <col min="160" max="160" width="63.85546875" customWidth="1"/>
    <col min="161" max="161" width="48.28515625" customWidth="1"/>
    <col min="162" max="162" width="51.140625" customWidth="1"/>
    <col min="163" max="163" width="38.28515625" customWidth="1"/>
    <col min="164" max="164" width="53.28515625" customWidth="1"/>
    <col min="165" max="165" width="54.85546875" customWidth="1"/>
    <col min="166" max="167" width="42.42578125" customWidth="1"/>
    <col min="168" max="168" width="20.5703125" customWidth="1"/>
    <col min="169" max="169" width="39.5703125" customWidth="1"/>
    <col min="170" max="170" width="53.140625" customWidth="1"/>
    <col min="171" max="171" width="33" customWidth="1"/>
    <col min="172" max="172" width="34.140625" customWidth="1"/>
    <col min="173" max="173" width="68.7109375" customWidth="1"/>
    <col min="174" max="174" width="58" customWidth="1"/>
    <col min="175" max="175" width="53.140625" customWidth="1"/>
    <col min="176" max="176" width="24.42578125" customWidth="1"/>
    <col min="177" max="177" width="29.28515625" customWidth="1"/>
    <col min="178" max="178" width="38.28515625" customWidth="1"/>
    <col min="179" max="179" width="35.42578125" customWidth="1"/>
    <col min="180" max="180" width="52.85546875" customWidth="1"/>
    <col min="181" max="181" width="29" customWidth="1"/>
    <col min="182" max="182" width="51.28515625" customWidth="1"/>
    <col min="183" max="183" width="61" customWidth="1"/>
    <col min="184" max="184" width="27.28515625" customWidth="1"/>
    <col min="185" max="185" width="52.5703125" customWidth="1"/>
    <col min="186" max="186" width="27.42578125" customWidth="1"/>
    <col min="187" max="187" width="39.28515625" customWidth="1"/>
    <col min="188" max="188" width="60.28515625" customWidth="1"/>
    <col min="189" max="189" width="42.7109375" customWidth="1"/>
    <col min="190" max="190" width="22.42578125" customWidth="1"/>
    <col min="191" max="191" width="24.140625" customWidth="1"/>
    <col min="192" max="192" width="38.5703125" customWidth="1"/>
    <col min="193" max="193" width="44.85546875" customWidth="1"/>
    <col min="194" max="194" width="43" customWidth="1"/>
    <col min="195" max="195" width="31.140625" customWidth="1"/>
    <col min="196" max="196" width="40.140625" customWidth="1"/>
    <col min="197" max="197" width="52.85546875" customWidth="1"/>
    <col min="198" max="198" width="38.140625" customWidth="1"/>
    <col min="199" max="199" width="60.85546875" customWidth="1"/>
    <col min="200" max="200" width="67.42578125" customWidth="1"/>
    <col min="201" max="201" width="43.7109375" customWidth="1"/>
    <col min="202" max="202" width="14.7109375" customWidth="1"/>
    <col min="203" max="203" width="41.85546875" customWidth="1"/>
    <col min="204" max="204" width="38.5703125" customWidth="1"/>
    <col min="205" max="205" width="51.5703125" customWidth="1"/>
    <col min="206" max="206" width="77.140625" customWidth="1"/>
    <col min="207" max="207" width="34.5703125" customWidth="1"/>
    <col min="208" max="208" width="80.140625" customWidth="1"/>
    <col min="209" max="209" width="32.140625" customWidth="1"/>
    <col min="210" max="210" width="61.5703125" customWidth="1"/>
    <col min="211" max="211" width="39.85546875" customWidth="1"/>
    <col min="212" max="212" width="42.28515625" customWidth="1"/>
    <col min="213" max="213" width="20.5703125" customWidth="1"/>
    <col min="214" max="214" width="50.140625" customWidth="1"/>
    <col min="215" max="215" width="38.85546875" customWidth="1"/>
    <col min="216" max="216" width="51.42578125" customWidth="1"/>
    <col min="217" max="217" width="36.7109375" customWidth="1"/>
    <col min="218" max="218" width="23.140625" customWidth="1"/>
    <col min="219" max="219" width="47.5703125" customWidth="1"/>
    <col min="220" max="220" width="20.140625" customWidth="1"/>
    <col min="221" max="221" width="59.7109375" customWidth="1"/>
    <col min="222" max="222" width="22.42578125" customWidth="1"/>
    <col min="223" max="223" width="36.7109375" customWidth="1"/>
    <col min="224" max="224" width="36.140625" customWidth="1"/>
    <col min="225" max="225" width="41.85546875" customWidth="1"/>
    <col min="226" max="226" width="19.7109375" customWidth="1"/>
    <col min="227" max="227" width="35.5703125" customWidth="1"/>
    <col min="228" max="228" width="47.140625" customWidth="1"/>
    <col min="229" max="229" width="48.28515625" customWidth="1"/>
    <col min="230" max="230" width="17.28515625" customWidth="1"/>
    <col min="231" max="231" width="17.7109375" customWidth="1"/>
    <col min="232" max="232" width="28" customWidth="1"/>
    <col min="233" max="233" width="71.7109375" customWidth="1"/>
    <col min="234" max="234" width="25.140625" customWidth="1"/>
    <col min="235" max="235" width="41.5703125" customWidth="1"/>
    <col min="236" max="236" width="46.42578125" customWidth="1"/>
    <col min="237" max="237" width="45" customWidth="1"/>
    <col min="238" max="238" width="28.42578125" customWidth="1"/>
    <col min="239" max="239" width="24.85546875" customWidth="1"/>
    <col min="240" max="240" width="48.7109375" customWidth="1"/>
    <col min="241" max="241" width="28" customWidth="1"/>
    <col min="242" max="242" width="30.5703125" customWidth="1"/>
    <col min="243" max="243" width="28.7109375" customWidth="1"/>
    <col min="244" max="244" width="36.85546875" customWidth="1"/>
    <col min="245" max="245" width="55.5703125" customWidth="1"/>
    <col min="246" max="246" width="45.28515625" customWidth="1"/>
    <col min="247" max="247" width="33.140625" customWidth="1"/>
    <col min="248" max="248" width="77.140625" customWidth="1"/>
    <col min="249" max="249" width="55.7109375" customWidth="1"/>
    <col min="250" max="250" width="30" customWidth="1"/>
    <col min="251" max="251" width="69.5703125" customWidth="1"/>
    <col min="252" max="252" width="43.85546875" customWidth="1"/>
    <col min="253" max="253" width="37.42578125" customWidth="1"/>
    <col min="254" max="254" width="50.140625" customWidth="1"/>
    <col min="255" max="255" width="85.85546875" customWidth="1"/>
    <col min="256" max="256" width="61.7109375" customWidth="1"/>
    <col min="257" max="257" width="35.42578125" customWidth="1"/>
    <col min="258" max="258" width="37.42578125" customWidth="1"/>
    <col min="259" max="259" width="49.7109375" customWidth="1"/>
    <col min="260" max="260" width="57.7109375" customWidth="1"/>
    <col min="261" max="261" width="55.140625" customWidth="1"/>
    <col min="262" max="262" width="34.85546875" customWidth="1"/>
    <col min="263" max="263" width="38.7109375" customWidth="1"/>
    <col min="264" max="264" width="55.28515625" customWidth="1"/>
    <col min="265" max="265" width="23" customWidth="1"/>
    <col min="266" max="266" width="40.85546875" customWidth="1"/>
    <col min="267" max="267" width="47.28515625" customWidth="1"/>
    <col min="268" max="268" width="46.7109375" customWidth="1"/>
    <col min="269" max="269" width="60.85546875" customWidth="1"/>
    <col min="270" max="270" width="41.28515625" customWidth="1"/>
    <col min="271" max="271" width="25.140625" customWidth="1"/>
    <col min="272" max="272" width="66.28515625" customWidth="1"/>
    <col min="273" max="273" width="39.42578125" customWidth="1"/>
    <col min="274" max="274" width="61" customWidth="1"/>
    <col min="275" max="275" width="37.28515625" customWidth="1"/>
    <col min="276" max="276" width="24.28515625" customWidth="1"/>
    <col min="277" max="277" width="38" customWidth="1"/>
    <col min="278" max="278" width="33.28515625" customWidth="1"/>
    <col min="279" max="279" width="32.42578125" customWidth="1"/>
    <col min="280" max="280" width="49.42578125" customWidth="1"/>
    <col min="281" max="281" width="43.42578125" customWidth="1"/>
    <col min="282" max="282" width="39.7109375" customWidth="1"/>
    <col min="283" max="283" width="24" customWidth="1"/>
    <col min="284" max="284" width="50.85546875" customWidth="1"/>
    <col min="285" max="285" width="41.42578125" customWidth="1"/>
    <col min="286" max="286" width="56.5703125" customWidth="1"/>
    <col min="287" max="287" width="36.42578125" customWidth="1"/>
    <col min="288" max="288" width="38.42578125" customWidth="1"/>
    <col min="289" max="289" width="44" customWidth="1"/>
    <col min="290" max="290" width="34.85546875" customWidth="1"/>
    <col min="291" max="291" width="37.42578125" customWidth="1"/>
    <col min="292" max="292" width="43.28515625" customWidth="1"/>
    <col min="293" max="293" width="87.28515625" customWidth="1"/>
    <col min="294" max="294" width="77.7109375" customWidth="1"/>
    <col min="295" max="295" width="47.42578125" customWidth="1"/>
    <col min="296" max="296" width="30.140625" customWidth="1"/>
    <col min="297" max="297" width="31.7109375" customWidth="1"/>
    <col min="298" max="298" width="36" customWidth="1"/>
    <col min="299" max="299" width="58.85546875" customWidth="1"/>
    <col min="300" max="300" width="42.85546875" customWidth="1"/>
    <col min="301" max="301" width="45.85546875" customWidth="1"/>
    <col min="302" max="302" width="44.42578125" customWidth="1"/>
    <col min="303" max="303" width="43.85546875" customWidth="1"/>
    <col min="304" max="304" width="47" customWidth="1"/>
    <col min="305" max="305" width="42.85546875" customWidth="1"/>
    <col min="306" max="306" width="38.7109375" customWidth="1"/>
    <col min="307" max="307" width="27.7109375" customWidth="1"/>
    <col min="308" max="308" width="32.85546875" customWidth="1"/>
    <col min="309" max="309" width="30.28515625" customWidth="1"/>
    <col min="310" max="310" width="49.5703125" customWidth="1"/>
    <col min="311" max="311" width="44.140625" customWidth="1"/>
    <col min="312" max="312" width="39.28515625" customWidth="1"/>
    <col min="313" max="313" width="57.5703125" customWidth="1"/>
    <col min="314" max="314" width="29" customWidth="1"/>
    <col min="315" max="315" width="65.28515625" customWidth="1"/>
    <col min="316" max="316" width="22.28515625" customWidth="1"/>
    <col min="317" max="317" width="85.140625" customWidth="1"/>
    <col min="318" max="318" width="38.5703125" customWidth="1"/>
    <col min="319" max="319" width="56.42578125" customWidth="1"/>
    <col min="320" max="320" width="25.140625" customWidth="1"/>
    <col min="321" max="321" width="53.7109375" customWidth="1"/>
    <col min="322" max="322" width="35.7109375" customWidth="1"/>
    <col min="323" max="323" width="33.28515625" customWidth="1"/>
    <col min="324" max="324" width="37.5703125" customWidth="1"/>
    <col min="325" max="325" width="31.7109375" customWidth="1"/>
    <col min="326" max="326" width="32.7109375" customWidth="1"/>
    <col min="327" max="327" width="56.140625" customWidth="1"/>
    <col min="328" max="328" width="38.140625" customWidth="1"/>
    <col min="329" max="329" width="28.85546875" customWidth="1"/>
    <col min="330" max="330" width="54.28515625" customWidth="1"/>
    <col min="331" max="331" width="37.28515625" customWidth="1"/>
    <col min="332" max="332" width="41.85546875" customWidth="1"/>
    <col min="333" max="333" width="24.42578125" customWidth="1"/>
    <col min="334" max="334" width="62.5703125" customWidth="1"/>
    <col min="335" max="335" width="44.28515625" customWidth="1"/>
    <col min="336" max="336" width="11.28515625" customWidth="1"/>
    <col min="337" max="337" width="11.7109375" customWidth="1"/>
    <col min="338" max="338" width="47.140625" customWidth="1"/>
    <col min="339" max="339" width="54.28515625" customWidth="1"/>
    <col min="340" max="340" width="69.7109375" customWidth="1"/>
    <col min="341" max="341" width="18" customWidth="1"/>
    <col min="342" max="342" width="54.28515625" customWidth="1"/>
    <col min="343" max="343" width="28.140625" customWidth="1"/>
    <col min="344" max="344" width="50.5703125" customWidth="1"/>
    <col min="345" max="345" width="69" customWidth="1"/>
    <col min="346" max="346" width="40.28515625" customWidth="1"/>
    <col min="347" max="347" width="63" customWidth="1"/>
    <col min="348" max="348" width="26.42578125" customWidth="1"/>
    <col min="349" max="349" width="51.85546875" customWidth="1"/>
    <col min="350" max="350" width="52.7109375" customWidth="1"/>
    <col min="351" max="351" width="28" customWidth="1"/>
    <col min="352" max="352" width="40.42578125" customWidth="1"/>
    <col min="353" max="353" width="42.42578125" customWidth="1"/>
    <col min="354" max="354" width="93.140625" customWidth="1"/>
    <col min="355" max="355" width="57.28515625" customWidth="1"/>
    <col min="356" max="356" width="55.5703125" customWidth="1"/>
    <col min="357" max="357" width="49.7109375" customWidth="1"/>
    <col min="358" max="358" width="57.5703125" customWidth="1"/>
    <col min="359" max="359" width="35.85546875" customWidth="1"/>
    <col min="360" max="360" width="44.85546875" customWidth="1"/>
    <col min="361" max="361" width="32.28515625" customWidth="1"/>
    <col min="362" max="362" width="65.5703125" customWidth="1"/>
    <col min="363" max="363" width="71.42578125" customWidth="1"/>
    <col min="364" max="364" width="79.42578125" customWidth="1"/>
    <col min="365" max="365" width="73.42578125" customWidth="1"/>
    <col min="366" max="366" width="48.28515625" customWidth="1"/>
    <col min="367" max="367" width="56" customWidth="1"/>
    <col min="368" max="368" width="43.85546875" customWidth="1"/>
    <col min="369" max="369" width="38.5703125" customWidth="1"/>
    <col min="370" max="370" width="48" customWidth="1"/>
    <col min="371" max="371" width="58.42578125" customWidth="1"/>
    <col min="372" max="372" width="38.140625" customWidth="1"/>
    <col min="373" max="373" width="74.42578125" customWidth="1"/>
    <col min="374" max="374" width="45.7109375" customWidth="1"/>
    <col min="375" max="375" width="38.5703125" customWidth="1"/>
    <col min="376" max="376" width="37.7109375" customWidth="1"/>
    <col min="377" max="377" width="37.28515625" customWidth="1"/>
    <col min="378" max="378" width="10.28515625" customWidth="1"/>
    <col min="379" max="379" width="32.85546875" customWidth="1"/>
    <col min="380" max="380" width="25.5703125" customWidth="1"/>
    <col min="381" max="381" width="34.140625" customWidth="1"/>
    <col min="382" max="382" width="58" customWidth="1"/>
    <col min="383" max="383" width="80.140625" customWidth="1"/>
    <col min="384" max="384" width="17.28515625" customWidth="1"/>
    <col min="385" max="385" width="66.28515625" customWidth="1"/>
    <col min="386" max="386" width="50.85546875" customWidth="1"/>
    <col min="387" max="387" width="69.7109375" customWidth="1"/>
    <col min="388" max="388" width="13.42578125" customWidth="1"/>
    <col min="389" max="389" width="30.42578125" customWidth="1"/>
    <col min="390" max="390" width="42.28515625" customWidth="1"/>
    <col min="391" max="391" width="23.5703125" customWidth="1"/>
    <col min="392" max="392" width="38.140625" customWidth="1"/>
    <col min="393" max="393" width="23.140625" customWidth="1"/>
    <col min="394" max="394" width="59.7109375" customWidth="1"/>
    <col min="395" max="395" width="19.7109375" customWidth="1"/>
    <col min="396" max="396" width="17.7109375" customWidth="1"/>
    <col min="397" max="397" width="71.7109375" customWidth="1"/>
    <col min="398" max="398" width="14.85546875" customWidth="1"/>
    <col min="399" max="399" width="13.140625" customWidth="1"/>
    <col min="400" max="400" width="16.28515625" customWidth="1"/>
    <col min="401" max="401" width="11.28515625" customWidth="1"/>
    <col min="402" max="402" width="11.7109375" customWidth="1"/>
    <col min="403" max="403" width="11.85546875" customWidth="1"/>
    <col min="404" max="404" width="10.28515625" customWidth="1"/>
    <col min="405" max="406" width="67.42578125" bestFit="1" customWidth="1"/>
    <col min="407" max="408" width="67.42578125" customWidth="1"/>
    <col min="409" max="410" width="67.42578125" bestFit="1" customWidth="1"/>
    <col min="411" max="415" width="67.42578125" customWidth="1"/>
    <col min="416" max="416" width="9" customWidth="1"/>
    <col min="417" max="419" width="42.28515625" customWidth="1"/>
    <col min="420" max="420" width="14.85546875" customWidth="1"/>
    <col min="421" max="421" width="8.5703125" customWidth="1"/>
    <col min="422" max="423" width="29.7109375" customWidth="1"/>
    <col min="424" max="424" width="9" customWidth="1"/>
    <col min="425" max="425" width="35.7109375" customWidth="1"/>
    <col min="426" max="426" width="9.42578125" customWidth="1"/>
    <col min="427" max="427" width="39.5703125" customWidth="1"/>
    <col min="428" max="429" width="9" customWidth="1"/>
    <col min="430" max="431" width="79.42578125" customWidth="1"/>
    <col min="432" max="432" width="16.7109375" customWidth="1"/>
    <col min="433" max="435" width="71.7109375" customWidth="1"/>
    <col min="436" max="436" width="14.85546875" customWidth="1"/>
    <col min="437" max="438" width="11.7109375" customWidth="1"/>
    <col min="439" max="440" width="11.85546875" customWidth="1"/>
    <col min="441" max="441" width="10.28515625" customWidth="1"/>
    <col min="442" max="442" width="41.7109375" bestFit="1" customWidth="1"/>
    <col min="443" max="443" width="25" bestFit="1" customWidth="1"/>
    <col min="444" max="444" width="28.140625" bestFit="1" customWidth="1"/>
    <col min="445" max="445" width="49.42578125" bestFit="1" customWidth="1"/>
    <col min="446" max="446" width="52.5703125" bestFit="1" customWidth="1"/>
    <col min="447" max="447" width="22" bestFit="1" customWidth="1"/>
    <col min="448" max="448" width="25.140625" bestFit="1" customWidth="1"/>
    <col min="449" max="449" width="61.5703125" bestFit="1" customWidth="1"/>
    <col min="450" max="450" width="64.7109375" bestFit="1" customWidth="1"/>
    <col min="451" max="451" width="24.28515625" bestFit="1" customWidth="1"/>
    <col min="452" max="452" width="27.42578125" bestFit="1" customWidth="1"/>
    <col min="453" max="453" width="38.5703125" bestFit="1" customWidth="1"/>
    <col min="454" max="454" width="41.7109375" bestFit="1" customWidth="1"/>
    <col min="455" max="455" width="38" bestFit="1" customWidth="1"/>
    <col min="456" max="456" width="41.140625" bestFit="1" customWidth="1"/>
    <col min="457" max="457" width="43.7109375" bestFit="1" customWidth="1"/>
    <col min="458" max="458" width="47" bestFit="1" customWidth="1"/>
    <col min="459" max="459" width="21.5703125" bestFit="1" customWidth="1"/>
    <col min="460" max="460" width="24.7109375" bestFit="1" customWidth="1"/>
    <col min="461" max="461" width="37.42578125" bestFit="1" customWidth="1"/>
    <col min="462" max="462" width="40.5703125" bestFit="1" customWidth="1"/>
    <col min="463" max="463" width="49" bestFit="1" customWidth="1"/>
    <col min="464" max="464" width="52.140625" bestFit="1" customWidth="1"/>
    <col min="465" max="465" width="50.140625" bestFit="1" customWidth="1"/>
    <col min="466" max="466" width="53.28515625" bestFit="1" customWidth="1"/>
    <col min="467" max="467" width="19.140625" bestFit="1" customWidth="1"/>
    <col min="468" max="468" width="22.28515625" bestFit="1" customWidth="1"/>
    <col min="469" max="469" width="19.5703125" bestFit="1" customWidth="1"/>
    <col min="470" max="470" width="22.7109375" bestFit="1" customWidth="1"/>
    <col min="471" max="471" width="29.85546875" bestFit="1" customWidth="1"/>
    <col min="472" max="472" width="33" bestFit="1" customWidth="1"/>
    <col min="473" max="473" width="73.5703125" bestFit="1" customWidth="1"/>
    <col min="474" max="474" width="76.7109375" bestFit="1" customWidth="1"/>
    <col min="475" max="475" width="27" bestFit="1" customWidth="1"/>
    <col min="476" max="476" width="30.28515625" bestFit="1" customWidth="1"/>
    <col min="477" max="477" width="43.42578125" bestFit="1" customWidth="1"/>
    <col min="478" max="478" width="46.7109375" bestFit="1" customWidth="1"/>
    <col min="479" max="479" width="48.28515625" bestFit="1" customWidth="1"/>
    <col min="480" max="480" width="51.42578125" bestFit="1" customWidth="1"/>
    <col min="481" max="481" width="46.85546875" bestFit="1" customWidth="1"/>
    <col min="482" max="482" width="50" bestFit="1" customWidth="1"/>
    <col min="483" max="483" width="30.28515625" bestFit="1" customWidth="1"/>
    <col min="484" max="484" width="33.42578125" bestFit="1" customWidth="1"/>
    <col min="485" max="485" width="26.7109375" bestFit="1" customWidth="1"/>
    <col min="486" max="486" width="30" bestFit="1" customWidth="1"/>
    <col min="487" max="487" width="50.5703125" bestFit="1" customWidth="1"/>
    <col min="488" max="488" width="53.7109375" bestFit="1" customWidth="1"/>
    <col min="489" max="489" width="29.85546875" bestFit="1" customWidth="1"/>
    <col min="490" max="490" width="33" bestFit="1" customWidth="1"/>
    <col min="491" max="491" width="32.42578125" bestFit="1" customWidth="1"/>
    <col min="492" max="492" width="35.5703125" bestFit="1" customWidth="1"/>
    <col min="493" max="493" width="30.5703125" bestFit="1" customWidth="1"/>
    <col min="494" max="494" width="33.85546875" bestFit="1" customWidth="1"/>
    <col min="495" max="495" width="38.7109375" bestFit="1" customWidth="1"/>
    <col min="496" max="496" width="41.85546875" bestFit="1" customWidth="1"/>
    <col min="497" max="497" width="57.42578125" bestFit="1" customWidth="1"/>
    <col min="498" max="498" width="60.5703125" bestFit="1" customWidth="1"/>
    <col min="499" max="499" width="47.140625" bestFit="1" customWidth="1"/>
    <col min="500" max="500" width="50.42578125" bestFit="1" customWidth="1"/>
    <col min="501" max="501" width="35" bestFit="1" customWidth="1"/>
    <col min="502" max="502" width="38.28515625" bestFit="1" customWidth="1"/>
    <col min="503" max="503" width="79" bestFit="1" customWidth="1"/>
    <col min="504" max="504" width="82" bestFit="1" customWidth="1"/>
    <col min="505" max="505" width="57.5703125" bestFit="1" customWidth="1"/>
    <col min="506" max="506" width="60.7109375" bestFit="1" customWidth="1"/>
    <col min="507" max="507" width="31.85546875" bestFit="1" customWidth="1"/>
    <col min="508" max="508" width="35" bestFit="1" customWidth="1"/>
    <col min="509" max="509" width="71.42578125" bestFit="1" customWidth="1"/>
    <col min="510" max="510" width="74.5703125" bestFit="1" customWidth="1"/>
    <col min="511" max="511" width="45.7109375" bestFit="1" customWidth="1"/>
    <col min="512" max="512" width="48.85546875" bestFit="1" customWidth="1"/>
    <col min="513" max="513" width="39.28515625" bestFit="1" customWidth="1"/>
    <col min="514" max="514" width="42.5703125" bestFit="1" customWidth="1"/>
    <col min="515" max="515" width="52" bestFit="1" customWidth="1"/>
    <col min="516" max="516" width="55.28515625" bestFit="1" customWidth="1"/>
    <col min="517" max="517" width="87.7109375" bestFit="1" customWidth="1"/>
    <col min="518" max="518" width="90.85546875" bestFit="1" customWidth="1"/>
    <col min="519" max="519" width="63.5703125" bestFit="1" customWidth="1"/>
    <col min="520" max="520" width="66.7109375" bestFit="1" customWidth="1"/>
    <col min="521" max="521" width="37.28515625" bestFit="1" customWidth="1"/>
    <col min="522" max="522" width="40.42578125" bestFit="1" customWidth="1"/>
    <col min="523" max="523" width="39.28515625" bestFit="1" customWidth="1"/>
    <col min="524" max="524" width="42.5703125" bestFit="1" customWidth="1"/>
    <col min="525" max="525" width="51.5703125" bestFit="1" customWidth="1"/>
    <col min="526" max="526" width="54.85546875" bestFit="1" customWidth="1"/>
    <col min="527" max="527" width="59.5703125" bestFit="1" customWidth="1"/>
    <col min="528" max="528" width="62.85546875" bestFit="1" customWidth="1"/>
    <col min="529" max="529" width="57" bestFit="1" customWidth="1"/>
    <col min="530" max="530" width="60.140625" bestFit="1" customWidth="1"/>
    <col min="531" max="531" width="36.7109375" bestFit="1" customWidth="1"/>
    <col min="532" max="532" width="39.85546875" bestFit="1" customWidth="1"/>
    <col min="533" max="533" width="40.5703125" bestFit="1" customWidth="1"/>
    <col min="534" max="534" width="43.7109375" bestFit="1" customWidth="1"/>
    <col min="535" max="535" width="57.140625" bestFit="1" customWidth="1"/>
    <col min="536" max="536" width="60.28515625" bestFit="1" customWidth="1"/>
    <col min="537" max="537" width="24.85546875" bestFit="1" customWidth="1"/>
    <col min="538" max="538" width="28" bestFit="1" customWidth="1"/>
    <col min="539" max="539" width="42.7109375" bestFit="1" customWidth="1"/>
    <col min="540" max="540" width="45.85546875" bestFit="1" customWidth="1"/>
    <col min="541" max="541" width="49.140625" bestFit="1" customWidth="1"/>
    <col min="542" max="542" width="52.28515625" bestFit="1" customWidth="1"/>
    <col min="543" max="543" width="48.5703125" bestFit="1" customWidth="1"/>
    <col min="544" max="544" width="51.7109375" bestFit="1" customWidth="1"/>
    <col min="545" max="545" width="62.7109375" bestFit="1" customWidth="1"/>
    <col min="546" max="546" width="65.85546875" bestFit="1" customWidth="1"/>
    <col min="547" max="547" width="43.140625" bestFit="1" customWidth="1"/>
    <col min="548" max="548" width="46.42578125" bestFit="1" customWidth="1"/>
    <col min="549" max="549" width="27" bestFit="1" customWidth="1"/>
    <col min="550" max="550" width="30.28515625" bestFit="1" customWidth="1"/>
    <col min="551" max="551" width="68.140625" bestFit="1" customWidth="1"/>
    <col min="552" max="552" width="71.42578125" bestFit="1" customWidth="1"/>
    <col min="553" max="553" width="41.28515625" bestFit="1" customWidth="1"/>
    <col min="554" max="554" width="44.42578125" bestFit="1" customWidth="1"/>
    <col min="555" max="555" width="62.85546875" bestFit="1" customWidth="1"/>
    <col min="556" max="556" width="66" bestFit="1" customWidth="1"/>
    <col min="557" max="557" width="39.140625" bestFit="1" customWidth="1"/>
    <col min="558" max="558" width="42.42578125" bestFit="1" customWidth="1"/>
    <col min="559" max="559" width="26.140625" bestFit="1" customWidth="1"/>
    <col min="560" max="560" width="29.28515625" bestFit="1" customWidth="1"/>
    <col min="561" max="561" width="39.85546875" bestFit="1" customWidth="1"/>
    <col min="562" max="562" width="43" bestFit="1" customWidth="1"/>
    <col min="563" max="563" width="35.140625" bestFit="1" customWidth="1"/>
    <col min="564" max="564" width="38.42578125" bestFit="1" customWidth="1"/>
    <col min="565" max="565" width="34.28515625" bestFit="1" customWidth="1"/>
    <col min="566" max="566" width="37.42578125" bestFit="1" customWidth="1"/>
    <col min="567" max="567" width="51.28515625" bestFit="1" customWidth="1"/>
    <col min="568" max="568" width="54.5703125" bestFit="1" customWidth="1"/>
    <col min="569" max="569" width="45.28515625" bestFit="1" customWidth="1"/>
    <col min="570" max="570" width="48.42578125" bestFit="1" customWidth="1"/>
    <col min="571" max="571" width="41.5703125" bestFit="1" customWidth="1"/>
    <col min="572" max="572" width="44.7109375" bestFit="1" customWidth="1"/>
    <col min="573" max="573" width="25.85546875" bestFit="1" customWidth="1"/>
    <col min="574" max="574" width="29" bestFit="1" customWidth="1"/>
    <col min="575" max="575" width="52.7109375" bestFit="1" customWidth="1"/>
    <col min="576" max="576" width="55.85546875" bestFit="1" customWidth="1"/>
    <col min="577" max="577" width="43.28515625" bestFit="1" customWidth="1"/>
    <col min="578" max="578" width="46.5703125" bestFit="1" customWidth="1"/>
    <col min="579" max="579" width="58.42578125" bestFit="1" customWidth="1"/>
    <col min="580" max="580" width="61.5703125" bestFit="1" customWidth="1"/>
    <col min="581" max="581" width="38.28515625" bestFit="1" customWidth="1"/>
    <col min="582" max="582" width="41.42578125" bestFit="1" customWidth="1"/>
    <col min="583" max="583" width="40.28515625" bestFit="1" customWidth="1"/>
    <col min="584" max="584" width="43.42578125" bestFit="1" customWidth="1"/>
    <col min="585" max="585" width="45.85546875" bestFit="1" customWidth="1"/>
    <col min="586" max="586" width="49" bestFit="1" customWidth="1"/>
    <col min="587" max="587" width="36.7109375" bestFit="1" customWidth="1"/>
    <col min="588" max="588" width="39.85546875" bestFit="1" customWidth="1"/>
    <col min="589" max="589" width="39.28515625" bestFit="1" customWidth="1"/>
    <col min="590" max="590" width="42.5703125" bestFit="1" customWidth="1"/>
    <col min="591" max="591" width="45.140625" bestFit="1" customWidth="1"/>
    <col min="592" max="592" width="48.28515625" bestFit="1" customWidth="1"/>
    <col min="593" max="593" width="89.140625" bestFit="1" customWidth="1"/>
    <col min="594" max="594" width="92.42578125" bestFit="1" customWidth="1"/>
    <col min="595" max="595" width="79.5703125" bestFit="1" customWidth="1"/>
    <col min="596" max="596" width="82.7109375" bestFit="1" customWidth="1"/>
    <col min="597" max="597" width="49.28515625" bestFit="1" customWidth="1"/>
    <col min="598" max="598" width="52.42578125" bestFit="1" customWidth="1"/>
    <col min="599" max="599" width="32" bestFit="1" customWidth="1"/>
    <col min="600" max="600" width="35.140625" bestFit="1" customWidth="1"/>
    <col min="601" max="601" width="33.5703125" bestFit="1" customWidth="1"/>
    <col min="602" max="602" width="36.7109375" bestFit="1" customWidth="1"/>
    <col min="603" max="603" width="37.85546875" bestFit="1" customWidth="1"/>
    <col min="604" max="604" width="41" bestFit="1" customWidth="1"/>
    <col min="605" max="605" width="60.7109375" bestFit="1" customWidth="1"/>
    <col min="606" max="606" width="63.85546875" bestFit="1" customWidth="1"/>
    <col min="607" max="607" width="44.7109375" bestFit="1" customWidth="1"/>
    <col min="608" max="608" width="47.85546875" bestFit="1" customWidth="1"/>
    <col min="609" max="609" width="47.7109375" bestFit="1" customWidth="1"/>
    <col min="610" max="610" width="51" bestFit="1" customWidth="1"/>
    <col min="611" max="611" width="46.28515625" bestFit="1" customWidth="1"/>
    <col min="612" max="612" width="49.42578125" bestFit="1" customWidth="1"/>
    <col min="613" max="613" width="45.7109375" bestFit="1" customWidth="1"/>
    <col min="614" max="615" width="48.85546875" bestFit="1" customWidth="1"/>
    <col min="616" max="616" width="52" bestFit="1" customWidth="1"/>
    <col min="617" max="617" width="44.7109375" bestFit="1" customWidth="1"/>
    <col min="618" max="618" width="47.85546875" bestFit="1" customWidth="1"/>
    <col min="619" max="619" width="40.5703125" bestFit="1" customWidth="1"/>
    <col min="620" max="620" width="43.7109375" bestFit="1" customWidth="1"/>
    <col min="621" max="621" width="29.5703125" bestFit="1" customWidth="1"/>
    <col min="622" max="622" width="32.7109375" bestFit="1" customWidth="1"/>
    <col min="623" max="623" width="34.7109375" bestFit="1" customWidth="1"/>
    <col min="624" max="624" width="38" bestFit="1" customWidth="1"/>
    <col min="625" max="625" width="32.140625" bestFit="1" customWidth="1"/>
    <col min="626" max="626" width="35.28515625" bestFit="1" customWidth="1"/>
    <col min="627" max="627" width="51.42578125" bestFit="1" customWidth="1"/>
    <col min="628" max="628" width="54.7109375" bestFit="1" customWidth="1"/>
    <col min="629" max="629" width="46" bestFit="1" customWidth="1"/>
    <col min="630" max="630" width="49.140625" bestFit="1" customWidth="1"/>
    <col min="631" max="631" width="41.140625" bestFit="1" customWidth="1"/>
    <col min="632" max="632" width="44.28515625" bestFit="1" customWidth="1"/>
    <col min="633" max="633" width="59.42578125" bestFit="1" customWidth="1"/>
    <col min="634" max="634" width="62.5703125" bestFit="1" customWidth="1"/>
    <col min="635" max="635" width="30.85546875" bestFit="1" customWidth="1"/>
    <col min="636" max="636" width="34.140625" bestFit="1" customWidth="1"/>
    <col min="637" max="637" width="67.140625" bestFit="1" customWidth="1"/>
    <col min="638" max="638" width="70.28515625" bestFit="1" customWidth="1"/>
    <col min="639" max="639" width="24.140625" bestFit="1" customWidth="1"/>
    <col min="640" max="640" width="27.28515625" bestFit="1" customWidth="1"/>
    <col min="641" max="641" width="87" bestFit="1" customWidth="1"/>
    <col min="642" max="642" width="90.140625" bestFit="1" customWidth="1"/>
    <col min="643" max="643" width="40.42578125" bestFit="1" customWidth="1"/>
    <col min="644" max="644" width="43.5703125" bestFit="1" customWidth="1"/>
    <col min="645" max="645" width="58.28515625" bestFit="1" customWidth="1"/>
    <col min="646" max="646" width="61.42578125" bestFit="1" customWidth="1"/>
    <col min="647" max="647" width="27" bestFit="1" customWidth="1"/>
    <col min="648" max="648" width="30.28515625" bestFit="1" customWidth="1"/>
    <col min="649" max="649" width="55.5703125" bestFit="1" customWidth="1"/>
    <col min="650" max="650" width="58.85546875" bestFit="1" customWidth="1"/>
    <col min="651" max="651" width="37.5703125" bestFit="1" customWidth="1"/>
    <col min="652" max="652" width="40.7109375" bestFit="1" customWidth="1"/>
    <col min="653" max="653" width="35.140625" bestFit="1" customWidth="1"/>
    <col min="654" max="654" width="38.42578125" bestFit="1" customWidth="1"/>
    <col min="655" max="655" width="39.42578125" bestFit="1" customWidth="1"/>
    <col min="656" max="656" width="42.7109375" bestFit="1" customWidth="1"/>
    <col min="657" max="657" width="33.5703125" bestFit="1" customWidth="1"/>
    <col min="658" max="658" width="36.7109375" bestFit="1" customWidth="1"/>
    <col min="659" max="659" width="34.5703125" bestFit="1" customWidth="1"/>
    <col min="660" max="660" width="37.7109375" bestFit="1" customWidth="1"/>
    <col min="661" max="661" width="58" bestFit="1" customWidth="1"/>
    <col min="662" max="662" width="61.140625" bestFit="1" customWidth="1"/>
    <col min="663" max="663" width="40" bestFit="1" customWidth="1"/>
    <col min="664" max="664" width="43.140625" bestFit="1" customWidth="1"/>
    <col min="665" max="665" width="30.7109375" bestFit="1" customWidth="1"/>
    <col min="666" max="666" width="34" bestFit="1" customWidth="1"/>
    <col min="667" max="667" width="56.140625" bestFit="1" customWidth="1"/>
    <col min="668" max="668" width="59.42578125" bestFit="1" customWidth="1"/>
    <col min="669" max="669" width="39.140625" bestFit="1" customWidth="1"/>
    <col min="670" max="670" width="4.140625" customWidth="1"/>
    <col min="671" max="671" width="42.42578125" bestFit="1" customWidth="1"/>
    <col min="672" max="672" width="43.7109375" bestFit="1" customWidth="1"/>
    <col min="673" max="673" width="47" bestFit="1" customWidth="1"/>
    <col min="674" max="674" width="26.28515625" bestFit="1" customWidth="1"/>
    <col min="675" max="675" width="29.42578125" bestFit="1" customWidth="1"/>
    <col min="676" max="676" width="64.42578125" bestFit="1" customWidth="1"/>
    <col min="677" max="677" width="67.7109375" bestFit="1" customWidth="1"/>
    <col min="678" max="678" width="46.140625" bestFit="1" customWidth="1"/>
    <col min="679" max="679" width="49.28515625" bestFit="1" customWidth="1"/>
    <col min="680" max="680" width="13.140625" bestFit="1" customWidth="1"/>
    <col min="681" max="681" width="7" customWidth="1"/>
    <col min="682" max="682" width="16.28515625" bestFit="1" customWidth="1"/>
    <col min="683" max="683" width="13.5703125" bestFit="1" customWidth="1"/>
    <col min="684" max="684" width="16.7109375" bestFit="1" customWidth="1"/>
    <col min="685" max="685" width="49" bestFit="1" customWidth="1"/>
    <col min="686" max="686" width="52.140625" bestFit="1" customWidth="1"/>
    <col min="687" max="687" width="56.140625" bestFit="1" customWidth="1"/>
    <col min="688" max="688" width="4.140625" customWidth="1"/>
    <col min="689" max="689" width="59.42578125" bestFit="1" customWidth="1"/>
    <col min="690" max="690" width="71.5703125" bestFit="1" customWidth="1"/>
    <col min="691" max="691" width="74.7109375" bestFit="1" customWidth="1"/>
    <col min="692" max="692" width="19.85546875" bestFit="1" customWidth="1"/>
    <col min="693" max="693" width="23" bestFit="1" customWidth="1"/>
    <col min="694" max="694" width="56.140625" bestFit="1" customWidth="1"/>
    <col min="695" max="695" width="59.42578125" bestFit="1" customWidth="1"/>
    <col min="696" max="696" width="30" bestFit="1" customWidth="1"/>
    <col min="697" max="697" width="33.140625" bestFit="1" customWidth="1"/>
    <col min="698" max="698" width="52.42578125" bestFit="1" customWidth="1"/>
    <col min="699" max="699" width="4.140625" customWidth="1"/>
    <col min="700" max="700" width="55.5703125" bestFit="1" customWidth="1"/>
    <col min="701" max="701" width="70.85546875" bestFit="1" customWidth="1"/>
    <col min="702" max="702" width="74" bestFit="1" customWidth="1"/>
    <col min="703" max="703" width="42.140625" bestFit="1" customWidth="1"/>
    <col min="704" max="704" width="45.28515625" bestFit="1" customWidth="1"/>
    <col min="705" max="705" width="64.85546875" bestFit="1" customWidth="1"/>
    <col min="706" max="706" width="4.140625" customWidth="1"/>
    <col min="707" max="707" width="68" bestFit="1" customWidth="1"/>
    <col min="708" max="708" width="28.28515625" bestFit="1" customWidth="1"/>
    <col min="709" max="709" width="31.42578125" bestFit="1" customWidth="1"/>
    <col min="710" max="710" width="53.7109375" bestFit="1" customWidth="1"/>
    <col min="711" max="711" width="56.85546875" bestFit="1" customWidth="1"/>
    <col min="712" max="712" width="54.5703125" bestFit="1" customWidth="1"/>
    <col min="713" max="713" width="57.7109375" bestFit="1" customWidth="1"/>
    <col min="714" max="714" width="29.85546875" bestFit="1" customWidth="1"/>
    <col min="715" max="715" width="33" bestFit="1" customWidth="1"/>
    <col min="716" max="716" width="42.28515625" bestFit="1" customWidth="1"/>
    <col min="717" max="717" width="45.42578125" bestFit="1" customWidth="1"/>
    <col min="718" max="718" width="44.28515625" bestFit="1" customWidth="1"/>
    <col min="719" max="719" width="47.42578125" bestFit="1" customWidth="1"/>
    <col min="720" max="720" width="95" bestFit="1" customWidth="1"/>
    <col min="721" max="721" width="98.140625" bestFit="1" customWidth="1"/>
    <col min="722" max="722" width="59.140625" bestFit="1" customWidth="1"/>
    <col min="723" max="724" width="4.140625" customWidth="1"/>
    <col min="725" max="725" width="62.28515625" bestFit="1" customWidth="1"/>
    <col min="726" max="726" width="57.42578125" bestFit="1" customWidth="1"/>
    <col min="727" max="727" width="60.5703125" bestFit="1" customWidth="1"/>
    <col min="728" max="728" width="51.5703125" bestFit="1" customWidth="1"/>
    <col min="729" max="729" width="54.85546875" bestFit="1" customWidth="1"/>
    <col min="730" max="730" width="59.42578125" bestFit="1" customWidth="1"/>
    <col min="731" max="731" width="62.5703125" bestFit="1" customWidth="1"/>
    <col min="732" max="732" width="37.7109375" bestFit="1" customWidth="1"/>
    <col min="733" max="733" width="40.85546875" bestFit="1" customWidth="1"/>
    <col min="734" max="734" width="46.7109375" bestFit="1" customWidth="1"/>
    <col min="735" max="735" width="49.85546875" bestFit="1" customWidth="1"/>
    <col min="736" max="736" width="34.140625" bestFit="1" customWidth="1"/>
    <col min="737" max="737" width="37.28515625" bestFit="1" customWidth="1"/>
    <col min="738" max="738" width="67.42578125" bestFit="1" customWidth="1"/>
    <col min="739" max="739" width="70.5703125" bestFit="1" customWidth="1"/>
    <col min="740" max="740" width="73.28515625" bestFit="1" customWidth="1"/>
    <col min="741" max="741" width="76.42578125" bestFit="1" customWidth="1"/>
    <col min="742" max="742" width="81.28515625" bestFit="1" customWidth="1"/>
    <col min="743" max="743" width="84.42578125" bestFit="1" customWidth="1"/>
    <col min="744" max="744" width="75.28515625" bestFit="1" customWidth="1"/>
    <col min="745" max="745" width="78.42578125" bestFit="1" customWidth="1"/>
    <col min="746" max="746" width="50.140625" bestFit="1" customWidth="1"/>
    <col min="747" max="747" width="53.28515625" bestFit="1" customWidth="1"/>
    <col min="748" max="748" width="57.85546875" bestFit="1" customWidth="1"/>
    <col min="749" max="749" width="61" bestFit="1" customWidth="1"/>
    <col min="750" max="750" width="45.7109375" bestFit="1" customWidth="1"/>
    <col min="751" max="751" width="48.85546875" bestFit="1" customWidth="1"/>
    <col min="752" max="752" width="40.42578125" bestFit="1" customWidth="1"/>
    <col min="753" max="753" width="43.5703125" bestFit="1" customWidth="1"/>
    <col min="754" max="754" width="49.85546875" bestFit="1" customWidth="1"/>
    <col min="755" max="755" width="53" bestFit="1" customWidth="1"/>
    <col min="756" max="756" width="60.28515625" bestFit="1" customWidth="1"/>
    <col min="757" max="757" width="63.5703125" bestFit="1" customWidth="1"/>
    <col min="758" max="758" width="40" bestFit="1" customWidth="1"/>
    <col min="759" max="759" width="43.140625" bestFit="1" customWidth="1"/>
    <col min="760" max="760" width="76.28515625" bestFit="1" customWidth="1"/>
    <col min="761" max="761" width="79.5703125" bestFit="1" customWidth="1"/>
    <col min="762" max="762" width="47.5703125" bestFit="1" customWidth="1"/>
    <col min="763" max="763" width="50.85546875" bestFit="1" customWidth="1"/>
    <col min="764" max="764" width="40.42578125" bestFit="1" customWidth="1"/>
    <col min="765" max="765" width="43.5703125" bestFit="1" customWidth="1"/>
    <col min="766" max="766" width="39.5703125" bestFit="1" customWidth="1"/>
    <col min="767" max="767" width="42.85546875" bestFit="1" customWidth="1"/>
    <col min="768" max="768" width="39.140625" bestFit="1" customWidth="1"/>
    <col min="769" max="769" width="42.42578125" bestFit="1" customWidth="1"/>
    <col min="770" max="770" width="10.28515625" bestFit="1" customWidth="1"/>
  </cols>
  <sheetData>
    <row r="3" spans="1:2" x14ac:dyDescent="0.25">
      <c r="A3" s="1" t="s">
        <v>1527</v>
      </c>
      <c r="B3" t="s">
        <v>1532</v>
      </c>
    </row>
    <row r="4" spans="1:2" x14ac:dyDescent="0.25">
      <c r="A4" s="2" t="s">
        <v>54</v>
      </c>
      <c r="B4">
        <v>24</v>
      </c>
    </row>
    <row r="5" spans="1:2" x14ac:dyDescent="0.25">
      <c r="A5" s="2" t="s">
        <v>16</v>
      </c>
      <c r="B5">
        <v>126</v>
      </c>
    </row>
    <row r="6" spans="1:2" x14ac:dyDescent="0.25">
      <c r="A6" s="2" t="s">
        <v>1238</v>
      </c>
      <c r="B6">
        <v>2</v>
      </c>
    </row>
    <row r="7" spans="1:2" x14ac:dyDescent="0.25">
      <c r="A7" s="2" t="s">
        <v>68</v>
      </c>
      <c r="B7">
        <v>74</v>
      </c>
    </row>
    <row r="8" spans="1:2" x14ac:dyDescent="0.25">
      <c r="A8" s="2" t="s">
        <v>4</v>
      </c>
      <c r="B8">
        <v>54</v>
      </c>
    </row>
    <row r="9" spans="1:2" x14ac:dyDescent="0.25">
      <c r="A9" s="2" t="s">
        <v>1197</v>
      </c>
      <c r="B9">
        <v>1</v>
      </c>
    </row>
    <row r="10" spans="1:2" x14ac:dyDescent="0.25">
      <c r="A10" s="2" t="s">
        <v>9</v>
      </c>
      <c r="B10">
        <v>129</v>
      </c>
    </row>
    <row r="11" spans="1:2" x14ac:dyDescent="0.25">
      <c r="A11" s="2" t="s">
        <v>1224</v>
      </c>
      <c r="B11">
        <v>4</v>
      </c>
    </row>
    <row r="12" spans="1:2" x14ac:dyDescent="0.25">
      <c r="A12" s="2" t="s">
        <v>1528</v>
      </c>
      <c r="B12">
        <v>9</v>
      </c>
    </row>
    <row r="13" spans="1:2" x14ac:dyDescent="0.25">
      <c r="A13" s="3" t="s">
        <v>2</v>
      </c>
      <c r="B13">
        <v>2</v>
      </c>
    </row>
    <row r="14" spans="1:2" x14ac:dyDescent="0.25">
      <c r="A14" s="4" t="s">
        <v>1477</v>
      </c>
      <c r="B14">
        <v>1</v>
      </c>
    </row>
    <row r="15" spans="1:2" x14ac:dyDescent="0.25">
      <c r="A15" s="5" t="s">
        <v>1528</v>
      </c>
      <c r="B15">
        <v>1</v>
      </c>
    </row>
    <row r="16" spans="1:2" x14ac:dyDescent="0.25">
      <c r="A16" s="4" t="s">
        <v>1479</v>
      </c>
      <c r="B16">
        <v>1</v>
      </c>
    </row>
    <row r="17" spans="1:2" x14ac:dyDescent="0.25">
      <c r="A17" s="5" t="s">
        <v>1528</v>
      </c>
      <c r="B17">
        <v>1</v>
      </c>
    </row>
    <row r="18" spans="1:2" x14ac:dyDescent="0.25">
      <c r="A18" s="3" t="s">
        <v>39</v>
      </c>
      <c r="B18">
        <v>4</v>
      </c>
    </row>
    <row r="19" spans="1:2" x14ac:dyDescent="0.25">
      <c r="A19" s="3" t="s">
        <v>1528</v>
      </c>
      <c r="B19">
        <v>3</v>
      </c>
    </row>
    <row r="20" spans="1:2" x14ac:dyDescent="0.25">
      <c r="A20" s="2" t="s">
        <v>10899</v>
      </c>
      <c r="B20">
        <v>423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BC9AE-D5F0-46EE-9EF8-8DF370A649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 de Dados</vt:lpstr>
      <vt:lpstr>TOTAIS</vt:lpstr>
      <vt:lpstr>Base02</vt:lpstr>
      <vt:lpstr>Plan1</vt:lpstr>
      <vt:lpstr>Plan4</vt:lpstr>
      <vt:lpstr>Serviços por Região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Gustavo Santos de Oliveira Mancusi</cp:lastModifiedBy>
  <cp:lastPrinted>2026-07-07T18:37:56Z</cp:lastPrinted>
  <dcterms:created xsi:type="dcterms:W3CDTF">2020-08-31T16:51:49Z</dcterms:created>
  <dcterms:modified xsi:type="dcterms:W3CDTF">2026-07-23T19:23:57Z</dcterms:modified>
</cp:coreProperties>
</file>